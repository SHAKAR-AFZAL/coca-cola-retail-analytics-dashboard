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fzal\OneDrive\Desktop\EXCEL PROJECTS\Coca Cola\"/>
    </mc:Choice>
  </mc:AlternateContent>
  <xr:revisionPtr revIDLastSave="0" documentId="13_ncr:1_{F36B8701-4913-4E5E-9066-D8C365E72AA1}" xr6:coauthVersionLast="47" xr6:coauthVersionMax="47" xr10:uidLastSave="{00000000-0000-0000-0000-000000000000}"/>
  <bookViews>
    <workbookView xWindow="-120" yWindow="-120" windowWidth="29040" windowHeight="15720" activeTab="2" xr2:uid="{00000000-000D-0000-FFFF-FFFF00000000}"/>
  </bookViews>
  <sheets>
    <sheet name="Data" sheetId="2" r:id="rId1"/>
    <sheet name="Piviot Tables" sheetId="4" r:id="rId2"/>
    <sheet name="Dashboard" sheetId="3" r:id="rId3"/>
  </sheets>
  <definedNames>
    <definedName name="_xlchart.v5.0" hidden="1">'Piviot Tables'!$D$27</definedName>
    <definedName name="_xlchart.v5.1" hidden="1">'Piviot Tables'!$D$28:$D$77</definedName>
    <definedName name="_xlchart.v5.10" hidden="1">'Piviot Tables'!$E$27</definedName>
    <definedName name="_xlchart.v5.11" hidden="1">'Piviot Tables'!$E$28:$E$77</definedName>
    <definedName name="_xlchart.v5.2" hidden="1">'Piviot Tables'!$E$27</definedName>
    <definedName name="_xlchart.v5.3" hidden="1">'Piviot Tables'!$E$28:$E$77</definedName>
    <definedName name="_xlchart.v5.4" hidden="1">'Piviot Tables'!$D$27</definedName>
    <definedName name="_xlchart.v5.5" hidden="1">'Piviot Tables'!$D$28:$D$77</definedName>
    <definedName name="_xlchart.v5.6" hidden="1">'Piviot Tables'!$E$27</definedName>
    <definedName name="_xlchart.v5.7" hidden="1">'Piviot Tables'!$E$28:$E$77</definedName>
    <definedName name="_xlchart.v5.8" hidden="1">'Piviot Tables'!$D$27</definedName>
    <definedName name="_xlchart.v5.9" hidden="1">'Piviot Tables'!$D$28:$D$77</definedName>
    <definedName name="NativeTimeline_Invoice_Date">#N/A</definedName>
    <definedName name="_xlnm.Print_Area" localSheetId="2">Dashboard!$M$2</definedName>
    <definedName name="Slicer_Beverage_Brand">#N/A</definedName>
    <definedName name="Slicer_Region">#N/A</definedName>
    <definedName name="Slicer_Retaile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hwl5n/6E4JEifg9kWlAttRGuttmA=="/>
    </ext>
  </extLst>
</workbook>
</file>

<file path=xl/calcChain.xml><?xml version="1.0" encoding="utf-8"?>
<calcChain xmlns="http://schemas.openxmlformats.org/spreadsheetml/2006/main">
  <c r="D29" i="4" l="1"/>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E28" i="4"/>
  <c r="D28" i="4"/>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N3" i="3"/>
  <c r="R3" i="3"/>
  <c r="P3" i="3"/>
  <c r="L3" i="3"/>
</calcChain>
</file>

<file path=xl/sharedStrings.xml><?xml version="1.0" encoding="utf-8"?>
<sst xmlns="http://schemas.openxmlformats.org/spreadsheetml/2006/main" count="19581" uniqueCount="156">
  <si>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</si>
  <si>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</si>
  <si>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</si>
  <si>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</si>
  <si>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</si>
  <si>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</si>
  <si>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</si>
  <si>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</si>
  <si>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</si>
  <si>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</si>
  <si>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</si>
  <si>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</si>
  <si>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</si>
  <si>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</si>
  <si>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</si>
  <si>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</si>
  <si>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</si>
  <si>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</si>
  <si>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</si>
  <si>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</si>
  <si>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</si>
  <si>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</si>
  <si>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</si>
  <si>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</si>
  <si>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</si>
  <si>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</si>
  <si>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</si>
  <si>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</si>
  <si>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</si>
  <si>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</si>
  <si>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</si>
  <si>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</si>
  <si>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</si>
  <si>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</si>
  <si>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</si>
  <si>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</si>
  <si>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</si>
  <si>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</si>
  <si>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</si>
  <si>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</si>
  <si>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</si>
  <si>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</si>
  <si>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</si>
  <si>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</si>
  <si>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</si>
  <si>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</si>
  <si>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</si>
  <si>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</si>
  <si>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</si>
  <si>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</si>
  <si>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</si>
  <si>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</si>
  <si>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</si>
  <si>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</si>
  <si>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</si>
  <si>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</si>
  <si>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</si>
  <si>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</si>
  <si>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</si>
  <si>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</si>
  <si>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</si>
  <si>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</si>
  <si>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</si>
  <si>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</si>
  <si>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</si>
  <si>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</si>
  <si>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</si>
  <si>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</si>
  <si>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</si>
  <si>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</si>
  <si>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</si>
  <si>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</si>
  <si>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</si>
  <si>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</si>
  <si>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</si>
  <si>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</si>
  <si>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</si>
  <si>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</si>
  <si>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</si>
  <si>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</si>
  <si>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</si>
  <si>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</si>
  <si>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</si>
  <si>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</si>
  <si>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</si>
  <si>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</si>
  <si>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</si>
  <si>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</si>
  <si>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</si>
  <si>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</si>
  <si>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</si>
  <si>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</si>
  <si>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</si>
  <si>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</si>
  <si>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</si>
  <si>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</si>
  <si>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</si>
  <si>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</si>
  <si>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</si>
  <si>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</si>
  <si>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</si>
  <si>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</si>
  <si>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</si>
  <si>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</si>
  <si>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</si>
  <si>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</si>
  <si>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</si>
  <si>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</si>
  <si>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</si>
  <si>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</si>
  <si>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</si>
  <si>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</si>
  <si>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</si>
  <si>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</si>
  <si>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</si>
  <si>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</si>
  <si>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</si>
  <si>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</si>
  <si>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</si>
  <si>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</si>
  <si>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</si>
  <si>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</si>
  <si>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</si>
  <si>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</si>
  <si>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</si>
  <si>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</si>
  <si>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</si>
  <si>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</si>
  <si>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</si>
  <si>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</si>
  <si>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</si>
  <si>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</si>
  <si>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Column1</t>
  </si>
  <si>
    <t>Sum of Total Sales</t>
  </si>
  <si>
    <t>Sum of Units Sold</t>
  </si>
  <si>
    <t>Sum of Operating Profit</t>
  </si>
  <si>
    <t>Average of Operating Margin</t>
  </si>
  <si>
    <t>Row Labels</t>
  </si>
  <si>
    <t>Grand Total</t>
  </si>
  <si>
    <t>Jan</t>
  </si>
  <si>
    <t>Feb</t>
  </si>
  <si>
    <t>Mar</t>
  </si>
  <si>
    <t>Apr</t>
  </si>
  <si>
    <t>May</t>
  </si>
  <si>
    <t>Jun</t>
  </si>
  <si>
    <t>Jul</t>
  </si>
  <si>
    <t>Aug</t>
  </si>
  <si>
    <t>Sep</t>
  </si>
  <si>
    <t>Oct</t>
  </si>
  <si>
    <t>Nov</t>
  </si>
  <si>
    <t>Dec</t>
  </si>
  <si>
    <t>Sum Of Total Sales</t>
  </si>
  <si>
    <t>Sum Of Units Sold</t>
  </si>
  <si>
    <t>Sum Of Operating Profit</t>
  </si>
  <si>
    <t>Unit Sold</t>
  </si>
  <si>
    <t>Average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</si>
</sst>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43" formatCode="_(* #,##0.00_);_(* \(#,##0.00\);_(* &quot;-&quot;??_);_(@_)"/>
    <numFmt numFmtId="164" formatCode="&quot;$&quot;#,##0.0_);[Red]\(&quot;$&quot;#,##0.0\)"/>
    <numFmt numFmtId="165" formatCode="&quot;$&quot;#,##0"/>
    <numFmt numFmtId="166" formatCode="_-* #,##0_-;\-* #,##0_-;_-* &quot;-&quot;??_-;_-@"/>
    <numFmt numFmtId="167" formatCode="0.0%"/>
    <numFmt numFmtId="172" formatCode="_(* #,##0_);_(* \(#,##0\);_(* &quot;-&quot;??_);_(@_)"/>
  </numFmts>
  <fonts count="18" x14ac:knownFonts="1">
    <font>
      <sz val="11"/>
      <color theme="1"/>
      <name val="Calibri"/>
      <scheme val="minor"/>
    </font>
    <font>
      <sz val="11"/>
      <color theme="1"/>
      <name val="Calibri"/>
      <family val="2"/>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sz val="11"/>
      <color theme="1"/>
      <name val="Calibri"/>
      <family val="2"/>
      <scheme val="minor"/>
    </font>
    <font>
      <sz val="11"/>
      <color theme="0"/>
      <name val="Times New Roman"/>
      <family val="1"/>
    </font>
    <font>
      <sz val="11"/>
      <color theme="1"/>
      <name val="Times New Roman"/>
      <family val="1"/>
    </font>
    <font>
      <b/>
      <sz val="36"/>
      <color theme="0"/>
      <name val="Times New Roman"/>
      <family val="1"/>
    </font>
    <font>
      <sz val="18"/>
      <color theme="0"/>
      <name val="Times New Roman"/>
      <family val="1"/>
    </font>
    <font>
      <b/>
      <sz val="20"/>
      <color theme="0"/>
      <name val="Times New Roman"/>
      <family val="1"/>
    </font>
    <font>
      <b/>
      <sz val="20"/>
      <color rgb="FFFF0000"/>
      <name val="Times New Roman"/>
      <family val="1"/>
    </font>
    <font>
      <b/>
      <sz val="20"/>
      <color theme="2"/>
      <name val="Times New Roman"/>
      <family val="1"/>
    </font>
    <font>
      <sz val="11"/>
      <color theme="2"/>
      <name val="Times New Roman"/>
      <family val="1"/>
    </font>
    <font>
      <sz val="36"/>
      <name val="Times New Roman"/>
      <family val="1"/>
    </font>
    <font>
      <b/>
      <sz val="36"/>
      <color theme="2"/>
      <name val="Times New Roman"/>
      <family val="1"/>
    </font>
    <font>
      <sz val="20"/>
      <color rgb="FFFF0000"/>
      <name val="Times New Roman"/>
      <family val="1"/>
    </font>
  </fonts>
  <fills count="4">
    <fill>
      <patternFill patternType="none"/>
    </fill>
    <fill>
      <patternFill patternType="gray125"/>
    </fill>
    <fill>
      <patternFill patternType="solid">
        <fgColor rgb="FF2A3E68"/>
        <bgColor rgb="FF2A3E68"/>
      </patternFill>
    </fill>
    <fill>
      <patternFill patternType="solid">
        <fgColor theme="0"/>
        <bgColor theme="0"/>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43" fontId="6" fillId="0" borderId="0" applyFont="0" applyFill="0" applyBorder="0" applyAlignment="0" applyProtection="0"/>
  </cellStyleXfs>
  <cellXfs count="46">
    <xf numFmtId="0" fontId="0" fillId="0" borderId="0" xfId="0"/>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8" fontId="2" fillId="0" borderId="0" xfId="0" applyNumberFormat="1" applyFont="1"/>
    <xf numFmtId="10" fontId="2" fillId="0" borderId="0" xfId="0" applyNumberFormat="1" applyFont="1"/>
    <xf numFmtId="14" fontId="2" fillId="0" borderId="0" xfId="0" applyNumberFormat="1" applyFont="1"/>
    <xf numFmtId="164" fontId="2" fillId="0" borderId="0" xfId="0" applyNumberFormat="1" applyFont="1"/>
    <xf numFmtId="6" fontId="0" fillId="0" borderId="0" xfId="0" applyNumberFormat="1"/>
    <xf numFmtId="3" fontId="0" fillId="0" borderId="0" xfId="0" applyNumberFormat="1"/>
    <xf numFmtId="9" fontId="0" fillId="0" borderId="0" xfId="0" applyNumberFormat="1"/>
    <xf numFmtId="0" fontId="7" fillId="2" borderId="1" xfId="0" applyFont="1" applyFill="1" applyBorder="1"/>
    <xf numFmtId="0" fontId="8" fillId="0" borderId="0" xfId="0" applyFont="1"/>
    <xf numFmtId="0" fontId="9" fillId="2" borderId="1" xfId="0" applyFont="1" applyFill="1" applyBorder="1" applyAlignment="1">
      <alignment vertical="center"/>
    </xf>
    <xf numFmtId="0" fontId="10" fillId="2" borderId="1" xfId="0" applyFont="1" applyFill="1" applyBorder="1" applyAlignment="1">
      <alignment vertical="top"/>
    </xf>
    <xf numFmtId="0" fontId="8" fillId="2" borderId="1" xfId="0" applyFont="1" applyFill="1" applyBorder="1"/>
    <xf numFmtId="0" fontId="8" fillId="3" borderId="1" xfId="0" applyFont="1" applyFill="1" applyBorder="1"/>
    <xf numFmtId="0" fontId="0" fillId="0" borderId="0" xfId="0" pivotButton="1"/>
    <xf numFmtId="0" fontId="0" fillId="0" borderId="0" xfId="0" applyAlignment="1">
      <alignment horizontal="left"/>
    </xf>
    <xf numFmtId="172" fontId="0" fillId="0" borderId="0" xfId="1" applyNumberFormat="1" applyFont="1"/>
    <xf numFmtId="0" fontId="1" fillId="0" borderId="0" xfId="0" applyFont="1"/>
    <xf numFmtId="165" fontId="11" fillId="2" borderId="6" xfId="0" applyNumberFormat="1" applyFont="1" applyFill="1" applyBorder="1" applyAlignment="1">
      <alignment horizontal="center" vertical="center"/>
    </xf>
    <xf numFmtId="0" fontId="7" fillId="0" borderId="7" xfId="0" applyFont="1" applyBorder="1" applyAlignment="1">
      <alignment vertical="center"/>
    </xf>
    <xf numFmtId="0" fontId="14" fillId="0" borderId="7" xfId="0" applyFont="1" applyBorder="1" applyAlignment="1">
      <alignment vertical="center"/>
    </xf>
    <xf numFmtId="167" fontId="13" fillId="2" borderId="6" xfId="0" applyNumberFormat="1" applyFont="1" applyFill="1" applyBorder="1" applyAlignment="1">
      <alignment horizontal="center" vertical="center"/>
    </xf>
    <xf numFmtId="0" fontId="15" fillId="0" borderId="4" xfId="0" applyFont="1" applyBorder="1" applyAlignment="1">
      <alignment vertical="top"/>
    </xf>
    <xf numFmtId="0" fontId="15" fillId="0" borderId="5" xfId="0" applyFont="1" applyBorder="1" applyAlignment="1">
      <alignment vertical="top"/>
    </xf>
    <xf numFmtId="0" fontId="15" fillId="0" borderId="8" xfId="0" applyFont="1" applyBorder="1" applyAlignment="1">
      <alignment vertical="top"/>
    </xf>
    <xf numFmtId="0" fontId="15" fillId="0" borderId="9" xfId="0" applyFont="1" applyBorder="1" applyAlignment="1">
      <alignment vertical="top"/>
    </xf>
    <xf numFmtId="0" fontId="15" fillId="0" borderId="10" xfId="0" applyFont="1" applyBorder="1" applyAlignment="1">
      <alignment vertical="top"/>
    </xf>
    <xf numFmtId="0" fontId="16" fillId="2" borderId="3" xfId="0" applyFont="1" applyFill="1" applyBorder="1" applyAlignment="1">
      <alignment horizontal="center" vertical="top"/>
    </xf>
    <xf numFmtId="166" fontId="11" fillId="2" borderId="6" xfId="0" applyNumberFormat="1" applyFont="1" applyFill="1" applyBorder="1" applyAlignment="1">
      <alignment horizontal="center" vertical="center"/>
    </xf>
    <xf numFmtId="0" fontId="12" fillId="2" borderId="6" xfId="0" applyFont="1" applyFill="1" applyBorder="1" applyAlignment="1">
      <alignment horizontal="center" vertical="center"/>
    </xf>
    <xf numFmtId="0" fontId="17" fillId="0" borderId="7" xfId="0" applyFont="1" applyBorder="1" applyAlignment="1">
      <alignment vertical="center"/>
    </xf>
    <xf numFmtId="0" fontId="12" fillId="2" borderId="6" xfId="0" applyFont="1" applyFill="1" applyBorder="1" applyAlignment="1">
      <alignment horizontal="center" vertical="top"/>
    </xf>
    <xf numFmtId="0" fontId="17" fillId="0" borderId="7" xfId="0" applyFont="1" applyBorder="1" applyAlignment="1">
      <alignment vertical="top"/>
    </xf>
  </cellXfs>
  <cellStyles count="2">
    <cellStyle name="Comma" xfId="1" builtinId="3"/>
    <cellStyle name="Normal" xfId="0" builtinId="0"/>
  </cellStyles>
  <dxfs count="18">
    <dxf>
      <font>
        <color theme="2"/>
      </font>
    </dxf>
    <dxf>
      <font>
        <b/>
        <sz val="11"/>
        <color theme="1"/>
      </font>
    </dxf>
    <dxf>
      <fill>
        <patternFill patternType="solid">
          <fgColor theme="0"/>
          <bgColor theme="0"/>
        </patternFill>
      </fill>
      <border diagonalUp="0" diagonalDown="0">
        <left/>
        <right/>
        <top/>
        <bottom/>
        <vertical/>
        <horizontal/>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s>
  <tableStyles count="7" defaultTableStyle="TableStyleMedium2" defaultPivotStyle="PivotStyleLight16">
    <tableStyle name="Slicer Style 1" pivot="0" table="0" count="0" xr9:uid="{2DA7A0ED-A215-42B7-84B4-78B22DD6F8A4}"/>
    <tableStyle name="Slicer Style 2" pivot="0" table="0" count="1" xr9:uid="{1CD7DD03-22F2-4C76-8E22-CAE8DF6A9E8F}"/>
    <tableStyle name="Slicer Style 3" pivot="0" table="0" count="1" xr9:uid="{049B9003-6B51-4B79-B1B1-EC645D1E9CD5}">
      <tableStyleElement type="wholeTable" dxfId="0"/>
    </tableStyle>
    <tableStyle name="Slicer Style 4" pivot="0" table="0" count="1" xr9:uid="{D5A748A6-635C-4E6F-8926-C42FD17D9F80}"/>
    <tableStyle name="Slicer Style 5" pivot="0" table="0" count="1" xr9:uid="{FF3064A6-A887-4A19-8718-3EE76445FE3D}"/>
    <tableStyle name="Slicer Style 6" pivot="0" table="0" count="1" xr9:uid="{71D005CC-7234-4EDC-A66B-AFE1A2E4C8A1}"/>
    <tableStyle name="Timeline Style 1" pivot="0" table="0" count="8" xr9:uid="{EB6C0FF0-41CB-49D3-8602-9A5AE4DDC185}">
      <tableStyleElement type="wholeTable" dxfId="2"/>
      <tableStyleElement type="headerRow" dxfId="1"/>
    </tableStyle>
  </tableStyles>
  <colors>
    <mruColors>
      <color rgb="FF2A3E68"/>
    </mruColors>
  </colors>
  <extLst>
    <ext xmlns:x14="http://schemas.microsoft.com/office/spreadsheetml/2009/9/main" uri="{46F421CA-312F-682f-3DD2-61675219B42D}">
      <x14:dxfs count="4">
        <dxf>
          <font>
            <b/>
            <i val="0"/>
            <sz val="12"/>
            <color theme="2"/>
          </font>
          <fill>
            <patternFill>
              <bgColor rgb="FF2A3E68"/>
            </patternFill>
          </fill>
        </dxf>
        <dxf>
          <font>
            <b/>
            <i val="0"/>
            <name val="Times"/>
          </font>
        </dxf>
        <dxf>
          <font>
            <color theme="0"/>
          </font>
        </dxf>
        <dxf>
          <fill>
            <patternFill>
              <bgColor rgb="FF2A3E6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s>
        </x14:slicerStyle>
        <x14:slicerStyle name="Slicer Style 3"/>
        <x14:slicerStyle name="Slicer Style 4">
          <x14:slicerStyleElements>
            <x14:slicerStyleElement type="selectedItemWithData" dxfId="2"/>
          </x14:slicerStyleElements>
        </x14:slicerStyle>
        <x14:slicerStyle name="Slicer Style 5">
          <x14:slicerStyleElements>
            <x14:slicerStyleElement type="selectedItemWithData" dxfId="0"/>
          </x14:slicerStyleElements>
        </x14:slicerStyle>
        <x14:slicerStyle name="Slicer Style 6">
          <x14:slicerStyleElements>
            <x14:slicerStyleElement type="selectedItemWithData" dxfId="1"/>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File Excel Dashboard_v2.xlsx]Piviot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Tables'!$B$9</c:f>
              <c:strCache>
                <c:ptCount val="1"/>
                <c:pt idx="0">
                  <c:v>Total</c:v>
                </c:pt>
              </c:strCache>
            </c:strRef>
          </c:tx>
          <c:spPr>
            <a:solidFill>
              <a:schemeClr val="accent1"/>
            </a:solidFill>
            <a:ln>
              <a:noFill/>
            </a:ln>
            <a:effectLst/>
          </c:spPr>
          <c:invertIfNegative val="0"/>
          <c:cat>
            <c:strRef>
              <c:f>'Piviot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 Tables'!$B$10:$B$22</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124E-4474-9F41-0E292797F3B8}"/>
            </c:ext>
          </c:extLst>
        </c:ser>
        <c:dLbls>
          <c:showLegendKey val="0"/>
          <c:showVal val="0"/>
          <c:showCatName val="0"/>
          <c:showSerName val="0"/>
          <c:showPercent val="0"/>
          <c:showBubbleSize val="0"/>
        </c:dLbls>
        <c:gapWidth val="40"/>
        <c:overlap val="-27"/>
        <c:axId val="304042079"/>
        <c:axId val="304042559"/>
      </c:barChart>
      <c:catAx>
        <c:axId val="3040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2559"/>
        <c:crosses val="autoZero"/>
        <c:auto val="1"/>
        <c:lblAlgn val="ctr"/>
        <c:lblOffset val="100"/>
        <c:noMultiLvlLbl val="0"/>
      </c:catAx>
      <c:valAx>
        <c:axId val="30404255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4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File Excel Dashboard_v2.xlsx]Piviot Tables!PivotTable2</c:name>
    <c:fmtId val="3"/>
  </c:pivotSource>
  <c:chart>
    <c:title>
      <c:tx>
        <c:rich>
          <a:bodyPr rot="0" spcFirstLastPara="1" vertOverflow="ellipsis" vert="horz" wrap="square" anchor="ctr" anchorCtr="1"/>
          <a:lstStyle/>
          <a:p>
            <a:pPr>
              <a:defRPr sz="2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400" b="1">
                <a:solidFill>
                  <a:schemeClr val="tx1"/>
                </a:solidFill>
                <a:latin typeface="Times New Roman" panose="02020603050405020304" pitchFamily="18" charset="0"/>
                <a:cs typeface="Times New Roman" panose="02020603050405020304" pitchFamily="18" charset="0"/>
              </a:rPr>
              <a:t>Monthly</a:t>
            </a:r>
            <a:r>
              <a:rPr lang="en-US" sz="2400" b="1" baseline="0">
                <a:solidFill>
                  <a:schemeClr val="tx1"/>
                </a:solidFill>
                <a:latin typeface="Times New Roman" panose="02020603050405020304" pitchFamily="18" charset="0"/>
                <a:cs typeface="Times New Roman" panose="02020603050405020304" pitchFamily="18" charset="0"/>
              </a:rPr>
              <a:t> Sales</a:t>
            </a:r>
            <a:endParaRPr lang="en-US" sz="2400" b="1">
              <a:solidFill>
                <a:schemeClr val="tx1"/>
              </a:solidFill>
              <a:latin typeface="Times New Roman" panose="02020603050405020304" pitchFamily="18" charset="0"/>
              <a:cs typeface="Times New Roman" panose="02020603050405020304" pitchFamily="18" charset="0"/>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2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9820729955925"/>
          <c:y val="0.11845641541503348"/>
          <c:w val="0.86664939908827188"/>
          <c:h val="0.80030177945818459"/>
        </c:manualLayout>
      </c:layout>
      <c:barChart>
        <c:barDir val="col"/>
        <c:grouping val="clustered"/>
        <c:varyColors val="0"/>
        <c:ser>
          <c:idx val="0"/>
          <c:order val="0"/>
          <c:tx>
            <c:strRef>
              <c:f>'Piviot Tables'!$B$9</c:f>
              <c:strCache>
                <c:ptCount val="1"/>
                <c:pt idx="0">
                  <c:v>Total</c:v>
                </c:pt>
              </c:strCache>
            </c:strRef>
          </c:tx>
          <c:spPr>
            <a:solidFill>
              <a:schemeClr val="accent1">
                <a:lumMod val="60000"/>
                <a:lumOff val="40000"/>
              </a:schemeClr>
            </a:solidFill>
            <a:ln>
              <a:noFill/>
            </a:ln>
            <a:effectLst/>
          </c:spPr>
          <c:invertIfNegative val="0"/>
          <c:cat>
            <c:strRef>
              <c:f>'Piviot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 Tables'!$B$10:$B$22</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20AC-4CB6-8FF4-007F18A0C1AB}"/>
            </c:ext>
          </c:extLst>
        </c:ser>
        <c:dLbls>
          <c:showLegendKey val="0"/>
          <c:showVal val="0"/>
          <c:showCatName val="0"/>
          <c:showSerName val="0"/>
          <c:showPercent val="0"/>
          <c:showBubbleSize val="0"/>
        </c:dLbls>
        <c:gapWidth val="40"/>
        <c:overlap val="-27"/>
        <c:axId val="304042079"/>
        <c:axId val="304042559"/>
      </c:barChart>
      <c:catAx>
        <c:axId val="30404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04042559"/>
        <c:crosses val="autoZero"/>
        <c:auto val="1"/>
        <c:lblAlgn val="ctr"/>
        <c:lblOffset val="100"/>
        <c:noMultiLvlLbl val="0"/>
      </c:catAx>
      <c:valAx>
        <c:axId val="304042559"/>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0404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1406E74-12CE-44F1-B613-1DE09E63014C}">
          <cx:dataId val="0"/>
          <cx:layoutPr>
            <cx:geography cultureLanguage="en-US" cultureRegion="GB" attribution="Powered by Bing">
              <cx:geoCache provider="{E9337A44-BEBE-4D9F-B70C-5C5E7DAFC167}">
                <cx:binary>1H3Zctu41u6rpHJ96AaIidj191+1SUkeEjuT4x5uWLbjcCY4T09/PlqyY7Od2Lu2z6mSuqvVFglx
Ad+a1wL0P9fDv67Tm8vqzZClef2v6+H3t2HTFP/67bf6OrzJLuuDLLquTG2+NwfXJvvNfP8eXd/8
9q267KM8+M0mlP92HV5Wzc3w9n//B98W3Jj35vqyiUz+qb2pxs83dZs29S+uPXnpzeW3LMpXUd1U
0XVDf3/77/Ty6jK7fPvmJm+iZjwfi5vf3z666e2b35Zf9Y/HvklBWdN+w1hmHygpuW3b6u2b1OTB
7nPLkQcOJ4zZxNbb191Dzy4zDHwBJbd0XH77Vt3UNWZy+/5g4COy8fn7t2+uTZs382oFWLjf337N
o+bm25svzWVzU799E9XG297gmZn2r19uJ/vb4/X+3/9ZfIDpLz55AMlyrZ679A9EVjfpZX9Z3dyt
zitAog8IcZS0mbhf+YfIKHHApSM5o872urh79haZl1D0NDQ/Ri6wWa33EpuvzWV4tzavgguzmQIw
gty+7McSQyk9kMqBKEl599QtIs/R8TQa21ELJL6e7yUS0BZ18opqS/IDyjlXxCZbGeALLIR9YCvt
cEn1Yyyep+RpNO7GLfD497v9xKOKJpO/IiCMH9ia2bZD+RaQhTm5FQ7JhZZC3goPXcDyPEE/weVu
4BKYv/cUmOQyry9h7V7NwvMD2AmHMLozJ85jUdH2AWeaCiGcrVpbmJN/V89T9DNo7kYusfm8l9ic
mry5fE2h4eoAHpagWvHt0rPH0FCiDyAz1JYM+m3LEFuL8gJSnsbkfuACktP9tCtH8L2i6G5t/nsb
T7HgFM4XYTDhD50uyMeBsBW3CdlitdBfzxPyNB534xZwHB3vpYR4Js9vrpvoum1eDxNOD4QSVEBS
tlKCpX8IjUIIwxxYHnuhuV5IzdPAPBq8QMfbT2E5u+nfnNxU9c34iuCQA8o00YLRLTgLp1jx2ScW
iJB3scxCkb2Mpqchejh2gdDZyX7Kz2UafTdVHr2mZ6YObMGl1FQ/KT70VucpW1G+w+iOO7amxnsR
TU8j9HDsAiHv33uJ0HH+LXpVH4DpAyCjuXPnfi18AORhoNqUhnO9hW+h5F5A0NPY3A9cAHN8tpfA
eCY11eU3c8e8/70vwJwD+M1CkNnoz6+F3aEELgFXDpOA7KFz9hJSnsbkx8gFKN6HvQTl/Ab+QF3f
3Nwt0CugIpCXREqSOLtwZWFwIC+MM1tS9QO1h+C8iKSn0XkwdAHP+X7KzAYiE317RVtjOwdCC0GR
ddm9HrtqDmJNRzFuO2wrUgvJeQFBT0NzP3ABzGY/k8qHN6YKXtUJsBFIwkfmeuemLXSZww6QTmOI
Q3dStQDmBQQ9Dcz9wAUwh3tq/r9dhq9oYjg/YI4myr5zvRa5GUrhPgvNlEOWZv85Qp6G43g7bAHG
8Wovrctxmka5ierXMy4c0QywgEnfZTGRPH4YajoaaWdHMuH8KM08NC4voegnwNzPZYnNfmqwY9O/
ol3h9gFRXArFn06UaXYw5waQutldXxRgnqPmJ5jczmGJx34qrnevnVV2YMm5srVSW0u+MCjagWYj
FGnnnaSgHvBQUp6n52lM7sYtUHn3ZS812DssSXudvGI+hqk5TWk7UuzK9guL4giEk0opRnce2MKu
vISinyBzP5clNn/tJTbvTRvVrxzrkwPtwAGT9/7xY/OiKUo1FBVk50dV86HQvIikp9F5MHQBz/v9
VGinl1H+imElFwgb0QgjHuirh5Zf6gMbYQ2HGdpGNos85rPkPA3LbtgCktP1XkrM6WU1ppf5tztN
/wrBPlIwUGfA5LGgKHmgCEXBWe/QWIQrL6HkZ4DczWGJyX76yH9c1iFa1BqTvx4qKFtySplQDtKS
82tZ67fJgRCINwnfRpvwDR6qsZfR9DQ+D8cuEPpjPxXZ+c3wquV+iu4w5nCHPh3pa33A0NUHv+2H
g/AQnGfJeRqX3bAFJOd/7qcii+p6/rcoojvOfQVdhjKljdLyfei40GmILdEbYyPbvEtcLmKY05cR
9TQ8jwYvQDrdT9/59LKuL6/Dtr5pmtdMAdgHSB0zRVDUvH0tHGiFJj8i0LbhLCKaF9PzE4QeT2eJ
0X7qto/I/9dj2l2+akUTWRpHo6C5S1X+ozCj1IHDHGcOTe8hfKjiXkrV00A9Hr3A6eN+4nR2012+
Zh0ARU0GBwDe9A8EHnrTlEooOwEZ2lVxFh7C8/Q8jc3duAUqZxd7aYbObq6q122bnVtpUOifm5i3
WZtF8QzOAeJTZaP1fHt9YYNeQtHPkLmbyxKbPY11ouswCi5f06tGn6biSitnVzxbGB5kbhTECS73
7voCm9MXUPQ0Nj9GLrA5Pd5LuTmN5qqzaS5fz3njc1VZUzTK7owOFNZDhabRj65R1EQH9N1Dd42a
L6HlZ7DcT2OJy36Wm2cn1LTVa/rUyDJLhc6ZXaBJlvoM9WbkOhW1dzKzyHa+hKKfgXM3lyU2+9mp
MffSHV1mBbIFr7mXibMD6QikO+8MChI1D+UG3rSYd9TA2b43SA9dtReT9TRKi+ELqM6O9lK9zZM6
vRmi61csRGP7BrfhF1C+cwwWOFEiD9AXjU5P5x+u2kuo+Tk8dzNZYnO6t9j8Zarkzgj892kDlD6R
5rT5vBPz9rVABrsBkTQgkLFdKnThFszc8hxFP0dnO3KJzV/7iY2pmvCNd1kZtA28om/A0AbI0KNx
H+ws0qEKTQMOYh0pd7K1ROjFdP0Ep8X4JVreHqO1ukxe149D6hrpUWgxtk0NLJJwyJkifTpvZLvr
YLuT5K07d3a71s9T9Suk7kYvcdrPAsOHMHpFO4TUDsdWG+yIejpxgAZCXGFoIdy1HUAbPvQXnqPm
aVy2oxZ4fNhP7+BDkqJF7VWPCIB+cxjEZpcTWPZBa7QcwDUgRO3KQZCpR5i8gKKf4HI/conNfu66
/VDdBK9aiGPwDRycBcDk09rsthCHjA7a1BeYPEvJTxDZjVvi8XkvbcznEOdIvDmuX7dojSSbtB1b
i93xDHqRyJljHoq857wb+va10GEvpepphB6PXuD0+Xgvcfpi2v83nhvkh6CHwL6rlS58a2cuNKAl
GpvXt0gtPLeX0/U0VsvxC7S+7KfndhGhd/1VCz5zUxu1HY1czxaHpUQ5B3M1SKCT+kmJeglFTyP0
Y+QCm4t/77Ek3XmgWyv9CjEqsgcMAShSOdv1X0RAs1dtM4IEqly0TW0l4Hl6nkbn8egFQl/205/+
I6qvTV5Hr1tZkAh3BJM7p3oR9KDzQKEjRGCjwX2K4aED9yKSnkbowdAFPH/spym6uKkyHANx5029
iuwQJWz8szA+2NYupS21RNbt9rXIXb+AkqcxuR+4QOTifC9V2h83dfPmh55+LZ2G3Z84Fg09bmgz
vH0tdBp8A4mEKTKiuz6rhRf3YrKeBmkxfAHVHxf7CdVocJxd8IrCg+So1hL16t2+j0X9B7VsdCLi
pCiErlsU7569Tef88TxBP4HnbuASmL/2ApjrX56z91CEHt35n54tqJEYQJso9hXe25WHxR90G2CH
CLZP33XxLpyDxfF/PyfraYwWwx/N5P/T2YI/P3fw/kzG1WVzub49zPHB0YO/vno7XZwwuRi6S7o8
aZK2a3f87fe3cNHgPd+fETl/x6NszaNzT5bDbi7r5ve3FiJYhW2LVKJRTrL55JW3b3qo4fkSQ5ej
AN7Ys8hxbIGEr5HPSdPf386buMS8CRVHF4II/M/bN/Uc2eHSvDECR4M5TAgUa7EJ4v4YzY8mHZE0
uV+R3d9v8jb7aKK8qTGag3GK7X3zFPEQxVAzITa6YBVE3ya4fn35GboHt9P/I+wRdtVE3REOvKQr
O4zSdTjl2hNN8+cokyuHdLFbmKlZ5+2gvSSWtTsMY3Li0KTwSOOcO52TnFhpk5wObfq+c3jtKkue
2WXF3JRYuaviTntjywfXafNpw1lGVmVQMDd0Sr0ptBV5WrbaU9r+VPgdWZHQz92YO8malmpwA4pn
WgHpvJjmeCYpySpO6j+7VJ+3IjJuWRjbkyK+klZBVmmG2xM6dZ7pVHVcdNWf1AkLbxIdc+NJWOvM
VxdWTz7HjF51FR4vRfFnanDeSNAwdzAq8lCI/URDp3btHPORxdCsSVX+KWms3aZSudtbmB4W0faG
LCerzlLHVeUcB3nTrP0aS9Npfx00GXOnOPluJ9bgSomlNE5Vr0iJL007LAFPgq+YApaBOMcZugJW
foW7OgIauoJb69C3a7cNbXMU86rYmDRIV7KUuJrwT73TNut5ZMx9x410G7uTLXM3GLEERcqatWjo
9Ckw6SeN3sN1WuORaTCJd4KXIL9n9rotQRArZLIiU/A1qfXg+qp1Vtrk38e8NEclq2xP+GOy6pPR
DlydBtd+alGsgz5HrbpZszwtvJrEsRdmMQBuHMc1pLO9Ktb1ue/4yftSS98rrHTaFBOZjnoHq8dq
PLQX6tih1vktk0Tl6KxGXtarQoEP6Mg+ZZ0TeRXR571DO89O8J+MiE9dBKKCOOHHzKr0hsZtvTJB
Npwo3djrrpi5qMG96BI6i2qarEpT22vVhbEnfTlgmcBYbZoVXibEGfj5+6AT5mK/keOmfXSFrDqw
n/BX7IvB7aiVr/rGqT3VGYzJsEo1LZyVrYrplJS19qq6+vMW7yxwcrdLwVZNj/kGIVhG6QrQl2Xo
ttJJTwgNvkPIwdUS9zohuNNRYBUzy0JQNuPXNMSf0omvGAUhkDzH7YokOmuxXGiNOh8nIN+XkBOl
ev+kd7LpNFSQDq3qP1WCL5QKCDstmMmBNN4uRl5AKHoLtxZJdpWZ3l77RJUnqV2LNffBtGlS+ydj
runnrI4Lzy762O2rsfNYUxSbKbPtdZUYssoqjiUlHWgIwvqdU1vDYSBt+p6VfuSVzWSvEwWhHHv2
Purj3M1bAy7LcXHo8+TUsSGojEAROF2YrpMxSNcEckLSLvrUheLsVrxYPE1HhLb2euCps2qNM7im
jY1LMsDNQ52cBCHJDwfCknVHZzFMHOPdYmtlmL7l5+9l588qBCyQF6X2WI+1ueXySSXTxhSVPqwD
nqzHLNUbycJ01Vtg51sGmDkcIv4p4lN+yEaoMd1Bvvmkp6NbmJu2Z5ADsNGQ2M26i6l/WUTCOhIh
pjpZeFbeUuvI1wzaS0RX0Yj/6WnyPUhAH6JM6BUL0pyxRnt2Tv0TUrX5exWR4UwM4tDp4ysriEbX
Un3+3k/sZJ0qSEQ7EesoEJBTMwn6flSh3igJJsszlr+3ao2n51BfKs6w3RXKgU65Gw38UIdp7RJr
wJfRvvN4zaSnGsJWVSVqt7Tr6riXtbNSeeeshigjR8QItrbSAEoxoFBuPaCzVKIP/db+FKIN7HCi
+XhYNFAmBe86T5SYtt+BhL6lkCJVmKPMgQbLVMq2usnWg72+Fdoukp1nBdY5vjv8KCqwRCX4J3uM
x0PpW44rGjObnR7MVA7FppYR8DMpWYUlyd8Pkg9nrUq+ay6wNCMk4HatpRbJKsnwlS0FrjyXyZoP
Tb2yUH92Uy5KV6WW/9GmU7aSpkwPHb/8Xip8nLXxGkJfuEEEfcKtNNrQqrp2iCXWuUUDz5TqIjPc
rBMr/Gj17ZkyTeyy3glOxmgIYtdK65SuZDuStZ30hrj5YMl2NaXT34lIs87FOWBcrrEBsrbcaari
Kzs2w4oWsRZeROxzESTpqnb6Ij4dg7o9iXoCCBnxA9/1A8rbdUzK2A1N1HwMAy79wJU0DdSmqocu
9sakIeth1FW9nnhYUE+WpXVS+O2l1RjzrdbdNY+Iad2ADcl3p2TWJKElpqn2oP77oyavzEZnyaAL
t7JK5hVxBZmPeWetApiilU0d/1T3ZrI2Kcv7+iyxQ0cd55rX2VEzTo315xjwzgvboEvf+6FmjVtV
KZVeOSZldCY6aY/rwM5963Pewn0IlUTIfe+KPeHZwENa+jXz5h4mpSIS+VD4XQ/9mlRb9sRN1R6p
aBwPqyn8HiUwLix3ztvKMLAVpI5H4PRfPxd57n8+F+ciEFs6BF2oC39Kj9wedVO0R7S/VXaQQRYl
3/LeStyhSL7/+mlIbPzzaUpSOR+LQZDYfTzLqQ8sHk15e5SOYJDZE9CJb60Dqybbee3c7t2Cbl3H
a1OMVRSEu0PY7//833OT4d/bI8J/fDif4f7jLzTIbg9//+VdOOpkjirr5U0zNfffBWJ21M2e96M/
/hEF/MTP354l/5OLj4KARyHPXeQ7e8j27DHfM94/YoBF5PQjCrgdtwsCpDzQcLNxKAP4Ea2xBEyz
DQKwf2bO16NXDG1/OHrOARvvYgBEDgzFyF3UAOB3AQDFRk9mo+6vKfrTNU6j+08CAIbcywMOmp9I
cTA08jO2QjPHbaTxSE5oXOW0T8SNQ/2m1Wu74HDTPFJ00XQhRFskl9yCadjk5ViPfNXYgwgHzzI+
uQryiueWZ+whUSc6FGO7SrSVl0e9ztL6NBVZYY2uSQZRXImkiQezsqRMY+YFSnF6owYztp/TcFDp
peOIwr9mGSvlWSCjEo5qRqMapPACVuFDSEnT56sgFVVSuKYXWfaeqrEEyUGW0fGdDcMXf7fqzmDM
A0h3rP8wSkL+6tEaQbJsrrFLY95Kg+UCRzxcI0WzqA1l6Nz4vcnj8qjJeMqPUt7VlTqa6qCJem+K
ChxYmBI/sv3Nrx8/x4iPnz835jI0tiG/iYM79EKXTTFzaklk9C2mCUvgVxomWOhqbVtlvKmGPqia
VRU2AQ9di1tTkX/sORsRm1A+yZ6dNDLM68Q1Br48PUM5tsS1XxP5WO+hxwRbJXHeCwpP6K6b2fLx
Gg1hZNlhxaxv0qo6Yq+CSQWq3KQObxgMYNVICeNH/AbJ7ntxex6b+blc43QNnDRvo618+dyiHY0y
FnO+BXDgaonIqUjrP0Pu23ng9nHURh9yH79g0bhhaHAevfvrxyNGfwgNHq8QOSNUh3+B0wjUvCwP
wudAdJFFhpB9s1QKh9sTPZHiEoJkNcdmilR6FlnU0FOWlGP7JakJmUIXncUpFuU/pQRbhCRaT3Ai
wlypXZiCUIV+Go+k+sZlD5HbjFRONNmIqm9rvo4cn8u/qxZLULq1RKPx34aMXaXXXWRI0T+DymO7
BG4QNjY145zseZ8m8vULboBtJfGY5P61r6dcVIemLDJ/XFt+VuvxcHSqASzy6/nThSbDMzXBcXaz
oOKkKBypsoBCT7HQRWNdoW9bZdbR0MA1Ct1sMCF+LaPtYz5xL8rq0S7cQdsMCyEiErZfskLGowfX
rsq/6CzMqnxVClPZn7MuyuurX5P52C/hCrvBCY7mwVHVOKgX0rLQJW3vOxUpp+FqqJoKTEDahAAf
MvRMWO5Qsc76UtgIDiA0TW/mt6gI2mfw+cdiYVsZTgliBMVgzjhU2+PFcuDoN2MtzVWeCgs6PIb2
mnq3G0kzincM7m9yWQctDjzPYpFDo1ZFVlFx5Fix1SVuifD0VvOPIUbl0ZR27/iQFCZ7Rq3Mv0Hw
SMDQT4Batg2P2AbCUs7r+UDABtbnhc4ndlX7trSyddzURdp+LKcmKnKvL8cSxFkq63DNjGVmxpWT
TKP1pS8K/7jWVRoHXjZNZHyXhWXe+G6uifQbrxXESj/LTAdT5tlMD1CJthWPND8hk07xrUnk92X5
jJhSNIE/mhDOW0RoryXBsQA4sEwsNAY4My+7vCv+VsKIWHhw2gRY0fdbrSuPTsqCavfHrfZMW45r
7a06Kajv4NLQN0yWGwSez8sQX2pxHJ8OZ0RoSm10S/2DLZIhqTM/NMXfRQUpKtesThx+atOQje9Y
3Y5YDu136XSRhcM4KiSmqr4MPSj8Xn4Oysm3jqqMx9NFZbW1PHMiOTsIA+8QXB8mrZjhMTXTYKGx
U6L7XFRxMl1MqUz6xCVpOhutCKsPgEyuQ3zI4KtOF042DMCOiXjEWz2RoHFWhahZvZGqnbFLhiCC
g1HePl47gTX2rmOGGF9h4DyA8sjKZ9+gKUSWXA61zMtio7uKdl84Q4LzfVUlfuWmaVbZGUJSPxuO
Ag7j+lfu5D6/6AiyQNlaOQH8jK7MDVyUX+uGpdbE6iu0BiLRz5XEMdEL1mD+iBysLtK/J5rVVeAO
NlFF7fYmNukxa8seiuLXT1xqIxzTzgmitdkrhe1ePrGuSB32Gev/YlM7M2Pf8ln92bVKYLxlVwr5
tx+zCUzY221TB6cKigV8+msy5uPHHwkFwy8r2Qq2AsdfIxU9Hyn/UMon1rWlpWV2kfE8Qw62Ma2w
bkwZltBGYVLndF35ykQfu9oJoHGKUJhgHTiN3RkXhzj1aec2dlC+S31HfhlYlTqjW/dUdp8bxyJI
SYlpMO/ARCR0Y8L9qHC5L+ks7CEBH5ouhHdx7MdJM0t+h/26H+ZfgipGlyUVG7rDX894qdcc7Ion
88/f2Len4iImeDzjRPph3pe1+tq1OYETK6rKhhPbTTPf4rdaOD8KaT+AbYdEM7wFza1na8liZmnW
IiPif/EHObO0XUZTVh1Fhc1mFVlONaGbEgnmOjqcxJhA6vw+m31qOiJTeFEpWkKMfj0le6HZHHhA
DswmtBoQRJ/YQlWXLM8mE+f2V6cJGWSrKYKZgMZi7Sy6t3KM/RkjaPPDYRZx6MpZpVRFCUNjhRRu
PB3E/JEpE/xKTqpjxY+iPp3XoRx7I8/8csBdUcjmKY4Bcv2bxFIV2xRO1bEaGce8wHSfmdoiAsDU
NMVZrNgch94pDn/vMVrNkFCVtmb8yoJu1lRNVYK1kNCJzHVDnMTO3bEx5XSh7Hy2j5llKAAZZJYG
43rKJG2CjWZW23+Fl1phOXqF6kN+wroJ2iSPLA0W431azNqthdo8ipB8hVpr4JHggVHjE/yFGIti
KbKAYymaRoVW44m0jSESobZj/LVdn1kVzj8y9CtPeyGjyEhhYw08beEg7CT/cHVpP3E5ytI67zJl
oB227i0SP0OXeIgswyB/Ti0szNH8SI7tcDaBWUIT6DLwIrGB11oM6rxuKTikGXG+RXQI24/14XHB
jUA60jIDKjQpG7HgaefncFmg9LBKfTWkzUeFbKYfb/yGO1AGEMjuc4XSKyxAZkHwmyGHodrBFpR9
jqUcUieHrECKZjiCZJiBsOKI4k2Pse4+E5MZUCKSBLYpkc0cp/56tblmj3UiJj8bASgJHG0KL2gZ
2cAdrFH0GsbzMBxl6rtNmzBkN5EKjM8kklvVuC7DShaOq21bxyEybGVUnpC0ZYNwC3g71rsqyCx+
6mehYl7ZmyG4JlFKjnq/5XKVqNyk33icTtXnzMgMP+E30bT/wDtKhmnlxLkWhVfCf6zbTd8Lpzur
ytAfjCszkiHXTyqqV3leaerFQ9NWvmsGp5yQmMy7ig9eMCQdhKGbqn5M3cESMY832qYt/yLTZuSB
Rwba9u1hofuQ+vDf/KA5bkIFz8xTU9pPE8JasGJxPCSj37plXcRy02kVsJXIrGE676Wxo4uWp4G/
YryxqTciPjWjK4Om1isd2X3iBSINjlCgbVAFIv30ztc5IYe0p6G9QarMCcm6SEzGv46iCxLrqzZk
GM6HZmDNqVU3ufUZFkO130QlZfV1Ul2QG9REDQ3rT3qY0uTQj5Dd2EyGO5lxdWKYHXqqmurSuaJZ
7OTfQrsw3bACq4zljW6bvidekvY1jY8aPy8FqhsJEak89DMrkWeaKitJDjtZ2HUa3oROzhqs8kCZ
U/HTiZkOLD3Rqi7CT+hlayRZ5zkvCnXcaj8K0/e5GJIyWMdd0PTd+174QRRtfJ71rfjs5zYrj2XM
w8DZgFckS9yimwjMelo7Ua9dZBVl2axCv5ri8bgPaiuMDnukw6XxEt1zKNiuiFrxp7FaKepjMEdv
+V7P4LbQs7aA14Uy6cicQX5IbaXw1mw/tKIoxTVsXOF43GRqXl5Nbant7iSWVRHYR3SwLKW8MRZJ
qw6HPKZZ6gqknmEXibAiTCdgAkblcvBHtPGhrBJqEXwY+6Iv1MfYt+I+3aiEWXZxnLSjdroPMmYi
0m6p9ZyTUFUjwuRCBb5vTe84T2uslDWWUNmn0NplKN5ZzK9U+p5GZUTTj3Hcx46/7mMogmBtIuyY
qjyorJmksbNSYq9JEI5RuSJFElfOKm9QLMj/tJHhxvOyONX6axs4ZelVCL2xsrbTRrAgHpXh/CWg
Hy6LW5Z69ul5WGP2XhHSnMlNHPbzijEU2PFm6rCxvuSZmlU+75rAUZ7uGwMGmHL4G4eNrjLcV2yn
GjZiwvKVMc65VLAltY+npSFFkJnTaIaHFjy0xR80HeZ1zrmOkUuyWqsCFFaeOCG/KUsENOWmiiJ4
Wh7qsKMqvcgJRWsBQd6W7UUT522UY72scDKHYTtxOpw6sZpJjoB0MX2R4Cw8geFSeeVbw8xgsrJm
5MVo4bNUZ/PSdB3FrTCxTtmDhg4NoJjjbj5VxVh5hYQbyg2eGAojvySCo+Lj8V4jAeQWKqRYix33
+FOt8ZUqtubJ+ahM4K1swTWVt/NxtZjE/BerRXLKSFRZX3ZLbW1vv1vk7X3IFNjJqbKLDATQ3Aq7
qySSRVQdRjkbMenSnvDLqW5gsyAiXxCAB0a7YguUmboGrIbIu62C45zq0RcuTcJulB901hqsUmdn
KW6xC+TYKg9pDtTR3ISMs9MbZDjJFDKqAlJe6e0KmgISBL22nVNoR4jRvMLksqdHY+vM0TnZQrtl
D+knKdZH8ggj1kKl8+QHOYbg04BW82NCHkp8OJqSqPDrZEW8bU4wUzYv75aRpnZsQSUmOX8Ljaoa
49DexMBddRPOpG8X1Jr6CX+YlBmu1hYReRIfT+iKGYrDYE4ikXUftQYyreNgznzUPfCNOmWXV1QG
OdinFvBYMfkKdVz5oUYue/5Cu5vfeBc4eEtzMotDNomZ/ryVQdh/bdEpEUSbPHDwvWHJaMCOknpU
tHnHtrwSxbVu1OFuyXXcVSBniFiCL4EFMHh4XEQJ7HxHy0mSr/DcYqdbFaXV5JFH6sDHw0Uc4mdq
Vk1aILeZImGAlA1gCttjZYJZnFvYV3yWjK2MnU0CZ3EYT5iu08EcNdyQLPNSzeeyoF8HSBtSTVvc
HzZljTc4jSI9y8oW/x2zHnk7QXqKVFGJXH561iWNj6RAX8V4Og0D013I3B8QBfjjNPN+r6HK483A
ShsaxqnCtHXWaQYTm60HK/d1fSw0TNXwF5FDDH0TpMYkydEunRw3aVjFmzZMEe9ej7zG7uujIg6x
HIfsVmZK46RYsNrvE3+6YKFj+uZriTJ7L4+a7dQHHdRYIlYMU4IZJUGPfgM5EQot11So0uUrOhQz
1yBfNbP4Nn/q1EmPFUD9f55vE0U23iowOO4vI2QfLTdKJ+SVsW0lybWLlMUos1NWoFybr+RI5xi2
E20NvtomWSYq0srftHlZ+fZx4JfoBnKnberNR1iOrGEpeIIUpU8ThL5Zhtgp95oUiQnxLkvkLE8N
7yMk4YPEaaAqmfRH2Lx6hKaJN4hs58VrIzanCmyUNpGLj9M8wHCcpolZ/tXDPfOtk96vqyo60yye
k5ToaoD6UYnPZPOJI401+uvBj60x3Mi+EGm9QuoCWwZchSSQ/JsHjCIkhzHUAH+y+IRZyTybzUYm
/JndKruiYL7tSsaNQSaaRSRi3Uk/CTRAfUqmtre+VHCmkVWY0Boh/4a+BX9ZfTFhBWJO5jn4RW5B
+SO8nLNUKarTcy5Ao3mk+FvqMSzpFR9SmZ5JWRajv+G2qRvrex/RePDXsGgsFW6dIv9teU5KVXWB
jGSfNOckKOMg8HwxsnD43Cv4NuU33UVdaf+FhgWkJg6rpO0y7aGSWycXE29tbtwW1mFAsE+pgU+p
lNAtbcHlWaxtr8OHlupc9ErA/1ztZrLFsixiJIg9HLU1ztO6VTdp2s36T4/BrE3g/c/CG9XZfEd+
m733Y3v+TFBi4Y4RjVV48xmyE9kakftc24hSv4AoB/AW/y97X7ZkJ65t+0VE0Iju8QCrz1zZ25l+
UaSbAiQEQiAh8fV34PSOW/aOqLr3/UQ4qh7sTBYLaWrM0UzodZ1dIHcMG3XblbnY/ubXkgWmRCXK
kQzBX31Q8Fs59epSWaeitAhC5Wf3uknrZSgWvwdhT9xK8/C0jP22y2tv3ejACToR/kcAy+bTuPpY
38SH/nAFb7l9ct5Cafzy60KxynGkjVgq3tNHx9a3DNaXgvVSkwf+UbD4B9E4IiCJ1eB140ZCTipR
hFSiFuNAi2ZMtPek21jinuFsYlhKbVhvMK4hFtdITbd9LP1zw3kDxzlS0Fhvm1yGm8xY9Yvd1mRK
15C3RdxMvRC7hnXYjfB1bJoEeOCt6HHkOPF7yRR47NKEESwv/0J8/dHQg8tBfcAKDlHcIJ//SSs3
MzQE8NXhUzMMCT51WtcWu2EZUGZHj2w7qDMgXprCtOP22f+lu/u9t9sujwnKiAl/vALmT/pdaTt4
y5SCqvoojQwcMD4F+gDspH++1B8EOnaTD48prgXKCv9Ntrb+bwT6kvExo4CS/1kjPrfDUI6SEnKH
EVvb6s6TZnuoumV4wgNRBI/sV3H858/yO4UQ+8gH4s824AFyONZ5+PtnoSYKQd+y+gmv+UQZa+Ng
w+PTBJPqbh0Anf/te/7vCyKSAOIADpAQ5GL+B6/IG+UHnfDp42h7HBQ1jF/zKXUcS+3Xzv7nGww2
2u5vdlrc4Za3/+nMDfGKhT+JTNsxAgtolzz+qhhLs26kvUsiF8d7S6bM7Jmkq3rQS+RYJXS/1fNI
oTR400pwHv3LJ/p9peM7Ryu1jUqHkTiGu/9PWczlvrekLhofu49NtQDXYY9bzSnqepuZFo+gITAr
hVUe4XAAtPCa7YMwGY16Lc2Izn4fi2iI/cKitDj4ieSIf479QYMrLG3oJ8vlQ8+SH2X2n2/iz8eI
B0f8yMfEcVCyAV74/vu6wbk7zqH1zLWZ+FaZ1p9ASE5xrx+cl2mCN4P8v1NdMQQQJI79X4MTtmEk
v18vtUAjmDyvr7+OPVs3sFv5AyrrUKgJ0+7+/64Hyn+LOWNjwDBEfkb//r5Ho4WCiTYtu34cSwDJ
29NIeYd90U/jdmD88wU3ee9vyxQLAvLTNu8LfhSyWc1/v8HFrbZVa8yPae8pHpepEGn0JVHYMP+2
Bf/7Unh0GRQ8vIsMTeafpU7QUDhdJ/XxA4qYGOwI1lE4Cvzvn+/qlxXjbzcGrhCX+vkGwE2YR+D/
9xvzfegyadtMcHyFfjPtwthubgSNWcJ6+Gtae2jo5TDV4FbzQtAV3WIxx/UciAtOa1hwYO/jEszP
TUjAPfj3gsZ1PRwdsEE8XKlteWBdSUNITm/TOAq0QYqFpB93otNrOJf+4CeTqDIVg2q7iWwwRMl9
/qHn8QTNSHRHexGM9pbXjclhmdEmaQNwIgxWjSMajbQVVecxiUfxC6CkHn6sKfgHrABCz3BYJD/L
2EerwRcfpXtpRIjSjdZwgwGLCT0A2gGW5u7ahxr/ABAr0ek1mroNzHkf2EZCHMVu92UWrG3Bp1kE
a9FPKu/bKpFpx3TxH8pjxLHZFL+AzE8EBWVtwfe7jtl2iKejAbOE3oIn8IJmAy4JF+GGFHyoFW1d
dlZgmPQBfH7HupcIsDePrombcyJPLPG9jQyYjALP6j76sHxxUzRWDdcCtCsYmBQqQ8GaORto6emh
XnxRjBhxG4f3+ZjLdNnVIzb3+By73KzDM/SGTdECBoRj7zrME0SE51aCba4rmJBgJ9g3agwCVooA
oPMvh9Zzys5xYpfwSxBbN2dX0GZUPvR5zni4Y/3k+eiE8e4KO5eIc0BL3/WDw7OtFhuuym32WrB9
JaBZEGelI44uNzyf5mktIEcvLbrpPFPQRdvGnw7E7+bla+IL7pqKEgDuvhBpL9RrD+bF00X2Ibn9
qkUj9PA6uckE6jbb902XhBoo+ifOAvG94UTXz9uh87E0up9osE87jpZN5XDEyMIoPxEBKlk9pPgY
IedhsXDP5M8o4kP2JPvc6/aijeu4aOp6eYpdG7PKtQs9tMREx9aP1pNQ1hzBZAyPqUqQg8jj5pq2
c+eDMzbqmWJRH0kdD/Abk7D5ypTsXmu/HSqbBxS9KPIJBzS7oJTCPr5k0v8ycGzHfpHJTbK0skpJ
0+Dp+p7as9SSHRtafbeyDu5WoPJ5lzk/6rBiE/GtkfopDIi8KOLVF2EmRB8mUNDwvtRHM+i8avIl
e0hlM0LXl+33dhpp1TWyLhzp+yqm+XjO1lDsHe2hAvcyJvjVmetLwvp0v+BXnjL0Y1+VHfQhdA39
Pua8O3AbdGvhchbvG+YPT5KAm0fGApmAwouG+mWxa/beeX2MVl4LxBjCdueHs38mft60xeB50Q0B
TbdX84RZnSylDyAPW/iV5ij/HkDqQT8TyODRhKxp99L13i6YxPw4GQLCAaWgmpzV52hSjhexWLKS
pjltstfWhLk7wYGgv00hYcFu0HJGm9OKxhUGb+76kc1xKiqPeuosctgRKhLM7MGaiKNPEsMlnuZg
LGnWDO8+m+SNxVvxLlMSbCuUxpuGWpvlbAFnb/2UmxPYb+/c8qgJqwzV73uwLFEPh3MWNGibpfe2
yHH5MXqeLcM2WN+niQ0hHAUS9kG4j7Fym052BRxTSldyXbg9J7oe68IPZHt1QYpCjJaqNEvURWe8
VaGTZ2VHtQ+lDi+wVtsCTO+neHHffE3plQTYPmbScwVq0W+L2gqTVrEboh1J5/4qG6LenLTAZD7k
7RpJCw4PBC/TtoYB3NMReYcyPRRR2PWHAURBEfpifrBBzx+mxs285PNcv4yNG1+VlSIsRqttSQMl
WcHw+aC4ZuDcsPFss5bEZst9Hk5NV/arYe9MyHVLNolPeHnbWEhpgoccIsJJhiortfLpmbQ9eZ+y
xN4w8P0GsgPRuCidC6q9ER2prm+SzBvaogt4/q48NANVBnzGiphN432yJHyPQp8kZd6u6XEOhuYe
Ph14O5ZGvYRDLw9G2+DApEneVURfFvTJL+so1uwwSuIKNor6h8MXcmjmVOsdYKB7QjIipoUiIxRb
Xs+F3xhzSnIuDyNwaFDU6ZS/5P2cf42sjJ6ZosNXs5r1h8YCrwyyIbcExoKDj5OiGu04PwFfekW8
9ObGUxP/svoDIhddQOHMAp18bZxPcJZZVCSftRn4oJgnxxTCTCmnnh14rNULvF0RPr8Jz4HfR3uW
RNMbeLnxPu8bdQxclz8JodZLPbFxZ1OUXLTBor32xJ/PSpPlHlkJ9ayyjHyLuEFxCEdnrsQJbB5w
WndBNOuLVelyahcbDeBtsv5AE0GQRkjgsATtkZ9WT9EbShv1sIZZ85KBOnkb12x+xoFfH7HZ0ts1
8GZ4mJJ23+U0RkSmC6JyFnlXZavrI6x31e/X2hvuOSj4+9oOcizhDPH3amHjm5w1qdFcr+uNyom+
wKjEwQ6I4bmO1lygZgu7i1KeHQNofgiSreQuM3UEZl553z0awoN242KytgjmCQusW6UalHZ2w+PI
pMikYHBjNxddLunN4sn6HixLd/WI6z91s3rHz9Qgetvg0ySAYJhO2dXmDPbLWAbtOR9k+EV7VC9l
1yz+Law++qUNjRkPTdhFpMybIL0QOqhsn/uiz8+iyWQFHZeshYHeXWX5KlKE9ebcFCKi/XXwoPdf
nDem+K4Tf5kVImUGQk9gVbCcejKKu8gS7yHtcwREEquaYdfkUj2yujViB8nXNRfR8qGtPNXHMCFS
GniH1EzT+uiyXunmsEEPv8pHixcoc3xrw1LzM0dPrroySIFcylhoam7BlrCpjHRQPy/pOrhy8Lvk
BnY9GlRLAIh4mdGIz5/iFt2fQh1Rco4TAKe6h63oaOYkPceh9Xv2vEaOhqZwdvRzfQ5R7PxTRqAI
HEaEWVTVmCnWT7lXcwSxwrrLFRIZtO546ZHcPrURXDNF2JDuYXCBtx4WNJqsRKgr9G+WnNm+DBV4
/Nu0QzmtYJBbqwHM1pmFM2KPQcrPs+fsxO465yX5GuHr730rKvA0gm8uLRnG4m6eCcvmyiUs6UIQ
7NOA/ZBB3ix14EKxI4HumhukzlhSiB40b7nOduyLSDgIP6lm/Ni3JB52NYTCW96CJq2Ybe0xqhGl
qJCkaFJQYkwFJ14rCTkSOTdXhAvU72QO56sX5zYtBaPITaaER6DiwNl9CqSnvpsc0CRS0oWHYaBB
tKtNE2pEFhPbeEMJbR5WtKVIm+TReWRIAcx05tquRCWd8Q8G32sxQhZFaMySXSM7WcT1GNh8x0Ua
pM1OhnaI49vAM4l+gZgr6JGNGXmvjfmyrk39UjfyS53LmBVoE8TTAm/HDqlHdfBxePgoEomC/JWu
l86F3VVFrd6bRuWlHOUqixQ2TVkIEYsn1XcJgliJK3TWEtRXM4tvc03XfTp0UK5qSxHdw7lSBnZa
xmrFYUPu86mJnlIYiFTVGnA9WA9YMAX8cMv3YJD8QY79lO2mNK1vpqEfnvQ4zfVO29rQE1jjOi08
YfOTGNhYhf3Y7flI46ee+8Eun5vhwmns3YbckksoIVoO9QTxOkdbVIUhxRstdKoPqw3DrsD8jk5U
fm7GaSeDZLjCP7jMJ6kWWuTT4tty5DUrSTIZWeSBoEgPwBCpT1OCm9s5kNxPK8WbmJF67cYDg75W
KWzKpVgdV1ec8jj82wTpqJYBX+Aj0EecOu1eI19d6l42n1hbB1/AvNk9TDv5YfBzsU9lyu495qvS
iKR59Xvx0jE4wWo0bvs0pOwNWch5KOJoGN4Qs1JnHUaIDVJlWVa2IEfPVIa46doHw91aU6LZje4Y
2pKzWYL2G2+i9AtHNOuVB9FygywiDApyHE4RKONPIN9DvtU0K4sIya3bhNIIuBXFcVuE5BvhWzPs
erGd2jacvg4m89pdl7QQQkEmD8mpj/t2KCfV2hla0zqALEwXFpRRhzpSJF7L4ttOTuHXpmlmXoQd
PkPBurTJSo7fW4L+wpponIxPItFhWs0NjJwKWIvXZyGH+bNE19aUXEaR/wUH76KK3MsWc/RmnlSz
ZN6xHePwZfMN7IPVcF20zpN3cWzZV20yieMBned+0BRuqIHG0Q2kO3WRDqaSQtWANDd20vIrgpK2
LSfQjKZoTWe/zbPDXsGmRJ+mJVjM7waqlSmgyJldz0x0BkmN5NvS2hVgHrbRH5g+b+hepM18IQ79
W+EBjsxVR0eE9LxRwPPrryb+NE9d95ZKYxH5jKYKcfTRv+olDZ6grmU5XEHAcEUyL013WACqzqh+
/bKzY9MwQLkc0BMuDm+4Rs0SeKWmmxPPIYAsd0oaJAzgSMEiKkkjGka42dcmgZQieMk4QJrabW2s
Kakb2xCYGgHY9bWfdM/vwiFYpgpdBeUoaYjgr7JUga47d/D8kPXkLtERMl08GNvovYNt1OtL42WW
0T0EM279W94MCbKR6LYtkYVeGzHpMsWBG7uqgX6VdYWGm5u4qjeOCn5xGQ0jv5wQJw7kfWfADiHu
Dpt3rvdKy7F9rWtOhrpasFUgoyCNE/WqMHYcknlfA6v1J91oT/w1jQgaxrsG/ifR7+IRWtsT9UNo
LwcJo9TcV8oRz2f3TEuO50A82KWQTtcaGoCBzR23/0N4eerje5xY76pcNjZ+jaEyNU8fZK0nN8Fh
7vKNGg0DauUFg0s26R5+gU0HwT5c0+81ob5NDvBVr9hvY4Do65uWS+M1RZ+B6PLQ2VK2JDgiUI7n
T7oBoZDdzACU9uqz3Hek1AhZjvywQt3C08KRxwYkrzGtwIgq7mbt+kukcXtr0Q5wWUwYGDBFgj5F
cyzbZIf8aNNGZ1/r0Q3wIbUzMA56h3rcS5kx1GPkLitEP+vbEGYuQHeZo2K6vAWIysihnVPhnAQL
a8CktiUsVbpbyK7uLcE8BrnAcZODO+iH7GYF9Mt21OsSChXM0FzqIiBjTnapWyNygO4nPslMdy8e
3DVzEQ4InxVEY+/s4DYR3/2eA2XB/d4ovhuSKW8qo+BT2TLxI8THFbnVny77c97W5h5kqTmCB25v
Bp9GJQ8TfcsC58RORgJmLZNDCJZe98SQHE1PIyBcWkS9dKSw/cL7g5p9uBhtJhek4n3Dv2MAAOUo
rUTQIsE5qqs5Wt3j1HqLBUDwuh0QKDpEymQcH1RCZlFRkdmv3kqtk0VQL2PwmPGWx9WCd0p8Uwj5
q2JiBq1Bv3oG3YhiQbMDnFDTUTcxN99rz26MCxB12Jcrb+o9clqGenuhgwzmnHDM+5L6ZBh2xPnT
MZiG9K0zHQkQ+adhPZQgFNsYHWrqpqvIEl9XoR/r+RXWB9gm4GGFy66Ep2M0AEhBCF8RyK1rjc5b
FGQEDr+1ENxssUQ83aU86c5ePQ2wsusY4Qp466SAdSN0SLZnfZxDkvLm5oDcAh5MamuviOCtO46y
G1mpQZh9XWFYwNqg+YP2/AH3ucp9Ekh77/CwK5LTLN8xeCt+eDAvgTxksr7xUIanL2gul+YB0XC1
oa4obI9AMMlZkRQJdZTIyB0iQ9jjsET0FjbJ+nutAnzz2bJa2NWoBjOyrq0tZOsvL5mN9f2iuga3
gBgb1OFUDKimqUBYgcf5YwD6MK1yNiynAKRFWy3wxnxeIoIcYcwncuwJRkeMi4qfRloP+zns/ddE
TUGRp/AhNqpb4dCfVlcgcuSuyFSGbRXqCVH8outhkM9bk5tTnSi406Z+hR20pgumjSx5t1kj0A2X
sk9duIdCBJ3VjxAsrGoTGZReD3mHtphlCnthVE+Y0FD3brqNtNQ3dRggBO/HtUz3MELI58WmM1zH
c4+7hBsg/UJUk9WFAAC/G70N8U543WBfAFO7tkg4zWFHQeC5qXCgMzivQJfcrwIMQLEmUiY7bmCw
qyJftLt1tPiZOoadDrYRISsTyb+Wqel3IZ1sucyxe0tRLczFIp8tq2402eMUq1njcnE8oiFowQKJ
cLiNOhpesqbjKWxC1IlCBTS/eF4TfnVdy8/Wk9M9vHqshAcsfEcqRvfQGdLclW08MVWmC2ldpRfH
MKZEZTPd6abNOtRfFXUXFoQu3s/JEn/yaCPtFcwVZmfAyCFc0UkRvLU5HA+FgBHjOsBh4u/SJXZo
CvIQqYaR+rHYiYA1zzy2ailxbgLVAZ9XTaTGbPvekrslWkBDR+FAr1knotcRLou6MLp7iyYxvCoE
2Qu8zhPcIxyVMErVBku+U281BrvUwFbWKz0gj1ulEe+ZwLt86WvtnRTDpq5Uy9O7Wc/DeY5HZD1U
ym/AC6RHj/rZJzDGbYplUCdfZbhGGD7hT49GufDE8SqdsGQmWza05gtYZ3pQPOk0ZccpavqkWnMP
wEm0uT30cWi6R6Rl20qB3KoUljopxyjWO8CX4NK7oYE3cAleG+rsa07noJCT9hGdxCgDkXX0L9iK
/YrEZH7JAPcPAaHB1wEO9FdMyHFx4Vl8cbD8vyJzk91aiPwHaWbsuky/w6A830vtO1pk8+AH2Afr
fV57HIgmIOKA80D1aDOmqMpSmFPw0zfLGKrPDGRHlVk0KiOGCq2FbYLhk5d15Ik1ERElAat/krIP
IIXBacmj6JvTYP/VjkvwQeorDiguTAUNHCmmV3S0g5CPikwDie9m1oyo8hNeSQdvkhqRf4ZJwDom
RmgNEByHO+JgpXGHJURWI6yiwbdzc/L1NlnmBCO3m19oa5f4W9yTgR/ZkImZlJQof/YwTCQmi0Lx
4nCzQNOCP4LlQZtgMMg8BitgY+Y7jJPhifLtSTsLFrNIQhvvCemX7EvSY3zPXIySd7ZDHYsbP66A
8+BTqDyX1DUMLQQeK9iRtwEMe+uQhcamgY2dxLCCNnL44Y+eS6cKgiaMertJLo43UCzbmsMtJGu6
mcixBkfIIDWrV398MFE2o4VpI5so9WnIFmpYBSE2Q9+HyFBr2ZWxYdJDNS2YcB3sfBnpafyq+WoC
V+C3yNaVy0AAyYpVNqgMR4qYJMtLMNbbnZCk9vPu0NTWpONn7dVrGBctzTj+Dl74NLEXb57QMF+Y
m2iXlBazBlKz/xd57veACMQ/BKhzZGUhcsKmF/+ZNup99BzMyvybz5Ai+aV6hwmPIT+pSNRwey6Z
6UXpC6LCtEhVhyBS0UFHmco56m36wn4KXf/8uX5Xl/GxMHYtQVwVYz8hHkIr+l0zbGOHaFLdpt/5
ILdsk/gwfgied1iI3gC57F+Eyt81+e2KiHHj29iyw5B8fw7l+psnA6RhNvvIS/wQH1c0H66aKO4V
pPkpbYiGCc741kPko2UQKz8exf9Oc/iXkW4BuOe/LY7/GufwP0iR9NP79PcJEB8/82uUw/bqWcRl
4UOEbxLT1/7vKAcPLzaDkwgjAhCSQfI5zqGE/5rlECUY7wfrIh65HyLSkmIJQkve5rlFESb7BfjX
8PL+GvX2n3kV9x/C9j/Nc0Pm/HdlH7Er/IFVAkFjGJz+K8GJBEhIZKjJKe4ySAgxTBOqn81hReTq
3NVjfFy9AXHnYVncd2hz6U3MCdrcLAiWx2HQsAFN0nvv0g4NZkzy6wrr2XPCQKtgDFqCCQwTSa9N
Z6ZHx0z7LKYYIpg27UnUSfBlkBT2UpaycxYmO0SMx69mYuxovUy1RcsWC6Su5foNTnmvbCmGRpXU
8vAJrgp+xmnaX2gadQcdYW4KgM7tEIcYD9dRFGAmmnNgJrC9rYBpVnhJVIVenZ7hjoVqRDt7N8is
O8guy2/cVGP0FSpb+GA9nUOY5P5t4Fqw0TAAmsIM0bgP06A7BENYvwZ5m18Dj98HFg0ODYNnIO+h
ChLAwn4EsVH4iM/9FTkHRClcUmaB6THgTKgZ4n5AioDBq4GkNcCn6lp9iDtffof8Ne4jhXzF2Kru
gCFY/GUkLEGoryPsIIVlR+jCcOmSBbRZ6oJyDkL9echaCnzSLA/z0K7fcre4V/SE0UMNRfIIhldd
k4jZhzjBlwNHZrsHYacv6IPHryLStgI1ke6l6cwhDThuo7YWo+b6Dnb6BRoVJ/q7l0dFq2JXRrm8
YFjCicCUv9OIB8FvPvTVFNNbwaU4eZl3ApTkFU7y9TOU3fEwjib+qwaiR9c1t2C7yXKAqZ6eQsTn
75FhXsN97jHM9cFx4u2ilekLpCT2qXZt/paOCUKKcM2DVEuWJ2mW8TmnpL1d/cS/XSYfDIEGS/oZ
ma3phmm/eyIDkQeAnDAvFmR4jrHtUlbwLooeVpe2t3VN1r1LU5CknszSR2TmA/Rh85hV7RSZTU72
73OFtYIRf5hEx1bSfdOw+VwpBpIcoZ9Gl2SW3UHIBPRBlravI/IX176W8QOg2Hq0jQNd4JnoEi7x
5ukc6ju4t6dntkY5ZgBO3Ul4+iR7ulGdfZxhAKIM3zBKLbkda8JPCJLII2Md2kEB6m+/kCa+6+Ry
CZuFYDmO6uhhGphu6vm90cApEAV4gCQATd8hPf2IRytOtZMQRJyIT8NIyT7NMILOpX34KSL8G4at
ybr0ahK+pVn/PJho/TRN0qGJ7P2HoUkwGdA28B4jWQbycxuhcG1MEAeYCZeM71C+2H2KuWTAC1GU
fwM+aA692cYJrm33krW+KE3kqZ1vuLiwGg9xiaL2lGiQ1hkM7E9pNM2gTZCpLmYePM9Df6rDJTkP
wK49fG4lvC0CY8g6xh8QIO0eY9odE7fM54Su/QmwERBHag5YmkdvmPvVnlJ4lfcg0cYqnWYQsr1l
j3LyyY8VpFQZcdaUawPdG1wBf4XxxL6kvfQeZCiGEg80hRG64VAY0Rjfe8ruly4ZL6NCN1bm+T6e
mThQ8NK3AKQdJJcHQ6l59TDnBVGtKHhgPlIDPUKhU9ktvrn2vlHfohk9OSV+BT47PYDHszvTBRqz
GtMoe50xlEbCHrJ2LRCkG2AkdvXdOg384NkZDhvn4rRUxiYbPIPTt8ZgDMzFnNATDnobvJibl3p1
hBUdz9HnqRqsvDe1XQE5y7/UcpS3rqfIXQTeKwu5yoq6RpvSdnlaoAL4Za76pMQAws8g3/1T56MB
G3w2FiHjw9cOJvYLHZr8IQaNcZqm2IoCUuP80M4ehyemL2M01e8JLBcH5sfZvQ+DxVxKUNRXkw1+
mVGxdgXSB8kOom3+KcepcV3h1fisMtLeiNV8yRHRPOJEXEu0kOaKAXstltLCbiaWwE/vvPxGaKLu
Z0bHW+YvIzrJtoNaIORuCKZ6H+SgIdewkbt4GqPPfBHhMZlxl4pmw76xLPyBATP6dsHIj3cSjdvh
Apn4tRFd+4IYoOmKpOX5PmJ5fQA1CqrL1UvpBbS5D4J282YDsZt6tE++xlffN/FaOTfL3WTD7JJt
8Lmy3dDcRSlbsNCCBb4qEkOk9/V6cHWkDz24+BPPV/nSafhiML4Ngwzpes9NRHbSYBINQsH+CrrG
6wk0JbtPxsFcA1OH5zyo+Rf0WxiACecc5kviuG2xxS8YcyGP8AsiZclHlb/xJGkr0S/+a0cVPaIy
NSc6h5ULk/h+1cz7JuFjPEvE3PdQcqa7oO27U0w8BALgEH/o3JK91EtG9wHmpj41pgUdaFIILw6K
3z5qUnVVbvzag1/55q8a5V+reUXfb0l9wPiNoFphWyzCybvEvR+CXeshQsDnvc1g8oqg1zBWCN76
D0C6Cmc/Y/WzjgFECqYhYpZ9lM8PYz12x6HBlsYUtJTzYp0UCMGUZuNfiIfxk+masMC0Be+mhaAI
QVbcG9Pz4xzrN7DCdYFaC3ImQ1z0K5+TN2ir7z7Vf6Xd+oYxD499gD4fcSMMXIxGcVLge3bIwz6H
mDR7lk2aPmN+ZvgJgwT7b5iyZD8rih80feJhqbduVvwsa9yFPstxGs186BILgf4WUAtEALhRxDN3
bTjMBHRv29xYhJjAkFid3Y/z6JLXKaF/aXhhM4SQFzw4eIVCufdgeijp4B+QmJLrQaBDvG3l6A1v
EgUU2Cs3yL5Qvh8xA1OcM48rdHkshAAb8UtQu/6M18Smb7GLxy9+Smt2T23TXdImDtQzOL+GHrqV
d2tfQhEE44s5ATH7njV28l7ikdp4FzQIRcNnBO37NKZtVPWej4l4mO/6f9g7r+W4kWyLfhEUMAn3
eAvlWEUr0Uh6QVCUCCCBhPdffxcoqYdmhpq+97UjJtTTaomogknkOWfvtbe909w12A1W9QhWFmc+
nbBI3FF2DHs4i7gwVdud8yfHrY8GP2DKe0hqcdr5Jm0vXSvsVYri4Ja+v7ZnL3KTz9A8Y6AHB94g
2K60JEI0lBlBlBvTeR9H1XnN1TzMLT6aOBnuF7PNofYdbdUIrdsZ+TjRPl22W0AnOoyRVn1MkpM0
3KLZxnVahO0e4ZgIULUnu4Y5XzCF4krNcbOWlRadzAILMdqf8FArMzm0OvIYIwNohobqNA4dptho
zr92lpMFdC6nXVL1Cd29xt8gxAk3dZIVmyEUJajROOVFFpaM/bnM+04vzVWbmWoHxkp/FB3NiKBM
S4bHK5odxndYro531+hd7jYPnXCr1L4JK+YpbZBUWYJ97qk0+aeI+0MRZ1o09N+r4pYgzzcJvU8w
v59/8zebW6dgQ3lNKwZvwG8kn7Yg+Wx6yJ7uIZr/WeL95nLbH3BsGoRRudaCyrcoJn/VcSC7HSw1
bEyIhqUs062/g+V7I5qGPc70jWaxzqfAvvCyJSE0Z4wqFAP7NLfjwJqdcGU60e2zk/KreHyOtXvZ
97BBf3MQH/YLnidkz6+xcm3Ra9hqvXnfpUzTRreh1+72eG1T0W7eP9RLE8rPQ5FWSCdR6NgjXhs/
ChWOuL0sttE9ysaEJvSRpIJwhTxB0RVP2r0yam03zrbgWWLT9P7h35xOD6MPDR6KYtwnxmvmkpnN
nj1g89nLfLg2lXvnMQB4/xCLBeGZ8BytOYewKfF9neuGcfXlFatrber00Kj2tjFcj7Z12/gG1DHT
YN4wVz/ePxh9qbeHEyamReEIWLGo+V8ezooq4Yx+0+wFJeYhSpVRBtCjFXKlUB2yXtwI4FVMnqKq
xb5mFRIhbebP9KZTitZ1U4TJyjUjdOex9NKTbnB9tvdF71fBmGURlV3jw202K6PEWRvjrsRgd2JK
ZQGrHXYRCtvHXKBSWC0Dvlt6tiUNd79T61TLrfMYMOPailML6f003k4yrE8TJxoiWvpuHa+ZWKpr
h4noXTK5IBNUbV0x+7Ev7DZPPzq2BgNd1GrVRW103vU5ikLlh+vC66C26Ta+zm6eT1IvOmML1G8t
pR6Fm30sEvHgzN4VKmYVDNAYDqU+fo16gcdeSWej2fxMBVd6nZZztUsrm25wbqyZegw/6thHvC7j
i3JytHXiF/VGmKrbDMXgnI8jolhfc8KDGVm3LhvJA3LcNgDhUyJj6H9YjuZfAxNJ1pMh5Tnm2+ia
wjgLMIEGKGKQmxeIGEa6u3vqqRCE7xif5Y0ddHG4gu87DUc70uEUDzXW8yAapsg/aT3ZjdukcP3r
ymUYFXuUa6aXuKclvHX9mEMFM7b5iGjoRuSudhenfX2RFwY/xxtH87ow0v6Y1Um31y0Az0ldt4qr
asfHUFX1GSBle4PmJ90q/A8r/AzysiqQtLFPMjb91JnbnpbALb12Ks2+gvwZJ2b3pUv0ChSyPhmn
Ghvx6ySu5g0KFWP1n9WQ5ZzXl6puTkN/sn4qIkVnpXvsRsaZMVrOXuXcC0+yyK7NmaAo6wvvYHta
pUkXoQG3xr1oEv8KV73caVZZnz1pJLtsWpvQyc5e6yQLB/PGik5DtIIrlLDp+S2WxPnhXCZus0WJ
UyjQAC7TRiP6Krs0PuGv3Y19dGBCXa3Hcrgqp/RGUpastF5qO6Hy/tgCr18lyPOYSUXDFSWjsTNx
2O4NAJSolFs6cGVTHSfG5uiikMFfqIn3Bnf0suFHw6dfWWE13aMu0eGua/lpH0nt2NIR21kjU3kn
gyGxlipPt2lYuetKrzhalKJRQpmjWQt3NdyGZTwx0PPCL17aMsL2In8H2GI4jmzEA7dAg+n4Wrxr
ej3k2WfHbgoGZCJEpqzYfq7YCA0HKi3jdKQjsA2l498WRYEfIk1wUbvxvRVad74xA2xuW/1jMk76
3uytry4qV+ZC0SeA8PS/cFCurGQ+0BTpgj5k6zQLrYU71UOKRwAeOLOEplKVV7IKs3Vezd+TyGu8
Vayn08oLo/4k1KJuY2j61Th123Ysor3UEI0Ufjns5pQfG2FZu6kNzVUsT4OGEx9QdWcW1n3TZwvn
jZFqM26rMrKubbv0mcendX6Su31z2Wmldc+67Z0kakB4bCDCHlEKbuK44wrZopzPwyxtzZUVltNN
YXjZKQvSfGKMTHHRhHypiwGauY/2mHKqCBAWI73X41N4/7uYF8BKoW9oKcYRNmTKyM8b5Z1kvXmT
qhgmQGjkQeTVB1F72nqetXAdppp3FoXpjxDxbDCjmXPxON9jViq/yc7qL0p42tAjMp49lgTnIpnk
eAoiNjtxlFnvLTgZ62KYh89P0vQ4qTmy7stpCjKHB2il0S559KWW3RlDpV+H7iyuaMahhcmgyeCM
ZL6L49XauVncbpyc+4v+5/gd37t2kVZ5xmnOg7R25a0d2/kexUqRBVWddYEhRhFIweqReRX92tkV
p5mVDNXKImXgQjWetqdvAvG7ch9cw0IjTiJGtqZRKU886bnXWYPqPLcTxLmmmAK3n5K9mQq48I4f
Y6EvimMxdvbebm37AodUuo+1KPrq2RsFEH+XUV+tmz4ebwxWrjVGHm/LScquLS8yAhvHAL3Als6y
qFDoDErdtVMqvo69E587tTPfNWj0cPQNCc2juj7vjLLdpkpy502u3IsUcVzmcJPx8nzM08ZchVDK
tk4UNie8H4eTHoDXahELu84R/xjSzrWZNd3PfcU/m/w/bfJxJULE+su1+WZUc4Y75P4h7pofQL+e
z2uQ3Sx/8zd72/9AMco+n5kMO3N9mcr8K4CHqQzcbdNjTvJzN/97o29+8DAd/wzFYW/3PIDHIKCR
vFr9XzDvvzOwebuPc6lmLNtgf8qnW8Y5zyaBvsVWIy21cu8l2WNcsHhrONtWiYfk9dnZ+W92+wT8
QNcTlo6g2IT3/fJIWS5yMY8GRzKBWCgdxmdeIEcK4y74+0fiGD6DTdcUaHJeHilqNfzNFMb7dkix
pnX6RdMridZr/rsFzDI99Xhf2YtGmmO9PFBPY4FN2lzupyZ9TLP0MdSSR8k///b34TD2EtKEXfbN
NQKejTUJ2BDWjcEntaECwRDTPkjH5P9w6rhXmZFjknEZuS1VxrPbISqZfBcIufZ9qJDLAgdehYXp
ndZAAt//UstPelWveKCZ4Rwv2E/hvTp3bq88rfWHch8PeEfQ/H2covHW0KZbOpd/CkVYytU3B2PG
vlB8mZy+rr80tCI8m0W591Hd0smH1Ce9ClycltzrXqSCBOICbEqQkO9/y+VWe3NgYdmWz5DfeVPi
ogjrzCzOyz3iVnTvdUXwg6+lt5rk/71/qOWEvTkUfQO8C1isDPdVAUgrtpsSpC57jUSlvepKVJSm
Hn56/yj/9gs9O8qruo8xBSS0jkkSwEj7aNbjba+G/JDX/7dT9+xIr9aLgU1L0RPstIcYNK1hA93P
C2r0v3i89LdfCkoFZm3aKqB6YMxwap/d9UWoYDzRCdiXPeEipd6TlTGV7Xg5CzVt/FBngunXEE3p
ZOx1DJhrmVn+xqpEflgQtQ7iF3ek3om6oC7y4cGNExW4MrROUBgbmAPSxwkO9kk0G/1Z6TY4K8oZ
t5Lpo6MvyoUkGodqo6ekzHS8MfbuWKmrqfbNu9Q1ixM7lOHXXvXTelCjvWcfxWaTmKTdILmfU/h2
UdBMCKNXaT56656B30nbIt3r0izftKabf2o1KQ66Pw8PaBz9ndE6fHbH4ChSFMfBa8htiV2clptJ
ZPo3mcaMxxs+j2b64p7+CROpviUAzI/Ki8ici3W7jP+ZyIWhhJGUkUiFJ9YnNIeYsEoPRziwTJPw
HmkBBAwFhZSFS0m3Je+H0TVAwxSjWJJvHIdXAAJgY9vSnm6DHhYqtU+f7GQ9F0eCF4q1p6pk5/lK
CxAGmHc41+3jGBnya+QV2a0zpGA5G6v8wmjXZG7LDwLCY5RfSiUYl6BVZosdu6XfBpYF7IY5laB1
AGglu20GD/ev1qgrTUvaryGn5hjLqkQALx91g2vaSce8U17ySIs7/NQ6c3GCDIhP3zTFccrMIt3W
mY6yjcZdFl8yWh4/Yi8SJ6zoEFF7BcErQqfHNoDJT2Z2+SGJlqGG6KLkPLJK/0ICG3ukgjfOjUJy
EruM2svUBgLAnm77jBHWAeGydxo7nDIGBXzNjjQx5l5ToKg4rnEP85UihAaMv0ZesQA316EdS9z8
sHvnoJhrJ4MTZ+rlmdH1pb928GCg/is1cjdQNnhBzoZ0Xjl6Xp9i6ZzvPHzDNBVS9Wi6cXHgO05k
o7By0jasQKAa1GqmY1xbecH9Y9f60s8QNsYtP457aqNR+acYU4ma8k0uQYvWwga+UNLgwVOmBUAH
/NuGMmpdCn3WAjol/gZlurdrrbLvqD0GPDUgMKN+h2xJ3vuDqW39nOfIcQsUmYnfZxSXIQin2u8/
z/Wc7uyyaxlwazXCBDR99ryZ6THB+W2ioVs5jLW/zX7ZfDdnni0mVZOxzga7uUH3XX6JpLCP7pSx
hsKwtQF+adbB0RdBKuAtLcCvIg52zPisAq94GMMo39Qjorq0lo/4LX2CrRzrwAcxtkakJoR7TTWs
Y4w/51HqI3HARYeziCvUWbz6OotVLfagNsKRDD8hqu7SNarW+AdGe3ufpw72PCd25lNcbp/LZup3
lioU7hiIh5t58PIDatnHJmTgVWkt9go0JUgNfrRd7a7jZvyUV+aeZuu3DkQkBhPQCB3ChyOvQvcq
7ngojZyPBaimP+vx1W6ilOdcoLpdmYzK7jyjnI+6P27V7GZBhImoDdQAHpmuiExWVptxU7MqjpeY
p/F6IDu/sNhUbiviFjbp0hzp+xIAcyNBEdesbmpAEGQs792SYnRtKnmfNJp3QdiYfZ+NjXdl9a1x
DlzBuJYQBQ5jxx2VsqB+BS/KLCVDGtPnfH27AW+zUuQ4XrR5Nzw0Wk3ZFKEgAgqVeleGgzcHJeQ9
smYPZxvrB8RL9wrxOB6luoZL7cK2okHZeVdhkdanxtCxkj3ttDofqUlG1ttaTpJFDILH2hk4dF0U
wK4bD4A0qqUHKlN0Fxk6BaTG3MHgOJniXFhly6R4sGiaNaq8aBaIVVKYxTHDTM5KXsUdg0uDUZLL
2UnQaq9xRhmbp1V3iJMvbeoZP/SB1QrZQ0ZJORvnadgm59Ieo20/YRFyB3YSK01r7XMZ2dsG9D1N
1CUv0ZpZEdsCYfPsFDcMTP2L2Q3z9ai7gK20ZqAvCAqJhMy63qNJyZlPRmHgIUE9hHOnrpqOtUeL
WD2gFW7ytEcc0TNqZ6TNFDoCF3Nuhab+DVpge+yBBJKK1l14SEv2hMX0O7CE/o50A+2srZMLC/Lb
Z03K5mIa4/YslPNdolvDnZcSikXDPdmJmXiHGY/4Jo8x0+KsDC+zFLFOrdaJFZONGUaBaJMbnufb
utejvekVaB4izGWtbpUIdxscgIzZdyzu3zSbfDHT5aWHU1CcaEBpb6uclRdtgn+rK8+4TqjRSevj
kpY/F1lHNIQMcg0QtljDKnXwfPLexveEirXbK3r89S6nF00gAV1pZnZ0qKenbrWkyKu4RSRdbAOn
0glwdd1feaWboMBfOt40L+l+Z6WVKIT+T13xpw45pv2bRpnqAPxNHQqy8Oik02Y+WEsx3/0s7KFq
L2X+hCpZzbx8spr1T5G8+LEyh2RY6whRaAziNI4PA0yTflyZKuy9g+i7Iqcn2uGMQKrt1x2zZL92
H5tJxt7KQ0rzo7Qd+pNJ5J6Mnkta2/CU3GZVtr5ZbFbkuXluimwZ3GB7mTsuCm4p8GwFsPDlpi3j
WjCj74weobvRfPVSPSU9Ycw+DdJC4IsPk0w6NtciAY869Ycc/c0aBMo34XWwHCWBdZPFqMDWYvTG
PF8sHP2VbUvtzCDlQ66xctBLEua04zk1iamUDQ7VzGv3ZkUM5ViF9ykuG1T+xBOaekEooVsZnxXM
pnPEFTSFxwhjdS5MiLF+Zs3nPK7RQ5S5RofBjRC8zCVbVmaadpKMtu5t3UixvgmH5VtE7E6olmjh
Dyj80WPzhfdpR0cn8Cb7j2D+ZV/7Yh9PZCm1PwplxlRM+V7tsJt5jkTX6Nm+4gW6dsyhP2ujTndh
Z7JPALkOiMLSkHSbM/uK1K9pU9WmfWwRMCcrw/9TofZm0rN8nmXe6NKhoNh9XahFZsQzwOeplXHL
MOVYp6ypg5vc51n3EcqnsX2/xHhTGTJNYiDKkYCO0+d4NXtsRG+raKCJ3VdswvKwY0yX8zrOc6zA
IACKP2XRvNn+Lwd0UcCSXGRZqM5ebv/zmg2OwNPLglIN2opVokC1R0TKWtbqHos2TuwmZj9oe8Pl
02uH5EHDgSUwGNvYyLQAqK19X8xVvxsb3uvvnw/r330+2zCBj7lkCb4pyssxKTRsavQflRKHrm/U
I+JRnqmhRayoVjgQxw2IUB6kWBrteQ+MfsH6lhelwUabruw9W5kcRSxyxMmk8mzIroH6OnX2UZiJ
f5rXsj5N8eJt2r5KSlDvob2PQlZla6Rw3Qh3MRvCx78nUGjGGcsvO08z3KtpwZYSFzNmt3qSyK9P
b8U8R74fDDOpjH84F8ZyLV49HYbNjlLXHYfwmtda+Yj8IsnbC12OI9lvazjY2hG3LW6uz1Xianum
Mv3Kk5DVIU+CEazbw/uX402dzcyaASthT1wSbtNXtydt8AHespHsfertna1FBdLS4U/LwJuOBUeh
UYG9wl2wZa8bMV3S9aEDlGXvCDbPTsTClZcO4z4TfC0OJRIkJ8gS5zECns/vf0Hz7TlmiwIt2QN+
tFDaXpXDeGkR2WZDzKxrABeRYf481cLQ/4pkzj426K6mCx8iwm0uplv0M9WjVtoDYuvejsiGy/Gz
sd7W+Fhg/YJDaInuFSKt9+y//VNJgvj3KiTt70QLGwrXp0//T7/6D/1qngjr2XV+067+n+z+2726
f96o/vlXfhsLxAePLogh/pKk/NWn9rwPgqh3OmR0zwx+5Wb9bSywP+gsnRgHdIv+FrzOvwQplv6B
NZy7mP4HMigcZf8fQQo/ZSFbGiZ3JtqW18+9NEpTNJbQ9kweUaYmckI24ovm+tk5ufy5kLwnSVkO
gygFvztiQe/Nwz0bTT2hmNP2oDCN6xRD4RrjtXehBvK9/rCWvX7Pcazl+SLWhe4gpg4u3/OuE9cC
/jftk/1kFP6F7ixbOnvpfMz6eFk6iqrq/S+H0OTV6sk2hcXLYPhEs5+sp1d7izFt7MpgbrpPpprM
3rAq2lNQVxTjBfAeO/D8gb2xR/9+qxOdC0OCtwo5yNAp8l1l0wqxeyr0VTfmWP1kUu/9YqTpwIZR
/5aDdASK0/i7pw7TMNfJTjmTGcADzw/YJ9VVllL6Zlrd3jz1nxBqo1AMASCFE2WNiIh6W1tRHu+m
CnNjEjVEjLQ0ZkwI0z9Ax823cSrqW7eMznRW383gZnmA90Lfz6aVngnBaDuIpdVdMY5Xj7M1Fxez
NcgbU0+IpmYSviUcOsd2qvqAjfFAuHTIfnOuzJ3X67A1CflBsAgnI2ut5ugabXFelx57fYyG93oW
aXtmcoBPam3YVxMOOzSjfogdQzOLh8YjFNSZ1QhEa447LBsDMkVEyVu9MesvSar5Q7oe49ptsFdP
QzQ0X3gH2FNzSo9Ybt3cxQU+hNzngR4Ti4gKUeXfqOPLL5L8hjvpp+ZHHy9dHAx643+XHoEk7Plq
FyCaORUpTMVk3CIvZ8QOKjb+lsaZR6ZzLrILPes9yET4B09dVKzHCRbCrTfNFG5hUoNSWZBmcgZC
JoB5XIAQ/xiPiY49Rk4fY/jcm8bQ6y+E7/TbYtTbrdc7Gs0cklu+10rFuziPH6Zalmt6W/Yx8j1I
f8Zsx2rTcHLiPMzOqkxh4bBM7coitO9UnwFtr5jDpnBgel1b01EI9ZVWQJR2EvsEkbvAk5c3G2tK
0lNdRt33qHHab6kxyWwzR7OTb7Q28Q+cgoa8EOeharNgAB5ynmc6oAc3+65bbMmcVBxDDQV/mkY3
foNTtQqxW2DWwBsJfQaL7pCjaBCo18PEWblle5RaLegUthHAWd2T97BtQ/6w+9UKO2sdF84Ew8up
PoZDZp46cXNpj8NgrNjci4Pf8/SMOHBJ3mSkLI3+x6hcjU2J1p6lZj5/Q18wBVxZ+1sJ8e0CyzJA
27ltP1Z2y8u+9T4CL082nT1/1nCjnJszWgFzmptzzZ3nzeBjXclzqjA0VP12UuIqH9SdazGv2ScI
73uBlraPp4ccITrD475b2hcdOMxsNXmlKZFAy36dRioFhm92UxpMWUWbyRuyaTzJfJ1E0yAGCKXT
DsGyeZs2A4EHdO869gWciKJadxPuqmtBLEHUZniQRq8frt2pjTe+gbB3bQNHARUVAq5d2ZXurPzW
y/PdQFPC/TxqggAYaMgmTBiPrew6ybTJ2zaySSqB4KolDSAd5uhjn9pLVEyZ9NG5U4HKWtEAy4fL
CKYM28/SqZr46IdaD4aOIAD7i1lCGoOYS8B3jJ6JuM1b2Q2ava2gRLrf3THmQsUtWSaHdCLesv6U
KqioWJz9Jv2i2WX6yV/atrWeswwXyrX3vd5mt244aQt/3Qyn1UCn/gDelXz1Ye5pLFK/+ju7teDF
mGF1aoy06k2lUbqRHkTHR82+cW0yZJWrplp+2w2d8NM00bdyiCL3VrmRs1PC0XxSZLA5V50ATEID
TZxgOaFnPNIbbVWH1lpVIQwL8DjFsRICDha6SdqNTlPg11j6YkunO290j7p5ihGmL9s3mGQqqFot
/zQ3hDit7FzrsPn3g7oaLVH+QOvnnfJBkmibmgwFyslX85o0iyze1ISfncAT9C8yO3HuM9rxMZkw
PVFqjUvnfMCgFaQkZeQBCXH8N1traRp79NctnUlKlkqHSKdZFZ8iFVNiUJZ31OVFSjA9ybHrf3aB
eZu00x92gcyh2Wb8Z9ECSSdFff+9eL4N/Pl3fm0D4ap9YEaPvsC2llBujy3CL7kC6oAPJKAKNiFI
WbEX/GsbKAxMpJQM7C18Q/xUM//2l5I9TmY1Mt/fAoi/tQ18VZvonsvySWXEIJd0cgbVLzdNOgYG
ndQk7UjzspI+Ph3kut3nuvdFXh+krlza4Cmlfix3OLZ4iZxafqag8ioMN267sotJlEjrwJOk1lmu
IfYGdwbqJNIlhBGenmbXpbIdw13qJXaSnNrR0OP8mPndsNuT2cGxbqDSDNUcraJOdWN8avQKwAT8
Rc/VVjG2qgBYGx6SA+WdBS/TGrJkgjwR9voX82lYWjgtyLhPZCWyR9x4IhrcK1wTXexfJEm7GSCs
MC9RHgzlwO5yMKZZV8/EmbsTyymRYkXllT83iP/UTn94agxdcJ/956eG2omwx+fPzM+/8fuZMdH4
MHgny9hFc+IsxcnPZwbFywch6C7xuCB1gD7wV+XkGh+Q9ywSFQQqi/yG5/bXI2Pzn2yEQmR0cntQ
8Ii/88gsnoBnLZPl4xgE1EB1R+4m2PS9KufhKExKoen7EetzKR/ZgYUW3kHmaCAw2laa061cJPDb
ZrIyWrgNSQEPY5iV5GkV3GbmttRQomIHA/OaEl8c6uB8vCxF+lbrishiRn6lMzvMMED6McOzegDM
kOE6iFCA8rrGvDBcGHhMZvRSG25i+kuLUwtxtbcWiPqQ/88dVr+d1URA3lYjG1BACNmwCEu3eQ/7
NwmmJg4J8312If9NwfeqoSQWPQ1qJBo6hoNsi47OywWlaBwDKPds/yD6qfd54iIXcA0wGYuCwo8A
rACoxtOmHiunTqZrJEdLTrLJ/oLvkxtDNN68/5Fe9V/4SPgiDBrKePgdVuLXvR9XmiPpjnX0HVMe
qTylgN1xmMk5A9kRa07C0JBlLjYwIMeQtiArjWUKrVQvydwEYrrkl7o47+WBLTAC0c0cRnO3nrOR
S7Fp2zmmjqqdxW7tzGnlnM9zavDHWCGpD9EKN9AM/1B7vuya4QDkJLNe0ycgddzhWXh5msMYsZKG
GIF5FiCTT8AEteKjysJivnz/7L10eiwHsngxAPqwF20Wx3t5oImdiT87Y/gdDAIqtE2ZhalA/arz
hI94KcXF0BT2AilH/U9eaUkESP+R/ekfFU4vi+2nT4Ke2tINGxsPXIbllDxTlSA5nZiaSuc7g/Xa
ObfLScJ2YQTJKOZAFTPbzh9O8nKv/qs5uhyRxYSuOY0SZEAsSS+PaOK8xA5mm99HI2oS8cOkQI2x
a5Yd90JUVMvXzian6/zN+yf9VWNhOTKaDPwgjo3OlWfq1VmXZFGmQ2+q700mbOXuEz/MbzIYrxUJ
WwQdohkZ/TnU1WmRMIAj+a2Pyd2WjVvS3sQzG45oCmSo/CspHRd/XQzeIDtN+6iGONANglzo/fsf
+s0tyQ4Ht8KTKhMB5PIKeH59NCPSoJq61kOGYIpEyWoql+jc3puXkMK/eyxufGf5H1pP3hSvti2E
Kzag79PmAbBN580r6WakwYYINrgl3j/Um5vAJuHGx5XDnaCjNHi1oBl+6pkEd+cPOaZSTi4Rhyl5
4cakEZdZKKewoNn1BdP9949rvD2fJLc7dFjYCgoG368OHGqGPpa1rX2bbc0w58CH5tZBr/OYlwGM
tTKQqnsek9S9B7OOVWJd1XWNbYcgVbO/TkjZgwhFnO/cfsOuyebOQqswHW01CYb3739arvSrh4UP
6Nr6cuF95LX0Ql9efnZ1Za26uvgWewk0IGjpUztfNpCbuT7zRPXb7/ymJJyXMM6E+6PJgTRRmTvT
xGLppyKaHriWSj46jc6Z4fUnlui+3hCFfPy5AJOmwOqCfTPCoBv5MLaCXrkw21d91jZcnbxuHV7D
uWX0XJFYhcsSrTVxzAFNpiqoEuKyHb/M07KFAAk6h5wLU0qLRV6fkyVbzxSVzR1bxUOyNA6FVD+c
oTMSA21G2MyX3NC+/Rm5BE8cgirJZ8Qr7ueAGyEFfgYqVkqkYs6Yzbdza7n9NYwN4qUbye+QxwgC
lVMSx07BNTPjERoqHqY4SXHpgF5cCFoeP4O5LJYgyIYTIDLiBhYbMX/SMZKQP5KQrKWcnd0z/r9q
QfTxMpuqcYmMbmoh0RXJyOfQvzPlLNKCi7UWTaVzbkHYrb5guAUFGQomVGeZyD0YXUYz5scY4FV3
6EARcy+NYI85dUmfkNLt9aTLp3ib2uWdSQyVySJSerQUTbi3eUlS3q8vYMt2idbL0Uo7cq1TYnBC
bT3n9mtQ9bFg/oosrJrQIdskcctJyaBZ4lZ//4wKW3W9sRKCCeKAW64AAWjFs8056KyEFJD9WMYs
xJNV8J2in2dVpOnAmbO9suMPDEMbp8zH6w69hxH7OoeyNJdd21SGS/RJObkVX4+la7ldCr/lrWUR
EchNI0NHqo95axcutEBrcSGuQEKbPFM90SHcNREJjFwza9T5gVj+jNDdthEqE+ugiTGZHio19pzD
gpn/ojdhvTfCT17GKE6uZ7fzsuGEoVS/hA/O+bJ3k4trilwOh90iX0L6pUMCKZmhOTG1CDj4xK7Z
swps6tmig74pzHC5f2ukk/wbvZvK6g9+0wt+SjEVgkehk5bHv2lR67IaA2pt+UgT357fHFDi8Q/h
Q4JzAsalPIKTV5EotrZmEFt7ii6LjydV4i37NsqtNDlvFvTW56QT/EuA4n1hvknhL+e4AjcuH7tx
WBLiZ89d7rmMLaDYUwGSuQx01llu0WVr3V+XXs6vFc4cHmAXzzYZ6Mzr2WWgDOM5n+ppXhaPOGUj
hsK3Xh5p0qD5oTWxS1wJu2HfCJ+xNKz+GqUe1d0mLlxUXft+1BupzhbkJz+wqpuaz0c3tlvuaitJ
FnobsAdEMqOXwS1cS/3aj4kVxsDvCXKUArJYYjlvHZ02I6KX0tq2mPrhhHBvZzHASb2cL+0J3LoZ
YHwyHbHxFc0+0iyfou0dG+FejR+qzYB4OMQjJBdkTCchMAaJ5pfVKuknxKpLSl6PVAKVAlXtWKMz
anBtNo02wOpu8CcjVW+4NpXwksKGeGXkfJkcw3pUfPJpXgmI+k3hjx6d1YTY+Q0LMcvNprUiCU4x
KrvC939nLYam08b70JLd4qbzUpZZ52EebI2APxbbie8MaT6d6TrV8RjH0WlaxJ3hnrc4VJebJ0ER
w53YDpBRtiAylvtS78aGeyi0Eojgx2Jmeo9izey72jifbTJYUSXmnKW1SrkegGt0zeiqcwh4Jkuu
zKuOq5QbmGRj0B5q4Gf5lb6sgt0CVWDVSQhk7bd6Ww78SUoY+E2rtg6XdSnV+2VI0MplRwhsLWJ5
KsXocP7aGO7wec9Z5FkwzLbhhuqr2kL2wNWvyPH0IM8LIATNzAePgUtxaGEQacQshZYt7/qpdHnL
wxYsefIg4ywv2bbtKm7H0bFRE/BSrifWh8mLNXEx6hPJ19C0lS0Qqrc5X8kr6gIHHZo3jk+CWzo9
oLKjGvlVh7DqLyeHMDcLmVfKjKRCOBjLwdJOOjnjv6APbkXYrYY83AjSUKpPiJj48knBy3/C2jm4
fGLgJhpnqSAhngdbdqD2bLwo3XIGf93WKhmW/zYJQHhmgHJv2Tg7hbYs96gGeWnhGtA5x5ZL1uSw
Ytcb6TyfWpTw5AovtF3okyQ+lOdmwrK7bnxQiNrKnY2JtNF8yOpPuhqz6xcx9k5e9ritir4rH8o3
WfakliTVV4YVzgwY4t/H2IPiBGYCT7illWrZQ5mjS/hTpH3GaxV2f9sbQcU1+kOkvUCnCpKqxPzd
fnkRbC8rkY7ays/MKSQr/j/n2/tE2Or1NsSUUxzpU8Mbc9r0bMBiUG6fJ91HktY1Lz6ndQ8NTWtv
ZYk3effgjd0l/sE1yfl5J/WexFIjb1ct9JQkiEPL1i5Lpq3ipkMLLIudjlCsrDY+9M3xemyJNsW6
iQr4o9BEM6MH5q5e2bXj1Dez20d5wbzOcetyB1IDhepK793SWfvjnKW7MGnluCUoHI0/4b+FZcYB
gcNN5X0zFHEK32OTtKzxf9k7j+W4kbRd38qJs0cHvFmcTRXKsehFUSI3CFl4m8iEufr/SUp9RqLm
Z8fsZ9MTGlEsFJD47GsQXELJlS2j50gg30HXBhttIj2ahzFpei+MJRIslX9IaoTqryMrMMryoPyO
sjb7loUN4HcL5F4JHzS2PMy7of05o2Ok14PNlyluf1bf5lIlvnU/pXWLXMrU5jqhom5Ud977afG6
zo27ZBqQ125NM6VGwb7EoxpLkCnq9ni16loT2zy2JIfBmZVOKxGBhJe7h61NriWB8zpkuBwQGmo4
aISS3ACqk+yLpZpSxJMchEHD89qnBiWpl/WK1MOmTpuvj40Hvv+Amhm/cy89pIOBhItSdw5BYa1c
7eKqmk2u7Ovc/+g1Atb5AS+MoIT7a4zMGjrZe4RJTwgq+7BkJWAfXNujCga7qKtoJOU6YlmBEAJB
D7itlrxCEhjMIcYB/uocYWpUlESg1R1iSi1rky9KXRIyb8IcatABsa5scvQEcoDSBNjiyA1CaVln
TqBcM1c6pKD+7YMM1qBd3ykElPg7NIFnfplZtAlhRngt4n8HwJw6TpbQ+PkRu7AirqhBfcUaPkUD
3nz5IcKxYH20AVb7nyc8cdu9bxdBA023UKRFcC66lmq6QJcsWTTqewQexh+t79IQSxnF+OwgIbwh
HzI3YMmYzNzbyBw8bj8xXNvmtS/jHl/UOkv9zGAuGoEKOIKpJxZ+hIhhs7GcxOBGdqlbRO1hyXHP
+F5JgxtLmCn0FUhhIJB//PtOrD2v0EZ2zkpFGjQZv7FlxYafTWk1S4hYv4HlbL7NTeqAe6+eE+9j
hehxefHjMZIwLeuR9k+OD5CnZr6xUzQWzwgp7ACp5SYt1ZTdrqj3J9GTKgMP3xUo0Wk9wYTwfPWw
BgCeMpbCnR4+DQOyjdmpMxtdVJgj+30wlvaie+LQ7zksNfM6a97mE3YAY+yWdkvhjJEf6VK1kGZh
43SpUOHtOmZ2m1/6SWByPcvq6vfAQXGfr6pKikzYvq5+RRAY0AOvBm6K2CUKWYFPBQg+ysOe5TaO
MYlEwfLQ2wGGPXH6I7viLZWSNFGcolDdOk5HFeg7KMNrKx19HhOwd1TWJneg+J6sQcMf+P/1T1OV
IHw8VWFAurQyrgtJVUSvuBZWX6ku5p1OX+2P16Mc2Rk/VHJqeaiDIPDVeDg6Kn1G9DkFcOHhmRPw
VvechWqbL9QExd4dXH12q8aOmqt6slI1xmklQgtB7rFGJA1+Aw6BOUpgquazmhXziwezUyAqCmHp
0jpSLS1fGkT58AkKQg4gV5SyGwkuy+RiETdZYwmS2LM5Z7Vp6yYQ0Ts6NhPHIR6IcCPKSxpPnjOu
D+tydiab/gnQ0DIDjLSdvvykMmvmpiQ/Kh+RmopaQ7QhalCHfAbaBtL8R0ccrk1EYTCnqUn31aRw
i3C3oGfB08LAwO2Lo2S/3pqGMs2tk3UZ7QimNqkwjqHfOfLBXysH1JwxWdx/NrO66Q58tNgZicyW
bvLR2tWFfNq1nI9EJClPbawZ6OIQGBprBHJSIUW3hyvZsv2mCCEGrFZPz3vqg66ZhO4fOE6+x8cz
2ktWHSo7YrJ/7AJvZg0OrYmjDxPdYhO/lMDdv/x49RoFOA6jPqOOMJRc+rYSfTwqZE04GFgQcplG
AlWJIxmY4dTcmO48Nz03ZNUdNyzCkRs54Q/EKw7GJe2ufEAOFK/LVKSHJGtmeQeAfcU2UOIReAyB
oIiBxGa4bkoTiHdDsPersuXXRO44aFJK3+hK1G5sovh2+tE1ziWyZNmpL5RFkKLglz4OHhPReYfo
ue4CfzQWVbLqi26hHi0prHt/0UDScKXjdZE75KDTJIGD2U5Zg8LWLrekvnTZzGTC3YwIwjjujLlx
y6ugYzjCD64LJ2qxSx2wRh6jkW2BMOX5i9+MWNkMZE5TfnKg6fMLlx+RI5qFLnRrC2p9+Q8zrn8z
MwLohr0rC52ANeirmRGieIhjR9X0eU5G3WeqzKgyLwaUjLbNRiBcxyN9e1D1eqrGmApSpQc90cUG
jcLp9zHVghtnaI5AXjx/0tubH0ejCg09q/xPP0oj/GxUNlgYafzb7x9lZ2m3KqYTn7F+0vGp9V1H
URQSrIldb3/WyzTw11m1xZg6sBwPTWIH9MzrMSVuaqLS6u2fZ6eWNDIS71hOoje6Ga9hBticXAh1
haAhG9cDMCURLQ+rbTfa9N1MIfRmI6Ll1bHnR2T+ufto8MPQJVLgCXICCJ2JP719+X88FYdpt+VG
qODRjtum/vtfZvvzkNQjG1vvEx50M9dBgtJtIcmVFurtj/rjzMHnRSULYCJrdDd8PTqmjMrthgLq
U5SFjlyOyYKTwyMat/oV8ZN0+scj93qFAjLQCkA2e3wmtu+vEc5DL5CwYFfwqXMRgl0pQnKmiECS
dYKwI52zkshPiXhy4c/fKjswhxuiHbKwb3/317eZranngc3Xa1LPwrv999s8NeOspih1nplJ0Dou
WcaUKgQlRwR8+5Ne32XbY8/PIhZ1sIAN0uvhdUlhiIReYT1L/JvLK6R4dWueF65Dks9sXTW+/YG/
0ypY0ACWYOzMktdjw8f46PevNhbhSjBZhucBqwpO0OAkOswRFKExbZOhr2YQSnm6ZNE2KOEbLru3
L+CFuPHrG0ip5diohXlBAKriD020BWILTLSgee4zc4HEyC5rLXdMPbKowIpIly1qyHRpjHiFjt8/
h+KGN+qRV+2PYKNO04+bUwPd5B4x+l94i1s3cugW1ipsSAminNoQVxlnBLC0QUhlJFrjyKGTJQpP
LTSXLDF58TcO0YlaZAwkwyML3BbiKDCUmgJudZnb4ylntRxiIYhXMB8jAJ8RLOB5BnQxgMZ0Ogd9
RG0TCEen+K6Dflxtgx8DekFpT9TEbVgXTTgKvlR8tqWL5aTACoOpDRRR7j/EpoHJpK1mpYcsTclY
9u3b/8eBA9cPUgYUDRIIfx5tSWeRGea6PLUZvK/hmHajboEQrtUVwM+R9dsfqd+W3x44oRY+DTsa
NB6Qwnu1oGHntGjXsekpQimdJyjzyC+vEM2zS+PaFCZXsHGrSNJEzVaii0KjqvXVvH0Zr785uoKu
SeTU6GfeuZf19y+xs/H7ZuJZZk9ly/jzIq9RBHtvQ30fLm0xXr/9Ya8jCFBuMM9MinwHir/r2b+/
ZhBJ0jzrhHhWfVesj14R6GNRFJ2urN7+KPvVK81vD8FxoykUsHnDpe5VdZBOs1lVDXpLjRjNME6k
5Y/pPmWMSqeL9DzZATWNteZ/AgY2nMsZ4YhHmjUPDeWOsS4jGFoevb/vcBimDrVWVxfqeUqHkgUE
gS9ZC9OPsdZs6DFAOGox2JMKfT0mBsPITyvDcvhyBrYW7jFNDb0pAp+k4zUNQTn3J5x48qXaN62Z
uldv34RX95t7EBFXkHxnA6nFSl7dA89LxwgW6/xe1oXOzEnLqgKk4tTSOb/9Uc6r86yfKcHLB3Dh
kxahR/3+bKe2Y6ZquclDiGaJ/izpMTotVa9LfUmoJwT92L1XgHS4C83c6Cnpzz8NSuoJgTFhd/3R
cwM9z6QX7Ih0do0LyXQyykIa66XgVcU9Ne/qcjosjqRh2pVNQnucwz6mLfm5+GNbpJdIRlXYvDtr
aK78nWpr/cBX2IzeR+NlEx/8GE0oiwnoGBva5IX1o0XVgkuoIvCjrTDkerD8c4XGG8nZLdh5kPeS
hCkH7B+rhor8D/k2/P3x4QuCJwgUCwBLqBWZ3uvH1/MNwI53yRfM+YKPBUa1mFaxHj36Zdi5zPgz
fPjcOTov6AUlcecmDbTYsnpUaQ7cugllw9I0he4PkFds/Gzs3yf0r+IWWrfK4Lkr0MlRcYfSnvlF
da7oNv5gIGHALse/UV7SnjMzF1dkpGylW89QbzNE4XxY2SOriwT7YW/TAU52Y6aGCKmsxkhzUAHo
3YpouHXJSuXerQznKlgGFY/d0u/YiVePGdCEi6qy2RIU3cg4r0XUu9iOVvUMDsA7L3ic5bgY9qYV
o+wXPNjk509d1loeZnF+xggjFeKANWLzMAWOfMwdBxZmaBpuA8ff655KGYmvldEN7yASC8oi4ILF
LIs9a4IFXWj2RfMWDG9ubCTyFhdV0+7GCRfhDWjF4oMMfZ+peQL9f5yG9gHTAkZirqWNBCG9bDEn
uHPHxfxsL6N4ttBSe59JT26z2a/PZSDyHRoF+fntl+yPA0H5pdFpVCrsg/4o06UnohbKRf21b/A0
APHblQgBODin/kP0fCn4/5WdOHr0U7bNPh64KHnqdW8123VpY8KVYdrecpQcmyi6aekDchgTFZYK
EJrvc+wcYEVUHsL0jury6oB1jY9Q+ggaCgybfzP4Q3TR4NP8njQkKB9kNT7WNTndHpu629ij5d6Z
qmi+19IJLxHrD+6UvdgfooL2DUFY9BO3aZneODUSFhuk/nyGGiUrKmTetPpLtHwttKRy0csBgQfP
/IRDlLNd6av+oxLh5Y683H3KNM0BfA1lQt2iDCDdNF95V+Zb9DOacudX7YiU1WD6799+0L8H0x8f
FgBS1CWW1v59lSiT1aWsHqLmq28GNfis2XwAjW6LTV2XV8p1JL132tZ3rGdBer/92a9AeHy4LgMo
gzgAWJTYr0sCBBXF7EJF+epKfcqy3MkOSMZWx3mdP+FpiOkaekOxhIqMC/Fg+EeQ8XCF3r4MTyen
345goMGaGg9iARzzXxMfrTJBXYeB8ddUsjhgnDaUeJnBfotxP1jHWLn1fAzqccZ61ujqewb49bFl
bnWlOh/lRehAxs1qpe7RwUWd/YTmTGJGisFiaVzlSxNcYv5yaPA1fWAGWt20SClRsbIYW7brOLN2
wWcr2QZdFNxTNiKgoqU9Fr9AayHoYHszKT7madvd1N5YjXGbCPl5qTIJHtku74wGyg/6Jta0d+wR
RoIz5OnDVEXoxGS9yRfIZgR31ZiyAgiKHvOKgJz4zvWM8DLPFlfLNKKGwdLBm//h/dbJ+PW9xR+F
dt+nm/1DKw1tYtZrCMh/7XPXu8bjsXjscuxsYmQezWtr0jyLtx+n9TvwlVMV0GaButXQdCB4r7Hi
QN2rAWWc4lvRIQPB2AwKXyIX48ygstiziBiJ9F46fO0cs3rM03m8zPPIvDNU5Oz/4Vr+zdGiEgXT
CyQLV5/X0c2xJ0CW81R+AycP8wOeXfEZHMHCXqppvmm1v6+rkNoO2/i8KMRvwScqtKn/4TL+zS0J
NciVFxylLrrP30smsDiiFsi4fEtg5snYF9ly668yqy5zFDv3Jtj2h35o5B7FmWTXRcn8hDSNQoRL
rNbDP1zMvzkSiF4xveRwAox7jQldazmpFie7bym093dYpIh7GwmGOGB0eCbFyGtZ9eNF5zb1qZod
62pE2J4hbjXOSOdmIZDXZlKXuSGd72Cze28T9nn57u2rfBHO/v3g0iQQfO2Q5+Zbr2Gcw1QjHZPy
kNKZ1RATlzZ5RvQPY/AeQd1Nj2Uvs6m61epGHlPeuMh8j/uV5jETrijasqquMzRjYDzlI857DO1Z
fjSGyK5KPxfH3nHma19m6Sn1gtTdoLVsTxuxWLDntSCfxDAxbLdwa7zuYHCg90U5GldwMRQ/MAXG
5ctjXOaJQqTw8m6fTtRd29aCMlezoKcXcGqIW1VfNYCBJmR4cFetHj3FUIEqUrxDKKM5ZXXlDJsh
qDGtQW7NWrc+89pbJ8obluVAPHEkmNkIjj6KJ1v8aburqUMCfNPmnQ8iOrRb6wSsCANE9JHtD2hg
5x/hGI7f3dzGRxyFMThLbz8d64+0hZMd8HlecTDTNJWvDrSqsReNeld+Y+rdp+/Jbp5AhsVFH0SY
6tr2VclOSaw+KjOD137PVjPA/AOTk+ngBK149KIqvTSDqXxvD7gUbyVZYI8cQsXLkBbB1u1Z9/64
6v/yLB6W7tv/+7+fvtYoM+eCJuXL+CtrArkE/YD+d6LFh29i/D+P+YDqW/4b3+Lnv/xJuAiCv1gU
+kQx5PSpGHRn+JOkFGKDQBVDb/gvJtLfmqrYLbBV5V2G3g2GTI/S/yYpBX+R8X2o7LSs7gtP4z/Q
VGVu+FuyY1jPzJaZA5M1i3Lij2liugBpaoo0O4k6kOcWP2WwU3Ynzg48zbhywUttSgnBVlgGdu5k
YxMXD+zhrelYZoNR7DA5DvbDGA3vopCfiRBMfszDEQ/NyNA61zLS6sTo0Eu8kUrWIpl3Emwehz06
kMm6BRw1wbYMvcrDeI0SWUVLGXs4vh1BX100wBTUZlhSKBl1mL63GhElG0XFsmUA9zGamDALYAro
dIvlPX3suuUrLftcGcDJ2K7epVNrXbDcJm0jOo/6A5bgaouqdH/v4TZ/yT+xOmBvAY7srXGXJ10B
QXcupiPgv/ZqnSiQZuGYH9ZhUOfCMZcHZK+d/TKI7NaOBB51gN00ggXt451d40KUW0W1B9SrQAlP
S/0uzTxvbztzty0Efx2YvXXGbfV9W+ILk4KhuQrdBZZyNW4NoFnsqVqiIMD48V3ZFcFt0lqI/iNY
S2DzB9fat+y2mICx+4sjmaDeFCh3Z3fK2vgseGKuuYwdgd0rihiI2BtBgHes80GWaM3i6XQZuIt9
YIJ7k4YrG1h7Md0qDhgfb10PjzU0h1b3cjQGlWwEqACW3Cte7PV4jJh0v3eRZCqwtF6tnaHAz7iF
VkUaROPxPDx5uYbIuBXmU455aSz5LjvEwB4TlucX0TS8X0qM5KPFbJ7pkZcLFKoCnNrCLPZKlNOt
0YurIk3vhQuXLFYg369CXG+vqyarudUVAKxNV7f+TSqFf1s6yIMbWaCeMH2y71hPFjvQG/Plsnbf
Rhtqw6bRAJekz1O98BcXM9yZofCdLdul+bLCQ3lT4V4Yy8ZI7ixn/IjZOM5eY1CeMh/xgfM0Qki/
m1kn9J+GNBXPwFvk95w1450PFAaDt955V4JmZkLSyEswCL2/HVXNLZu6eriStvk8za68Njrb2NmT
+Y064TmYJrCItdf06GO7clPljnkDDcISMZCR8ClEzelhNWS7LZCE3PlIwcstlYisj6YrvWKf+G1T
UfpP03OWrq0ZW9iZ48pl9ALyOJbuyMov9s4LRlDADar2d0grQqE3M/Oy69FRgi20JHeqs28nz3pa
RfRkDqRw1oq7AXQCGrQ4G0VbN8j64aAEJ8ZMbf+Dl4QPadJ9M20Jt5hZbbcbqCaPXqVUeJNVbgfz
KgTairvRMSXm3PMb0k3giOxa9PkZdtp0AlRVk499F2dzmaLeeSUisaaHMJmHdCuH7qmmcZH3AxLj
XJLYo2+f3Cp2HigflN3VAnUrFsqf99KMDovrZKcSk9/+DqXEsD7KxKoxjZNLcS4dsyiRqkNIC2hk
610Jz0l2gdNm1BGJteu7EdJ9QDVndZgSMUGgVhrXc2Oi0ZOOIoNdWaFA4aPm6CULkkLmMu0xYkfB
cq7Kj0xGIUwX/XTGa2LvNphGdOg0yk0oXCb4Q+HdZW1d7jq/VBt/gtiMlBmC8OA7LorSYUUgZXdQ
TAC2yqrTq0l5E3cAZOJDD6vq5I3hcDXj2fw4pXEmq7NE2zKuK4FqOw1WuJupmRCPPPtYY9vJ7MeA
hOwT8Pt15/FT58oz2yurcvoc6X4DV9EeppwZexK+yQnNxpBINfR3KK45D2g7Yz/g45WYUSFOW9ba
yyExkjbYRlVZPq1FJNGRCDDgQBRkQ4B4RnIfNScls3lD/znsYSjAll7VdbWmy3d8txR/C9A781KQ
cEHeycOciC8uBgUxngkR4qQ+viKtbcpTUi9gnlrtgFLJZxKLv58oRI/N2uMVCQfLYMfXTROoErrV
L3ZDttnRW4lLaH/RXqXWu5QO/kj/ZJ5zM+iwLAmLQxXQT2XrcBRdaG7Y94agHdA0AOurjsDOzZO5
BNY2iXC08CcXshlVNi6XeJeTsaH5d6Z9KQMrOs9NkO9w/L4HTskkUKTBQVeWIXO3XHuayXaz4EKD
oTuxd8JbL2aM0Z/6yKqZ5eMYGZuzczvgd2O0sw08jFf0KuuQR8pNIMZlhRwk7NwoxsvVumAJkuwn
2Z/nuu535joLfGiHeZvW3bQrqqq7hMKPvoF0s9OwRp9DgFyU5sPXPsIeQpbTZ2S45M60FmsnJenG
GrJTiLYRNKVKw27Da2Ul9yP6/tdObYP6lMq7o5Gv94MhrtOluJemMO6mrLhFPyK8wCTN5m2srtOg
XvezX0akxpzJ0sZXwt97qxjAPkUpEwUlx+3gzst7t1xeFAgm976XeepfrMW4yKtFmGm7s8mcw8bO
ZwcEhukwSt244H9MHBbC1dxlCQ3wuzo3I+Mjy64ZugTTpzXOPaZkmGs2Aa7rJaZl7i4YLWs5dl7+
zgsGPdRWYKNZ6FXutSqtgWPlWXjzoeHXbkxrqL8tLUYnGywK+xub9U4Wd2j4fnA6OX+oAXNeBGNh
nWXfiEO/GNMLG2b2t9ZSqgvTLydCf9VwD1Q24mFirjuL6flRAwg/LUUIdLeVxYWCQwXbwA7q+3CV
SJqatYhZFezgVU77BWu4r70tjYMYJ+9WwA8AIdgDVhtG5BrrhvAKIowbVC7MMjMzTR/dJenANtZg
eLoSOcCoZu2bD6urYnP1JCBNaU0bshsT+hZBrvMAXSPbjfbQWVhyLDIK2RUrE8AjuW0TLhn+niJA
3xNrvOxiAe+HmyQay/JkZos8V1lpnAwwMhR+iVYSBmYQ3ViegcJXO659vi898NRtiGFSnDnSR6aj
N5+EV2RWPBdmAVV86O+LqJjEJqJdptmLvIOARrcfmGwdVzRsFD67szI3oLsDsQmGZfxQwayPE5yh
LgG+1h5SxPPycXVyd+8L7+CMiew3+TpK/FCayeHf5wmNnqOOQKkntTFyke6c2aivXWZSqa6A+mpb
s288ublrfkgSBk20rEm2TRmulvtucRvFcUGVFv7C+JHgve6wAfLPbWR9drUP4wJJq97wRJMev1G8
mjbRUAKoGGWxbAbp2dsRweVu6/pZfdOwvrS2fpnJ3ehlV6iOdftoqsfLSQbeyc/CTts9ht6dgELD
LttrqoPb+MMu4qFdhICLVYwRwfJ1xlv2OaLmfm8vfnBOXChL9OUquBQmpVmcpFYaXdWmh2jmEnwc
a0d8WBKtvJZ67r4y1nRrIxR5GhBkGbYYTPtPGhXIDiLskIaF4UkusaMr1JOWbzZmO9uxz61PxNP8
Ip8Ma7f0rv9RAWJZ0A2ug2RvIKgRxth12jgo1sN+aUbnXlqtswP4g33iEpS70s2jQzRjCYXsiDqD
fJ6u8Zme7nGpH/QwZN4WHlovbdllnxa2TFiutq27t/J2hAxkdcMOhgPqvS2WgQ57pJ2BsPDeVkyf
AH3Nl53I1+uwX7t3kBYCD1FuwH7taImHqDGrj6mFAhKaLkV0gcxqcpGjxX3Btqjfg1DozyaQTexd
xglxoq492avJB4AIwJvH7XZMPy1qf9PfeV4itwidZiiGVHWzR0/POyC+2Zxmk1q8A2D10A6Vszfw
8xxBTt/k6cDWpqjVdQFC6kyQUDEvIC9LoLQJC5HPKQeQ5Ebf7fBQ8RExt3DgLdXSo94ieNfhmJ0Z
OCYQucyeAmqsvmSl761HrGemXd5L/7sa2+mrX89ZuGXDNF8p256d/TS47Y9p4H/7/3/o/xme6SXG
/97/n781o/xSLr8ODX7+o79l6iykFgBCeUimAWSg8f678Y/+gscB8ZtBEGgW4MT/X2rBif5is8Bw
yMQaz9fLzX81/v5fjPvRWmT5ZPlwS/z/RGrhFQWWvh9QGNHOY7zK+O2PPYbDfhZ4QZJeUACM+CYi
qnoHGnfdOzR4OH0GEcnrc2FM86lDt4eUQoi/p5Ubj8zd1MHprf5gjjmQ1l9u4+2PceVvunY23/GX
+bu+NL4c0rWm7dvAE16DumbhLYQGDJcD5XXtTRSV5k2I1jHXYCQeZBvZvsst6BW7nAw2pk6Ek7mi
lZoJzV8RbbLuBGvCftjBQcTBcO0gNixZTw53M2E91Vk2Emgr1a37FWGwMK4gH5oYMXmhMGL2skZ4
nMpkjaHhNWMWW9UERSVuyQLD+2xR6REpOTA4aO1W/X2YCHTDqUFpgY2yiS7CAWns1l6K3Twwow5l
NshdBPT/FilW+T5qKdynoa/pJCqbzkIyD/yMU7l5j4B4++Lm1xXbHFU1khvrDWuvEjurLkanrUrm
Gsg44xfsoKLVi7hEmm2PTMsj6u7GYcjX4QK9VesgpSO+5GY23ES1N8cAgrHIbS+61hcPAXbMt1Y0
L+jOoIhNLlT4oimM/IK1R/g5Kvzr3nWWyybN9kZelOy5iO/3hkuH6BRCZ9e2jXXBQMMBb5gqypuu
0Bc17tCeieZtADRsN+VqvkyDFdvotLoZaE5pC6ImgG7rW+meUsn9PAjsbqIuE5sZDMi6BQuR+/dm
WHb3Km+cLSVqfeupNchQ6Ris8sppKuG8L3SUnS0jv1nXfkdNZO97HYsXHZU11PY060hd6ZjdvYRv
a/BRgdYxfdXRfca5bBfAe9o4OvbPOgu4Oh9YOjNw13va1HLASI+8kVoOsm1A4y6yl7SS6AzT6VzT
6qzTvySgEte0d+herNeOzk+OzlQIdPh7V2evmtJ3M+iMVi1q2NkvaY777u7pbEh+eABln0qdER2b
Ap/ZA5Q2nS+ZSk3Xke2qszcJuat0XnV7rINHY8VzcsodvhD5N9OZWL7k5EGnZ/ZJpGoc5Ujbq87g
oGHcrTFXBhToiLQcTdYnO2WvVr8k/j5NrsAwuDFWiMPRfakQgL77T+KlbkiCzDrZyi8GXNScBSv5
MWiWg2pt1NlAr9IB2X0doOYe9RUFthMtcZUyRYKOkxgP3ixYJbkQzE7wWZh9dV7r7Wbu40kF68Dq
1qqyy7T0mzPwCO6eqyeDrip2eKJn+2qxPUQRw8T9An2RaWFeTcPDCk/tMqJQ5PatPfAwr0j2cPwS
BvyoJuLrEPZos1VuoiA/VQ6mY9j43AWNmXuHoGz9UzkO76NsWj8Hap13ySTcEzPFFgY4emJxZxnt
NZFwekKbLhw2XegvJqorK91qmQ9ltE2nZlo2CKAEz00SRDL2+mHGhc+yQkVD1bmMOSCrbWrWjIgf
KnCnlwvlhL2JFqVObeq3XiwIIvW2SMLqxmuZ7m1Unto3QEBoMQZF0b42GSLpSyOqG5cX4zBh3YCi
MmBEYz8Iq1NxN6xA+wkH5zqLKqAhSVU/JmPT3+fSGdvdXNnOVdJP/SVCOq2IA6c3b3KQ7g8BnU8V
WzJ3Y7Pl733OKNMfa8ku6J+Gq8nOstvcZufQYdPHeGDEoHrBupQOtES7rSX4eqIsvxQpam2b3IW6
zw5n8G8FuC3jY+cAFdrO6APe284U5jvmSiyO0g7ww9416+gbdOv+Yqmt6SkN8RlUi6XuLbSdj3Pb
xavhG8x9ZZsdTZuuZTP2mXvOIoUC5aSGdxjOrcUGF4vsjvG7/aFFCe8+WObaOgra3FvXdbsO5OZY
wpMKMvFMawmHwQUv4B0GLcyI3nz5CcnI3tp41qyuxhDFiU1qTR66KzQGFb3XmN0Y82gwlFaCj6vS
UX0nvkf3kZFN+z7wxTN+KHxEGpl4XxCbIa85xWko7XkHpLvfERvmUxGUyUdVKov/cOhwbeUlR0KP
zsJkkgegByObyKQPpzbug0sQGxFjs8XONNjT6i8iQKbJSY29PI8gcF4e29EIszOEM6A30uFLKivY
Ybn1hTH1FE+hC9Sun53H3Bq7U9EFwS2AZItPrb/YvYg4iF7p3MxGd1ng2Qf2CyfHJUy+zKLFEEjW
G/xlmTdYtRGHZtPtoPwV1wvE/YPbAh/arOts3zS86O5mysPp2mPWubVtacd1tuDgOfCfHODRM4jV
/m5gBH4Gv4zVq+iy5gmInvqinEowpMMjfqDaP+i65HNllO0XTilNjbsEOaGjCFS4w3oouxStYptI
Oh3OTtjPYgP+m1mmxbLY3bEzX1yshwb24stg5PBjkGt69IFIN7ve78vPLiIv5W6JGmdGjhyKVlwI
Y2GsVI1I94dZMEECh6p76EpWCFupTORQRVY+MgnicWWfEPVVN4bplvcLu+AS7tmBeh9iiOMOwYqU
YeZciXxiaM6O1r5JysY9UWK1zwuO7PtRGnXcjibPKzGLBW8ZmGnPjoePhGHm6qttAZ0x/cTVSXSo
r8JeWJeCcMZbJJYVOQNlqw11l43wK8pyHBBAsZ/Qp38ShuXT8qCTvcVYobsowsQINrx1hrtxlplW
V1ZwnHeoYdb3Ezj167Yoljv2U/m7uVKmw5IdKaDNUDHplELcp9FEskb76Srz2iyeW16xyxzhZQ++
qhBiy6SIla1Xu+kONyEVw5oPvkzF3DOJ6ju2NqsRXQRoc+sC07OHXV2gUL9Y6+huhmlYTyEKOjBd
W+lfjsxQXHYKlbQ3s7EGEP+KQl32yLJ2jNFh2zPLQ/FvS3kyfIDMuBh3ynFr9yBJ+ne8tUw8TM5A
Ahe38i8UHMlk60LB6Y8li6Q5xk84S0itLvVXWznhu3m23LjtAwMd2WLxz+FQEmizyIGc2/pVcTVk
zF0QAwjq66IJ58fBjvp7y5mC5z5hrNj6aLZjLVMaX1wrMS5CvBwQHxbDjIxlWpvOJrNAom/6IJOH
vO6sW1jdWX0RdnnE8iLovtOruvm2MlPz1IVFZeJqpIyNYIxixrPsM2c8++Fit/6PIvu/bd0/tXU2
to6/9CN/aI8fvrWsdH9b6MKZ0f/m767O/AsLCXwHA7CnwLR/Xeh6f/lo4QEN0jqVr8TH/9XHmUjm
AS0CtopuiRfa/0kbh+3Dq2aJFhPBrghmNB0lo3W93/0Foh7ZLWVRG1ZHiDBPE0J3eL2ULQNs8yNU
nHcDAuGNKfuPYW19XCZcIGSw7MWsLtirhLvV6O2TM9XLSeB4rjXivFOEExu50WTMaPQNe6xo+L4k
irVCFgBFDYV5aaRV9wwU2Pwf9s5sOW7k2tqv8r8AOoDEfFvzwCqSRYoidYOgSBHznEACePrzobr9
H4nu0wrf2xF2d1gUawCQuXPvtb510dAjbhG2duTkqmlZeXG8wew7EB3lXpI+9u7UFK9ST+ZHpPSK
34an2MSRyZhKiBV+zeagy2Z2J97iJkEwKy25SLJh37TudG+3gU1CinLpu6rukQAIeJIsZfsIqTz1
pHGvJpNuogy/OlYeUw+rbOvmWXSSemwwq+U96YBx7wynbdY0Les75FeoT7OnbkB4YQ4ThkZEMLnb
v9I55fBl9moFJHD4Hhd+eEyVNS1MfwJMAHF4a7dKZ9jV0PUvxnn9y4izMM13bPvmxurYTGLmgAsC
414F2IglwIgDJOx8k8cEayUTLPJJQpzhqsJ5cItLXrcbedVWabfBXI90Wj3sKtNXAKFL4+JXInuW
nIO/2tQ8OeXrZMj8khI3wYiEkyYwKHqTRIdmp4ZFUq0FdPBlTUz5czeV8X1qRtbebNHhmyb+xUUV
UjbVzEwfOHuTqZGOk7vQchtbB3inGxBO8bkpM/WMCK599wHDPw25iZ22JB975ZQusW69Dydbpda+
JtnmnjkmqMXMpOWYid7eSdOrXtw4wfrLpp09FWlhH+0M4DAqN+NsFehaFpORlSnImqq5cWvhreh3
GXx5voC0G3UI4FtREYDUzol9jDaLQ61NdHxrHFX0fbOU8BOjhMZO4B65dvihNkK5yTdX9Boa2zno
jAFK8JSIrHzwTMK9hjwuH4y0NM6mM5RHix3yJhyG5FuFZzAm0NyFJRynRMTkBJ6tmUUMd6NNclQn
U8YZXchUqI1xGE0UFztTKkRUNmfxVVN71mutm9kT4GT9e9O55l4zzY72MrKTXTgznhoKeJgKeHz7
YSS1DjOC8diXNplskl/pgrTuVliyxzsRcmvazFXTnU1UXLKox3C8cAjlPc5TiQtO7PIIFtBJlyaH
lHXlZfxCQw5Rvb7ylMeeJIBB5tVLxPO3jZGRQHUeyDcMMMeBC4+AQ5O2QjZPbbXvMZBYhABm9QNQ
z3AXdCg2r+8sCZLK2/TAubD+Ipa8D+fyNLYbkhTNIPLurYF7kNzyHE5nhE6D0fdjm1hqCW2cnMl4
/uDSzMcL2S3yi8sI6yPLgkTs7f5Pj1U5rnWASttEWcm3652W2JJXm0KfOD2DM9/xypH24BLdqmrW
OEdhAth/qrMni3S9r6qgwoMzbbn3DdPFfZkSrmcMmJOaRiKjZo8FE4O8Y9MBqD5o8EQBSgS04jNa
8e9yTigqdJQEnuGMR5I+xIWizLuoeoYdcUeiv/Lt4Jsv5hwhGxr04poQoPUer+iO6PezMNIernk6
EyfHhzqs/W2ZSX99vVq5giKNM468wjYNCuhMsveWZcI3N0LVvDHq1goWjjcXT07Ir+9mR7IL/nKu
rAmP8NABNER+i7qMad5P57aIzn093kFpeOxr4hB6u/xWxB7iGGdc+t5JyO5WV+FdBFAK1Ei0g5Tx
YSv/iM8N3Z9G0rtwL+hZNmYfbRlYPIVNS93I+PHGcfiFVWATIqQtRDUi5RNFeZHsYySUmWW3BdXm
XKwq+dLiQDw79J1BMnghg9yKEtwtrGWcj2d0xis1MAMLyoNZuMGdIbXh1hhEsvFKpopU705EVkOa
LDwf4cpYpTmICcJg+z4DAEQCYrTSGuO9CEmFq8WPusDdWwPjPibTDAUQOfo9Yb81htwVDFHwiiBs
6DvzVtDIeNFC8Qxv541xbM7xuc03iBklGpOiX2s54/qkRTW9EBx2l5XjEHdrWtayB0n1nvf2En49
Ve0UtRt4dg9F0lUH3023JuQ1eB4TFzh2jM1QE/eUILQhjsj4QmtAYNOv9+kw5nsCO8ydYhFe6UQL
0OhAY8Lg6FCFE+ijsnyp9c5CjVTqN2Oqu4eGG39LCcpUvg9edIOgOOSTi84YP8yxulSx5/6IhRvv
LFXr31xHw2+Vpo+0oJLXcdQgqCR9u4jN2lvqXdEuGJzJGRxtwZSYJtYDs892YTKZnHIxeC7JRBUk
ONZ5+x6NMljrMOrOpD2oam2GfQyQXQq6j8AXujUHjuKmNJxzxpp/z23VzOcT4w7huLVWJISWyxxq
5y4t0mpltRpTNENUP1pk3muoTPsxB8VrVtVrl5ViVXutj3epf9ZBECz1kt3eF7W91ZzuDSbwCzXv
Vh/r4IsyqnHB4bjnfKdSfJq2dmos+0swFhC/eAwXSVyEz7ArWs5c5kqiuLxRXheuKRK8d1y6/QWs
o/ElHeu5hsBJsAQyMx4U7kV70YvA42DbJ1+SOd3Vaq38Rxu4yQ/ZNBkZDbm7KMI2WFGP9xv2dLWh
k3bA/2+ux0nqZzdIynv0fsMqjGoqK5N8CVU13rnqK/WtgJzzTQnDPDvSKpc2FdaiceJpRSMG8H8u
485dRoVdk8eVe/4sYg1v+kGmxqEVgcEhBB3omdNGt/HCOtd5JMIn6QzarQMPAki3GGouYknkRRNq
6x73141rNxZ3TMGREH5qJRbWxGEPoGN5Lgk8P0A7DVBB2fk6aOvgya9jeVGgyJI1gCHUttIvtLMM
PXtPpZBuDb2s1/GQBUsCR0trHTXDR5EL+Mj4876oJla7KnLrrxB7QBqxFq7CaQ77cFULZQAIsu5O
YG+owvK+1w56yQJWGaLelQG614oJNz2vMdiUseHxtrIaEU/23W0zb9E2gbpNHU0/NUHRbDKzbMCc
0AHu6MovqRlOQwlJRNO2JL45y8ybXpKmoV2UgKrAtlQ3y8lIjUWMkWqTWzrDtya1toDTTmQVjNuG
dOYF4iVzgz6mv5tSary0R4wFV8S7HVWdPdRJq3YA+rQXU/pn2kXtD3LkKECcUW58QDEbztIVh/ea
83ITx6uumXjEMasscKUxJ7HLW4AaHSNCRtStruwnsxq2gxrCVWtODyNpWuchFgbcCU6SY2FsHRW3
y8xo1jT2wh/4LJhys+X18DbWPWhqmtTDcIjpCCIOaoO9qoObOKwZGtj2yuU8ukfmNhyDxIPns0oA
6hhQnaaLn7K6Gke3g8fcr5NqtlJv0xz0xj3G2XrFIzyHZPCB58gM/5qfETLD14HTX4M1XOSUw364
Jm7Y1/SN5JrEMc6hHMM1n8P+M6yDfRsjGAJI+tjtNdEjSj3VWwvnmvXBbvh1IP1D04kBya+BIFan
HsiIRj0xEhdCqk65SXrbOkmyRGrG/eupci6xD9ImmaS8RHP0SObbyS1UE/t7OweTJHNEidEa8qTm
2JKY/JImRPembIGssifcBJmtdbCuiSc22Sf+HIKigC1cQkqVNd43czWSlcJEcKbudMmrmoNU4mum
CubJQ64RsxImjLrSuiVis4+HZTDHsVRzMMsgrXhLLuEjnBMkUKS3TCaFNnFE765AioAsuzk7Biad
0nqLQMuugHz6h/GaCJNc02HCsZHfdUvJd6bTyY2aY2QECoSdSSrAvkn8B73vfBoJ1DIkz/Qy3U/X
PJoJ+dCNFTfafTXH1WRIc05tlL9xAKUhVYqaXBslJ/s4FoQHxaTe1HP8jdTq/N1l9MWaBctkg5Wp
3zRQhV4oX5y1oE13kYE/LamBLuYcsWNe03aMOXhHt/x65c5hPMMcy8Ncrjti8yxupmtqTz3K7DYt
ambyWE6j73SlSfgJ5rCf3IjYCvRrBhBHQ0ZdGH68dy+cU4L60DZoV4ceany3epnmOKHpmizUX1OG
HExfJCjpqngsKPrXtjF5x6AkuLZlYVx7xrSPx6DAjswhi0Do9ByHnXoxIACsnNqly2oT97ZskoSG
PMhTbqGQooSxJu7NIvblIxyNJgzWsqyLySwXVM8SjRfEoAlnJ2JapJF1239EbZ7vXFPGu6ZW1W7Q
ih/pMJHmMgYux8f2Jm3om1Zh412cXO/vwkhWFzPxJ2Z1NdUtoYALe9btAR2NV4nvBQfe2BcOfsHK
9aNyoyW5t8/Ii2n+K+ZnCv/7qBEbo+Y/NX2Wr1n8UTafhPx//q2/2j6I4/8w8OXTZxGAPpib//9x
PqiTPyzdJubRgiqOIxQn0790/CSUGC6Obx3UOVDDOW7hXzp+8YeNs8lCSAhdErTCf5Q598lAZutz
nolgAgmABQGWsD61gSQ3bFV33XBGDOWvezqd1aI0mTgQ2az6e5708ZAM/dxbJvL2RZZW/yW1WiaP
rV/UX3/69v5mhG/8ihe4vhu4CRhBXUtnnO/M3q6fmlI4HuG/Rh2mlrowiBKfcOp1bulgzES5gq1P
Wd2L21ccapvcwwBUJw3tg2BqXWtJwmvx7kup3/I7om4lssz4gjbHM7aA8IMf4MGN4TemN0FD72fN
wfz9WQ4KRjx4Njavz7ZOazZpOf4ozya2So4z4Bi/9OgxANO6Ixr9fhyMhPk40UfTbPpaULab27xv
CGRv+lK+RzTEDfaMioGejEta9HmEN9ht7DRcQ92L7vBcH/LWjxi/6br/1Eb1MaW0GpAma84ppkeQ
b//5Ovz7ZXCxBODBApEDXv36oX+6DHTIQ6VVWXsuWMyfyhCYEg4Lwa1RFd1wB5vPf6gCI3v+55f9
ZCnRXQMzieea2D6Z8xLG+OvV5yQZWlUbFmcknMaZdNfuXIDzir0gevrnV+Lx+eWqza/k6zRcgQ0x
4ZgTgH6+zyr0cQgWovLsVQS+1gop1jaQNMwXjNPXOu2paYldA0taAtU0/91N86tTEiI7DCod8A9k
HYcEos8v77pmHIUFXSi3Tu3XHOjva0qoUba1p7xdO2Svz5O9JNqqrFYCjWLp/pCZ3+6JKbduBscE
Nm/io01plBX5F7OpBGFtHjq8SiPSV9em3GWgXlqw9Ey8j79zpP37hYICwrKByVJYM1Dh169Pdzq7
QOFGdnUX5K/IHlvCtbVUFvO8aCzCA9Hu6ffQ86ubYaojELPWEC+F0bsfkpqtXI5RiO0MpOSPuDHd
d9qUkfsbZzlkks8XeY6/mGMpZrf9jEj59V06jRfrTSTNU2LVVeCjPPSjiaprMP0N7eRu2Qw11gZU
+x3k98hdNkaxhSBXbXEiCHR7TLuqDEgkdkwVflVJXu7HVspFZdfVF2ihdMawEsNMTJD0x9JMFOVK
W5xVpbW39B3JhQ0Jq15oE7lrTFijfGc7MruIJLwLx3mOmHVufSbl6VESosYYrRdzSvkoWBusboJK
rLzkBvya94KE1jpEjmfcTOHQ+8gPIysnCmuM9xoQ3XyhRuTNtOG11ZQMb2BD5EOnay4Dz1y6JJjV
3d4KhHisI0MBjHU1A+VulAbffVNv+gXTLu1bl7uoFypMAPDWq72BNOY9xvfNc2/m6QOJFwOVSm2F
hyZouuXI97CdZWm3tcoHAOFNvTGMwejXGTq2cNmrkMD4XmCzzWEVrTrCvaNACzGcEEizY6sRalno
ycx4cbPnIdejowDyyHRe2tvOTzSxaZ18evWcslm3+gAFu0+9cKMNg/4Kk1Z9tGFVUS8KqXccu0Uf
bgaZlDwcSq3HsO+8TVMG0Yqky3xX8KMoia2GjMA+711OLkkCJzpgWAkdg46+JTm1gnAq8m3jpGtC
ykf9XuHpxwlIhYw8E3r7hh6u324H0x1unHSasuC+UzUIysUYAxpv3pk1CzG9tEob3DxC68tSXr4J
sNUS82kncW3oZ5nKPB0OPm3Ube+DZt/nnAarxbXxjIHE3KMEIFar4xoEjBqIWeFy5Z4HrzVgPySs
U9Vr5OShvgTxaAS3uN+Zie7S0VXRilgFX2KalSZ3lMIF1qplx164cbQoCW6Zf5rEEhOvRXinYaY0
uoosbnz8s2xewXroY4dAPR/F9WIMdLpzePZzohJ9wqk3KnMzGvkg8NONXYT5tPSY/zPBFqnVLXPM
fdkC10/YouXQco4TYex9aF3vxjpiEYFK0PI672yjGaaENV0JRXVZwDScxl2rs7pF6wpEwdxv6Kd6
4+MPizdjRlL9Tm/bvFraYszipTvYIwOnuI5RPziW+AqvgJodNlOar/ivrt1mic6MtpNF8TXJcz/f
mw2q2HWKju8yddJEbwHO2ThGKmrdgha3iOQ2aPqqeGAzNg9JOIl001W8g3UpUSVxXECKNoNPK3XK
EcEHTMWLqlkFBiDSxrTtbBUGZtit3KLncsZuS31STIk5/YAE6DsrrBZZvsIkGdV7AzA8unM3dZYi
RbC/iss4WE1dkNrghJrKv0sClVhLAO7JhDUkIRSOgFfUzlUQ2rxd3604AEdTyVyLmKZ16lsRoxp+
bmH4xG1y+4RmTWcjnv0vxBOBYhvLUVsAZPbE2WCuxAHE6y3NfBwzDvRnp/JHmMB+LU9EsrElhQiv
+QvYBfi2AiKZihdmMEV0qMc8Gzatsqf4aJCx8Ghh2nu1hwBuimdw83I6HFxzTQoQvfmcGVm+wkuU
tksAk6Ax4/olY64ocLck/UOLBPx71UTmrndJ5F6jpKMvyoiS32NnJXTrAk3TeRoq9IstLvRHWsP8
hHI0euTSGN1h3Ys84XA1CKH2hRsSyRVrrv9U6PV8cyZJ3W7drOUgP4yWpOFZK65NpAreWIlJzTiy
g/lPJhGQ+RpdUdqsiA8fyr3EOCruEuT26UV4hY86ywJ1dZL03Sg+o3G4s7FvDOtS5bx0WU5Yl4C9
yGmrp+784ee3rlifeF/Ioc6WXfApOlpqhCcQpECQTNrz6FQZHNL7onF55JuOqiDkz1hTwbpEtzWE
nRmVWkU6lxtwXHfKNbhfi5gx7bAZwP7RYqTpPS8aPExLPhELyOAbc50MGOYpEMgRvT6m6e9Fdsp9
MYbOq4LVAVe7IQHXlIPeHkPK3ORYVkWaPHjsFtu20I0zzqD6xUJ6W0Pzj2JxKL3Q744BWZ/9amzc
WlHgjua2Enyt9PDq8S3NUvtu6Fq93NX62KdflZOH7S4PtPxjnPBjMhirSW3gHECGegyYica5k/tf
NT1g8qmqEC0Hjev12KjogvKxPfp5mth4nBoRsuzZFttRJPynJtH6cJ2JgscEf67p762iNOofOQvy
eKCJybOh5hV7ndga3+jQT/2aTUbVR6PpBLReP5M9Oy3qS0rvOvnW+GAiNNIujMPkSyYKeJ3GWW5o
uP0+VoJfhVgsmj3DoRPuKy4LU9vUd6Bd9L08DaObPdBbr3HYtjugKgw4J0UGLTZKFEfbCipteSqc
wbrRpG6V66gu8v4YwgwnWcVu8+iRSqR91/2ZFsPS2fZoiNrZC6N6r2YXGOuHLKyN+NkoJ9PrmYxq
6filgsbu88taIMIR+PbwoAWV+k70o9YvM7d10j38D+N+aLVg2jYdwtN1jMNoWsCrS8y7Ic0m+5w7
FVphuka6A7M7QlOELE2hzI1oF62VV8R0LyeXwbnXtmCDBpOwjj4jC3U74a3grVpD6K7GYNRbOl44
nb8qBEaPCcokuLVN7D9xr+ftXeEXBgusqHwmPHnkML3uXoTXKQ+tWdq7X2xRMABXMNesE2mRXn+p
mVEASA65o9dMf7maHBzG4SY2ZUrsc1NF5p0AU+fsg6H0+VzDoIWntNEqtYJ5xppBNdbJEzNF3n8D
kHnTRl4aMXjS9T2zTZ575pBujDE8cv9kx/1XP/Mb/QwnyZkq8n/bIi5R+f7j/6EWeS3ef7ZG/PUX
/+qmkCiJqmY+k6JdEZ6v44D4yxzBH4F7oXtgzMn2LkeWn3opgjYM3RR8Fr8Et5LpatCZoYoxsVv8
J3qaP8mH/8tQmeHFtGOIleU98L7MzxDjuiFhOff9cgfoCYj/GJECk5IORwIQ0/ZY2M+KecYJdlqM
CL96zkJb2+vKPYuyA8SUU4uvKoZJ94QyF3cZ2kM7AOw4y0eSTWkpj7qAqrAxGFhadJ1RitIs9lr3
XIG0X4jBuEsGBcffzE+Oyk6mpjjSVgGcPdtnADJb4aiHF/3sN9W7+JzzPS7phqNRKMqaABQPS6Qt
oJfqE941/c4xWiB3jSJvkZgnO+Whs0biimT80WZJusqxyK/d0ju75rBVMZ7ZKiw+/LQ44V+94PjE
khl3G0ukJ1Iy71DKHfVwdtYm2mKI4texkiUquunNlumBmOW30nWe67HdlFmQLZs8Mr8G9exR9JyF
0lu8gtAf4MR5Z0Oaz2mfvbo6E3o9ROzepKf5GyA5mrTNNPtIKnID2lAmGzOjnjFzpCYoi5iKqP4x
NNXFK/Bk0oEK91DB31RArAPrHCzJ8TinW+ynjApTU6zfWG5gG8QH4jAFEIrh0YnGi6qs58hMDxi5
X9kuXksWTTdCvrxwLDj3fCAkjh+lHO+sjGs1mhKfQVUvNOsac8l+i6QbXgY52aLkixIRjpTARhXo
z1DEOCXbutOYXcsqBm0AQHFhRflrh5oJsyMpvBKz63J+rQoi3loDE69a/U4KtcU4fWSyjpKw14+V
ywQE1fCHCdWc1nd8StPhiNmbBJrSB8kY8wlLa3yaAiCoBIxkaGlMRgUtL0SrPVlFvjXdEN6AHY5o
NaumYrGHR2yDq2EsOL5FxGkEZfxaQDFmBx7evHI6co6dbfxNfE5rkECD/t2rzVtfxTgbkZKNQu7w
nDa7eiAwoYb3FVeEcjTmLsy5RpoOAzuV0Ma6bjo65YhXEsUGuVaGyUCdO4H8PLmoRU4ueqs/FaHx
5puKOf0cGiHD7MAm/UiG+qM1ZID8E2ILnJLYrXx4NAMjQnkpUXIIJKUT56GlYcSEZs3fO7EcZ9+3
nunkJxsHiFdFibFB3/uIupgYI7zMC2U6z7HbjDsSOKcFLcUzcIbqWxKgkHAT4EiNFvRMyLjtsiEM
luwo9pLcjn5Xu2N/qEu7h5niePuh17TbNBqzNW5EjJ9aNW70KOsPHA3aJfJ68405/TdsH86NgX4/
5K4p49paYR6tSDPIOTC4pPG9Bm7ZaEjjBcktnFCLJ8idT/nAZHw1Wa3P2FjEyyEKkFCl3xpz7Jfp
kIGjR/fBpGxVyRHTpDXgu20g0iAegaSAJnWG8NGeyLToriipUJRmPZVESi7bzrbXPeXpUIzNW1EI
zt5aEq0zakPPRaVRTdRBeZzTg0W7jIjDJoKg4PafEvFWGiXR6DWcQiQBS2cQ2Jbdkus2JwF1E7ch
ehpUrMLybi3dxfQvuOnG1H12NefcUV7ug7754Hx0tJz0N10j9o+fG4Os4jQ9weTMzWeXJsX85z91
PuPEsToU5+XO6kEimeRJLRn3n2O7Pk24BX7TSPvUR7u+GkY/6JO0uw3vyuX66dV8S3VELbrFDoAs
hy4jPTAng25n/pZ7/6kXNr8SQml0o2hSgR9+hp4q1x3MJKjKnZDpqx+wGs7LcWIosvJa2PJ7/k3/
TZvzs8L0+poQxQARAUbgn79+l6FZYKRpoaeOGJnXqNIeS/i/Sw3fudJsstL4vFk2HZuW1e2n2uFv
Bgnm3Nv7dTfm8/qYAekoExfyGQJXpaGaktErdm3emKukzL078vUYvLb6MSnJbKGf8qaQs25S1SO1
pF2xggxJbgYZFpEDH7CYjl3Ys+ua9s73c+bIHfYrTx2Vg3zHc8Sco8O9WiZU8c0mRzUy5OGTTsIQ
UwDrTJQg6XwlyWG2XVYvIST6peWxPPzzJ/2bW8icvY42ngDd/jc7pshiPy+FVewi0W6sUr/T/eku
n5Cd/eZ1/u4btej4Ulp5FrfSfIf9fK8qwxv4Q+5VP7P27YDK0YitNWdluE+Oj2bLgymP4eM+68c7
V+r5fRSyh1pT+FHPAU5zqQLKHBumGI6h1gacZLpHzXfOZtNvoeYSXF/F+TIMI2dbD2J4DunzbPNQ
oIOaqa+d3rSXIh2ehmYW5onYOsjY4zjikD5mFfFHENtEIqTZnH7ildtBI6iGVBMv7DYgx9m8K3MX
jYDrooJ4RzR9HKYHsLJQqkU33bljDedB8Lt9j0aJDXbdRRP4my/yb1YYsouZRSErgpD/mXg6ubgo
aLcUnAaNazkxsLKhunHo+Ji7f75on4ZT16eewSOtcVI1fOYNv14znPvY162x2Nlpf4ETc0BR9ZsF
8/okfXrS5lmAZc3/6wvv02vEESjqTNeLXen31aaNB0hQwfQ2r/TxBAmUOMBDKqydr4kzwSLR2i2y
gzYEX2m+fvccQFeCaRhZ6wmtn4RNPPJZnaoxPxlG+DE5yly7QZzuMgYZC4LL1AKzYnuTxc6696ov
HkJErIJeuLeQ0S4zm7oF8Ltc4syqNvQJIO77pB11QyUXuog/7IJbEIbiqR/SQ2qj1yCKkwIV+MVg
GyCM52F/r8tLWYhobZnT72jDf/PE/oXJZB22LFv8elFgpEnUJ3mxMzIOCgwFiKOSKMmElvKZI76B
mHJrlY3eObcdqP20njnc57cSQLaHK2itOdArVYBtRZLsvuoi/VkllYnRCqpJ2jvnmX+z7AL7HPki
WdkNK1FVIm51k/GJWKO3qdXpTGLeMakOfeSRy0YbtmmkI0Xma6rozG/NTG39Sl1C20Er3nB/WhUL
X+vAcvaxMgGBIU5H2NOTXzX9bxDrf/OQsGfM/8Ehy3nv03ekwhoCpuqLHa2GFSUOIxjF27Ho8gdV
+JsrYnwegs/PCQM5et4EcGBt//xMzpZlhqBdsWsEjV4k/+XKC5ID8pEd/J0YwRy35MSABfUfyxTu
1uc4zE4AwKZFV4KQKwvQ9Hit6rXvTDk6cxie5I19b1PjBs3vbUa2Gs1zqn2km+bKrNq3PJkuQzYe
c7iMi/k2C830NVBzlaoEoiX9VHewLoeSSVQs1z1pGhvJJb0eLydroFls84OQRA6OhmY5qVS/qYIO
RC9JYfvBG+6uh6CggLWuaI0cik49xpKDpJeGAMFqjnr2pB4bGeqL0fIXPhFRIjXuai0+EAAGUd/t
kP6kxHfxL1rO/4Obgxuy6vqNYTXten6M2sE+Y7R4JCyFAwR9UJ4nWERZTbWkB8lpqJmTuRU/3UCH
rxN7poQH9Y1vD2+NlCvV8QUnWXyKTc4s/kApbmXWcxL1F8X4dGmW9q4v8oPWJ4eJZLMFGi2OPzI7
cCje5gE7SxzOtDmeDkfR1jHsb/TJikNq2Oe+7Vf4osm84mA0TE28ReNXHpFrnDNpPYsm/t1+fPXN
fFoPqXXQgGBj4Y76TOvMaJTVyCzyXeuOb8DTLhiYz9dGIHK7ZDXXX9ejNpm/xOn5VHrXZ76AOj+q
lojrhL9W5+aKZnRCBLe/8npmpIywwhqDpFes/YGInMxAad3HKWLf0IrXNeC9NxJc/FPV+NFqCtkX
5RT5N+R2UuW75llorDEAlJ56k3JLb8xqzqWlPxxK5N4elXXIwZD9MEJouoRMp/Zu0j1KxneLRshL
w+Bi6eMWYXJ6sewOrVRGyxs7s7mq1YSBWD0Sbk+YrMGswS7HN6dFs9xU8uJyOtilMZGvbCIcMrtH
rBR3czUv3X/tr//tsP2uw0adyzL5f3fYTnGLhKiJf+mu/fmX/uquef4fhCLgUBO/ckd8+w/KhzmC
4ue2GqhRVlJHF66HwI0G2v9KlJw/cL6hruAHdA8UtvWftNbsq+7jp0dK910Xy5yOesqDKgTg49cd
szFQmzLIig4TnV4QSlnosApbSSDGReVY/YtO2+CsUWdf4moszpMCz1B7uW4s0Yomayw6+kMi02lc
N2JIbyNPJunC0QoIEm6zHXwmfZKY+EXOyK5e2d7gEfIWMEtbBKmiexPZ0bEnueRGD2k/LkqR3VRR
k96RvuFtc0SIzNMDnM0wwySFJVzJtkuda8DQPmXSeurQ+K2mqcUIY3ajbBa58sTRHUr1LcV+ka4G
F36SifJpy9BbsuCVwYU6EXwKVKph3+nfgRSWr26aeacpNYNriSvX/ACDjRlmiIHFuVVkbYbsXz6G
0Cgo9T2YRmuXNkJ7Q+JSf8BX91FkFt6+DPIG2rMI6mU0+0txxXVb5qENZaKlwAsyTOLMnYz50kzE
j0RHMZ7YTFcqMrJpYzE4OocYj45tNWlvxdXPalSlODNdKfZjXD/3/gC9SwmHusLrv0SVlA++L4ec
PMCp+U7wePjcEC9Lb9IGZYyDJOmwXNCw77xin82Ds4XQ42Yf2X7qsvKRUVrT8uyWwlJfHRAwfMlF
9j2LJXDRKZZsSXH8NukdoG+9uYVfZR/SRlZoFabpWAWgWwvbbTfu4LWCTkc8sgyOnWi4nmH6zLi0
jghjqDt+W661G9Ga2XE03GDZlLnDBx2QcrRG0N0Ysa3tEluPtgNszceysKKvqYxhPSmyoMRi5Ni3
zh07MVZwZ3QaHYIROwOWId3XCDtOneVPiLFLfbbwG32wiSYUbURGMy1RGHVWGYaLcGH7g4IWKrpm
WQ1mgYeIQOxtlUTFXexAr7fq0b3BJzat7GnEZ9N4+amSWnIjNNMAugXyQpube+7IelyFT+ilKeN8
LGnf60FB20wr22EkSvOoBMK9m6qJoU2PBBi3Jvq7Kbf9+zAA2oEVfF1Feb8EYrNyGvscZxjwC8Sx
e71h1KgS8nZWfduNsMii4ThN0oG86csCak0SPGu5E2qHoCZAbu2DUXmvaeiiutFVd+knVQbrfkyN
F4nWoViGBI/fG11Rf8NMSoUDp+s1bTgkLuExjJdWuZm3s8yUWRibUrljcMhULDcH/JMI32eKhWE+
McmLjjUqme+dU+tkyVrctEtCkbMdbWrvWwKj/gQkZ9T3hHL6j2h1KYbHxA3APNCFy1bErpYbLyry
VwIT/C9NbH3XdFWtnKoxUT454w+7aoBvtahZCgKtg+I5CUnOWWZNInGBkK3wgmmcAmV0k2qP21au
cq1H4yspH24iMRB3L5t7o2WwwZHEk+tGx9kBMsRae9n/sHdeS5Ib2Zb9lWvzjjIIhxq7M2YTOjIi
taqsF1iWghbuUA58/Sxkk+xkdjd5+c4XWpGszAhEAO5+ztl77WYG8s1+OQ99u9EYIzYC+cV2Hjt5
gR3Rv3DN1qeBl2QBn4PAVd73rGj09/y1ETbmfoD5coev0UXVbIIhMsIuElvhK/PFzhN6n4LFdLBN
gHLkc6bZ3icS7hhPjryis4HdNqydZd9PxWJMLbPnPM3ktJJ030cWswjqZqyrYB0YY/NlIMwa/IsR
AHs3Q1qVrjm116JVxrfa9UvFp5QNNxNERBYXDiar2shCtWKaMuwgUcgv3jiNP5gGjy+TqKxLB9Af
R5ixDTDzuLQG12HkyOtkCqN8E9gNTZZkxM5rGxyCLbO5j/O24WQbjicIIem6LEBmIv2+EM1EKERV
FbcoKIsNIT7RMUM2s60tIffaLB/iyu33rYITmtJqwYWkUoW1NZ+qNV1bbytNPX+fnUGX28GCPVo7
fbk162SwV4UZZGTLW0xWTgKfA0Y9ocYmfZ5xOtP48um4mp+DKfcwNiTKsbruc9/jf7iOdIRTDmDS
tZUhqUFSoVB9F+adZ/nxDcui3vtBPh+HeHxyRVXdyTAI7nqrjWxA2ln0NCqv+uwYKqD56lfjRTLF
+VNQkdYMJonHKkib6sbsdXlDGSp3bVy66y7NxVXI3HVdD7PNLFzFwCbY7da6nHCs2mG/k4EvM1Tr
JeiC0OTtermxA5Sd8MEwvFoIEbZYWVj/QCzw9mfd2RB0KkohRfP2XgTKO2ZpPj7EvREgFhii5Icz
GxMN7rgvFwtBfZ7MKbqCZ9XcY/TyjzEX/o20+ZmAa+Ui0cO+pCM5f8kFBRClijEfYqKjdxlcYvBN
Xb8l/7TfkiTMetSn1nyyu9lfzN14ysbsRha9WrnSdq4jQmcFi2we3Y1zdKy9zL5Uuo7rdTULn2et
r2/i2acw4PN8ULW2zmEG8JXlwt9n5LBcM4YenC2aEvcWq3vyPcK2cUi1gZNYSQ3KxDW76WJC/HBr
54oqdQrD42D17ZOK6vJmsNzhwPPk4Yrra0XLyQesjXFmQH83TaDGswrpQE+XAqmZyUi6zRwURjSQ
tombmodMFuK6J/fscvZDfWzZGJkK2uMVrORvZp2G35jT2TU0HVd+TvsigTId5ccWzMq+chIDbOfA
UsPtt4wwROG4SFtNHx5Ylt9EIUeQxvdHyg3LeyFgOri2JybrHXKyajUCGlucy4h8tkrZdn1fTeFn
wjpR6AxJkDQnibDQIhU6IHF+KMfwJTWi/N61wlbeeAQrtgfi66SxmknudUFGWdI82x5u3X0TWihz
VkBy0mbNxs8nX9vzdK9kvNGhE0w7J/H8XRN6i+Ot8iKKksXFTjjziSjfFlZzZyS0zhw3fSUEoapQ
vBBfv1XjrGKP6GktZ48ukkY7vq9R1pj9BbesTcXsDxW6oVcZzS8ce/VznhvVt2zQ9lPY9f4DLK/m
Qsr0QVY+8RGOLI++bJu13w/l2q/1nVfMLyyApD4kr1nnvfj92H916pYThMBQvGpdZOohVY/nB8WN
tIrtKErjzJdjrwL4q8cq7+RPZ14479AfYYSO0gkQkfZpccD/3N0iO6b/iPs4AVKlwjh+CDwa0OVs
z7fJzHlnBcnRLY3VW0nwd/X0J9UTXA76dP+5ePp/APDq6vd4j7cf+dXmYVI7UaLAsPXRgwqX9vkv
wgSkB58CS3gm46Q3yQKF0i/SBMdfCiXzra5ZxAw27+FXm4f1ybEDsB0+0xPiU4O/UkLZH9GIJikI
vC+2COiNvL2PUcSl9NtW597I2bUptERxO3ZgiFdk8tYmWq8hsEGJSb+b+31ulwBEn7uAYHpCAJuy
fbBL0c1qhUzLtKEFZKoZszUPkWyC+9TD5Ogxrs4q8q7XDcD6aiecEclzVYXTARTkyJCVmD0avUfV
k7eJ5RgCb9U1l1UxZaD6mTRzhAua6uxGmb4gTWYw2US86XISUfSQObIh8Mz7bMBw2o/14MdrE6s4
fj74UyUkhJIQOizKcPAeEuyyFRTEngU6ZO4f88SBJhsdiZCoUDNOdY/Oxd2cD+6r2dh49YmtGy5h
HqKZQgBKqJQaFkVU6MRmsa/0gFdvUEWwQVKfHtGwSZ8pcTfAP57MdC8NjNlksk4dzW685KQjMlFI
SpEfGsL8dmwn9GV9o+IXQ3+P9LocouHadqPqpRsn6270kmrYM2/tNknb4qWMm8nWyBemGbBwqUi8
kcPnDjv/UzQjklirWIIFI6lbkwipXC5UoA+3P0dFJs+jaxXI2AFVCisftl7cSIvTlzqPdU1cBdDz
ER82cfIrNmmIwlHrP4WISc72m66ZPGA0zglNZ0S8i/TZoGI1byV6aPtNGe0sImn4c+ilh+Wcm76p
qN03RTWDVdTVSNXhsaCxPshFfK3fdNgQVsbtuIizmeig00YDQDdXvem3OV6MP+nym6+zC+Axd3ka
qWhTDOM4NV7LxSO1w1qNKLzWzb1VqeSUo6T/XC/i8cgcrHHdGHF3KAaEbhtb+ddlOSE4X6Tn2Dx8
uV7cq9w0b+p0osHkDhqnRiGnwmu9yNjlImjvF2l78qZyrxfBO+w/GFIu7PzvJkLhY7dQKLpFJE/o
bfSFpwHlfJVZ4deoHNDTT2035Pu4k/ZDVKT9ccQNvrMLIv9WYRW194EYvuHoNTbDItaP3nT7PAHp
sYaCUK6nN2V/vIj8S48kRwJPoDjgzyFDYZlJugRUWRj9kXS3b36BFueAKwp1JQni/AqHjCwKGU9P
pDmUh+jNdWDgmWUgv5gRhsWWMNW6upIuZkY2kMW3YA8AsCHxBRuLlsGjF0vCJ4ywOlZhGj93sljg
Zl1U3OWLKaKd4QgOHce4OuA+9CPyJ1yRm7duIjEEvHkrqIdpLQduZEWnBjrVCoxHc43wL9y1nln8
YO47AbZvazQJEnCOnkLoGN23DDU0wuhxXLvUHIcMQCPufftVj9OzWyhQzXlMQl442L7KN5JYs7hA
7CxpXXioX1CT87LkwPTT3/7H//of+R8Xfw8mrP+8LT5PsHKq+H1L8Zef+W1fFJ/YFalT2d3YehZZ
3G/7osX/QmzBoJ6J8vvWoov70STQzhPwrkzOer9ti8L8xFCI2Sl9RQ6pGM/+yr74YT4KKRjxH5I9
OqcCrLKzjOrezbSjfqSVE8nxqi+/xxSHSfH13afxb3QIH410H1/ggwRCaacoG80LwKtbJUG56sPX
dLhKQ7aH73/8Um9zw/dd0gCX6KJjdDiDuKgaF9PZu4uZcLIXbiGsy8wtJjNrVqWBz46yg9lXLt0v
babjgGzliEzwPftea8z4h9wprS5MB655+b2WdeDHAOZEwrkEH0Rs7tFQ9D8AMQJGPfcKSoc4mV4z
H4s2zCL1EGTmdPKEUUcPE9tGZqfuRUv+wU2GMIIFETgkNTHgdXZhB1gJy42Hqm41Dg6sAbcoZZLf
y9AGLoWarRr8esObIKSAvd9uqZjsC2U16SN+FiIFIgn9YoZjPO5o1RZOefI7Ziqu9kC6W7k7fjFq
k5M/DD2UyR0BQ6bvCueaWq6ZTxn+L+OeKORUVFtniKOQcrbLs05HSxMsbfdv38jfZ+k/O0s7jA/e
3bz/wso7vI6v6e/mEOhKlh/5ddFwOTEvdgWa/YxkXe/douGZn2zhEetoMaTjr/zTM23bn4hXJQ0T
0Y8Qizr4t1XDCj6FTDYAg+NqXQ7hf8kz/cFYuJh3A5dnjB4zFmzkvh+WDZP++py5sX3ftk0DqQPT
5rQaLA7967kow3MjYnWbpIX61vjLgZQkjDuQLKSi0oNs1kUaAKNstVcxIC3GjeFZ6457cUk8aF5a
0+T3YOLnkUEVluI70Q1o3MZ1jnWiEcsL2942Fhgy2yAzF7LFuAG1Pe0hy+Z3i9PoEMakYSSW0f+o
Zprtq0SMAhJtmlxrbF4FkJhufA05Zb76TjKlkGj42NZJPNCFVrmad3DD5IU7Gc1XjlDZaxeP0w0N
MWtj43x6mRSBEGFDdC8osbn7MajYgvqELChmD7hFv3OLOYcuBb0X+3Fh5eWbd/fLv1lX36J6/7nY
vX0FHuMovlWT2sb66KAtZyFgurfe/awwe7hO724bWyu62xDWEe7ZcjmZ2mV4w9HKPlejzaWR0lS7
6zQ3h/2ckBDp+259DOd+QNvnJld2L+rvBEoaz5V027tkibB00wxxCPDiBMsM/DNMA8E+TlQD59Sp
r4NAPXYcEg9uM579eLQf7MTe48v6nklP/slmEv5+N+GikTsuNzBl4SIc+RdRGwr3ODLxpom6jF6s
5duPOdN/ZnfTN4ZvqiPJxeoIYJ7JEH1rmy2gm3ctDI5L3SPCbXLI55B7R30dVyiRx9px76OJP0nH
tn/YTW2hzLLH66T3rLMTS4xNQfQEws7ehymAuZwwUrJJCvOQVmO1Twxl7PPB8TZTrbrtbJbc005n
Didzdr5XXn8elW0dOqQoB7raiCIA1W9SPeVbjXhha8Jm27npS4H940KIevxGA89hQuyM3xooF0d/
KtRBdTRlowSMTzP0uy4d9R0PZX7lD6zfRZunh9z5TuMsU8QMKw+0fQa4JABksk4Rb6JheBM5+1m4
N2cF3S1FJO5Xlb7TFd/SqqvS7BK1uTxPQWE/T13V/Agw/6pVNdLmpKoMgUrPvrWrKM8OoW7SUwFm
4PLN+cWgZLjETMXF2Q7F7VYmc3aYVJKF6xlM8J2Rdvq6JWTo7EBx3aVzMB+oAXg2jXwGPzu2z6QL
yK8hidxnIVS4NuELXv3xA/NhzeI0ENDIsuAIIajhuww/mKHZYKMoHnwD3rs533YhIfYGZdcTE7Vg
o/yetLZwuXeYJn2DEz6v265lMCDGKfmeNTUiZ8+OLmRnymdfimZTJIW5xz/6WYeCw3jvlY+g6kNY
asrFKDs41b7guz/XhASszA7nZOtScMH0su80cn0Bn5pLnXpjuhRJRK6JZUy7AbnUsqAiU1Nu01lb
tzPs7WJw43fqQV+pvJ5v327bJpPhOl1aBEq61pnhY/SzLgK67UbZknRutc8Vw8gr0IsqwzuZEFAL
nyr9Wpn5XiKYLte9DnvkYX3v7eEB5P42D5LgOjAlgME//vjfMBD/XK+Wj5+TWQAgwqPJgw53ebTf
Hc5GiVwjnlV0h6nLM2CO+dZqUtK4z+aQK6AriRRatsZDNqVAql3dhM0lavZE7wMzZXtxeAYZ8RUy
ugjyoXlF5qU42gGSiaFjqeiF7gAXs5AyjzLtjd1fvwCxbK9kfyzmlqW/9f4CqjlvlYVr/67w5m6r
M2TvsonjnfSiguFOxTrDQZr1wvZYYqrENbZeUDWvZD+5J2v0op88ew4L81S/Otq3zt6I/i6x0ZTt
ZBFED4UvFzckSPBg9cfv/W0//vDhU0j4aLvQdqO9+fDe4W4uOVeje1cjXKep3bbRT+7mKDioVhVP
Fv7Uy0y3+rqgpbXvyoArsOk4H4MmHS7QDqfrMbTVsXBHRakujYcOl+I+HEWHcg6Z1jW5V+nZt7n+
saRlvurasf05sE3wFTE2bKORVKx5DlDey1nf9GLMq70/+Ax2MxfbzYKJxBcePduJlUFmN4ILrJE2
Q0WC7MitiHdNkegXRhR49sYhOjK8VksgBeO3zrb1DytG6IySUuDyaxvb2s5OE5JpkH+1oI5CFq/k
ysmb5lgIOIEMbtWRM4G+eXv0OAjH31VkJHSLMO7d9FAHL2at7DugUwBGy8wZ8EfI5LvZtPMuo1H2
wp03/BBFuawgy0fD3PSiT6v5UpjLLFvQ5IE+iHJxssv8gXJjjplXe+lnBonfnBqUAoIOfcxHu10z
WRjWhgCulWggcC4Yy6vMmtlL/vhG4JDIXfq7OyGkODLpprJmL8fBD9wP1uqyb/NB3tEN6pj+mDxg
q7e1uRi13E+RJC4eREFK6F8S7ziKNa8eoyXGDqxJWyZnR/KXfArFrLiQyPxGom3NNF8PRpaWqziu
dh0OZx5Xyze/TuSvP7L8d19tEGk/+tQXxgbReulvcBzWKa3FCj1V1blbAqlp9tE5dYoVgRNRsSss
BBwrpAj9IYgNvSGV1Md3XD5CKbUc3mVL4qHBdCaUnnELP24aEUSY/Xfpsq1wfy153LI+ECTR7gVP
LSlQtGpX5vK9NmPaPdMQPrhGDopW2+m8DZ3p2WqaauPUyF94PxiU2owHIowFN2tmt2LtITT+5vii
3CiCvS5qKzMPGHnxhwOMk/sZ2F6NESsS4brp8+SJfSB9ag0SB1dzMzoBOdrMkVvArLBhc+nFh4Rz
Cw1Rh9Vg1SZN8t2g+r8zABFxwGFQd2EGmq0Kw8xGMaInFzjpuy3U2tLkcnOWvKJu+aDaUfHnqOt5
DKbEniNkiK0giHgmfSImjfMYQd4XCGkz52viRGiFY8tr8pPRYdaSxI7cxuB3jO0Mwe5rWaCXWHcS
OdvCCDbXRjVb55iZDIO+OgeaSjP1ZAhcfmvXcpzFg5sG3E/9fJtVYQSF1s/0neJseaBpShpD287z
T9vLg2PQz8a26MucJjw4zBgt3jxuxQDUI2i9lBRNBQ9sVAZ3YSo5Za50rGCXIK1EIB+ZGzyvxU9G
dncAxxDYuxxbo9WY+9W6GPPyygc6cWMjK12zGcB+a8Npvn17kP6ubP+kskV/xorxn9thmx8Fpa36
8b4f9o+f+aWy9elsiXBRhbIdeQuB/bd2GP8LnKDnvpHA/jEK+nVKFH5i1GLTKnP+UfJSDv86JQo+
CWFZaPw9136T4f2Vdpj1dgp8tz6yNrpo9qgzLBTRDKQ+9JDyDJStNXPcnbwp+cxAolrkLg6DCz2T
Nad9VXa7BoowRFbiWRAFrOnSQQamLIG/mKI/mZ3Z+hylRNetqgqwBW7z8YfuOPQE/PI1QAfkpnF3
UwUGA/S++CLQMGwcWta7KoarMjlmvFU6pHHFh5geotJ1Ee+N1Vnrbr4qQD3TXMYDcGAkG4l1lJXq
gpNvvkGJrVcGWXerjuRIZP+eOmnJ4c8rWVUN7Wb7kTdHUpLymqM/IwSpDdXd8XgKiOEpkiBpfE6L
0niIZYXeXbLy9PSmoJE0OA2DtkHt0KJw1e3tQAIniycXGXGlVmLfCsrvXUgS7GZyHQOqBXFoZpz/
RC2UYtoMMbtWJmcnTC7zjvq02cmZV0dGcus5ehHkd5c80c6qt+1b2KYP0dBfWhFBqYmu7iEAWmc9
NqTI5ORNYkRa/lGecRKcBcdwIrbtNYh3fZFP8ZfQi46eBCYGY/4Wz80XCQUeyE19rzNjfsmLytw0
TpIA2G/6XQ+cgaM00dV++EDA1RacLV20yFveglx5Lr86JAxm78++eQ3b1ICflNf3cRsWTwSKiycA
ANWehK1mDUXZ2cFzIE2r61B/mOVPZMA3mFTmQySMi05M8rUWlnpomKCtkhQoxdppGJAj6rkBa3aI
ghk+hdvJ64kT1GeRBw9em9b7WiPfttopPnsRZ3XEENaBvQ8cYhE8FnNjSGT042MsyKYTZY02CgRI
eQuuuP9mmFJVax/a+m2Hxe4Kqj5ux9FONFtSIudtkVT3Dl7OraMYLm3s2rlrgXHvWlRdlA0JhAie
HOyyQ8rmzyFrKLUM90o6DPPjxrJWcUomS0ZuA2DWwauvbEv3pzgm4WDHWu4+ArJIT6L0zC+CC9+0
E2dHalY7ZaADCmJnBTCVVg56tNMIeLg71pnpUnsi2f5pVO5s7AO4YNHPKfTHy8JW+ASXGn5b+ClU
IaugDEBdcf/3Qv8/AT/Sd/xjXMFTStrHB+7jLz/0z6WeRiW/x17YAPYyqfh18hE4nzyoaXDT8AlA
hFzmG/9c64XrYugzTYdS8UOOI78N+oyPaMS2be8v5Tj61lL1vF/rOWT5Dqg5j9HLUqB+MG4tN2lN
xKl1CIKpYpAGXH+t6KKixZnkOcV3pavoywQlnYQpMuUfzZ4zkTCd+gS9rr9yao9ekhrg8/iM+kh+
d4MbVGgNArxqUcWCjkV1GRxl1LGQIE2m2pevJk+MSjeUZPEj6sDqye4wAzTlkosw2Ib6zli8PtVJ
HJ7FpN3Xf9B7tN26r05DsbmyPRE+dV5tQE/19WNOMaF/kIsR+tlFinj5innvVqFxC2KdnYhwb4K9
N0TVA3YSgACr2OhxZ3Y2o1ROq8aDIeg0wNYC8c6wklgkqTiKskKIjQ/P9spSulgs1wGB5QWqbWa8
AR9LbdsH3IHxOWtQPSD3RvtD/7mmZkMutUPnhGqyJTaqnKtTPAJxcYNZYMYS+WeVYTNyrYjhOieC
dRE54xN5eNNdWTP/Pop2cVc0ZYM8i8wLUs+J4jCxi790bQExGvPlY2K2rN5pVqAcJb3ef2ralJBA
H9Q3yk41M97XWYTwLwoXF6Y/i86+lm+4FIOV7OEtfaJvRIJ7rhibFxGL4Ayk1HrQo7N8yrnFZ5GQ
YfwQvqGYJnu0HuKUFLhV0bj8+s4pTJKaiM69aik/+rVPx6hF31bRBAvcgY02oDkNh0BJQGEj6jdg
O3DMUUnzx8LKoDJFjUfTlhKav0fBwc+4Dlbvc1PpBmnWXJZrl7H2U0bDbznqesG5g1aFWDqJYX3F
2g2fgjqHc/SGqrR6o4NMExA3yq0prAfbcrmMsifQYvTrfsH/hc7RSTr3tdEFQChAUIqmt27nU1hN
vD6JcvXJji2gTJmYuSD2GX4Pum1kZ/lM1LURTLyB0ZI63vox1qVFz9G8kAxBAyOOBuhjCFadjERE
3JebAH6pfRXhH4ggDsP0OHbNgLoEtmf3nVBxsjGAqQOf08uvTWoJdKvIMqBNtVFhYMKosIR4iKBa
ME3M2hhtzXgBV6DJ+ATVqPkvM6Dio/BK0FR6wYfObde8eCgw18JouIiot82bIB2889sreqDr9Y7I
E+c4FkiCVnKw+XwzyFsIS3PgWBxF0YKL0R7oOChLvJrTEkYhYjJQPFM1L9K24PxIwj8gmGWuuEW/
H25zRyb1MXVS/F6R1zvOWtoL1i52Ci5rKsmvSKLCexZdNhlPb++SyLQ+PhQTCYBrx3J5s27jcZcx
vbSuQlWQC1jkLXFhLV5Q8Em47Ob7Do9+Dihk+UqxvC+fSYZ6/qqbwvoUYuA7Tarm38MpxXQXhDF9
XIMabY/ImxsCdkK6B0/OCuUj8oTPZFrTLpVN8XMmvRAuhofsBYc6MTCrGIRsibp6GOuTb5W6XycN
6V7az7uRusyeDzD3YZCMWO4GwHAv4Ax6Z20SCxRwn1alhcwZFGYXEAnduAiaXduQyGltSBZ9WcXO
elKYoz3Tj04Z8tEnvkxv6VZSCQOU6KiVVdu8dKJvox2FuL4fuIuJPwnKHUaBJdA+dm/7tGu/ZSj/
aaCz6TwVYaHvA48+p28rbmxbjYqL4QM4e6YwuLoyp9k+kybTrrtRFQ76pmrhhuGnmw8aouZhBJ76
TTYZGDfGW0C6RDQuCPyWDJ84zggIggSVYXhIoiflE/Hj9Zw6ecFyvB4tF7X5wBxra3TYdqE4WCHs
J9EcHZ062MeCJFnjt49vK6up7oqhpj0x5AU5mn6e2DgHZn8H5mH6IfzSuYgAzxyyIbC+Q5d8c3Vr
f2eyBJ4lZo4fDpaGB/p707Ep0a8SiRSt69R4hDajnhJbtBtSNZbEgTBI95NlAF7RRnG2dAVyPdTV
zgzKaVvF5vwjRUrNEzASLxi4pAOhc/InscIw7rzgiWlPhPggKUI7YR37GfRM6dpAycZRQYNDDk3R
E83+2Y3lFVr08gfNqERsZ2RoxUojgb+oOh1cFaNxRzwiSY8mLQS1zoOBxL4iZzW/nYWTHAcz3KM/
17t5cDgwyry5hBdRM97uo5tqUKwmEzYD0MH9nVUhBo9HJE5d2M7xHv2ac27yyrQfo8apn8akUPek
Ed8kLt0vdLJQIePWugNb6N9XBN2CItVdcC1h2R8wjTdbk6HgZxQ15C5GwcMc294zLiabY7hLqoI7
VjVln4Ud6DBQrfHgjwea1jTVG/umbReRHT13d1uYiYnyDOg7zbXOvG0TvDHa9s1tkSl0aQysCK0g
4LTZFqNJWQI9c/wSNbos1pbo3Wxnln1fHiZZFP3asASZBo4kX0ab3YNd5cFLaocmM5/UMa/7DDkS
3MfmOHgOd/XoZF802/tpLPr+qrPNL6MK5CVNzAnd+6gbb+2jPDqDKMw2gwjt+wlr82mivX2bW173
cxBafZnCuJavujOL4TalORMjP5459VOIrRupPpNzG90mCTFUyPwjqjJLn4eOHl3RcqTxPXXBrNC4
Vqrztq0NNAk/SPkDf7M+yyVFI3In+zZLu+ElSL1oE4NBuwmb0L3W/Rj7Kzp5mDxR0jRXPtrqSxMb
TbVJgLveipwYWJ8ohC0fFyg84emLpi2rL2nfiTWen8cI1uhFbqqnji2RsBfu0zYzXyw7PmZj1p6N
yRWfxzEmghrMo1pbUWtt6QQnp5aMy2snqHEr+eoAkY3AQt9GRm4C/aWUbCDXjUknuMLAWtuJICYX
BE2PqmMyrjyE+nszTc4Y3YCOFNZzlAmfTF2vxE1ai3WFJXnj6YIM2WbgPrAbkkK0F7JThARox/SK
wUqwhe+Wdope2Xbj3Aax8G6CUHX3NTYqNnrSfbiepFvns94ZfjdcEtiB9rCPHz1TWqdKGenGcnSD
qWhydyGU1vs0qwcAXRw/dnZlpTQ/iwyMkqmNVd95Lor0NkluQAk5uxwG9IOp1HCaWsd8NhQ/OBB1
dMkKNOABQN6+6crwdhl57kFjg+jubNGcnHKmxeyWWM5I3x23fV2lZFDRuL3oSXm9ZWxlblTEgAFX
97nO4+nRbAt85G7ZPyV98hkjLaI81wo4UOghfhwasor9VlMx0xG88JpSH7QZQ+UGsbLzeo/voVPZ
6K1K7IjwWP0eJsmEgJAnoezydYPIcQeNi92RQLV4Jcm62zejCJ6akAsfGq3uCabxdy2WtmzLdkiK
SdamG1mE+SqIiCghfvkuiTxCglRG3PMM3/WEuUw4KzOZ+pNWot6NzCIc5jmhvvRLnQS0qd2BWXjv
/SSqaoRr5bnzgZiRAmmELw+hAjZbLEcrVMYEiA/YqWZh0WoqyszbpoZstmSzpGt4sf3l2Fj2JpqK
bg3mctjk2EZPeVYOV3MbNM4j+xsEEgLl6EqVIcaXDIQr8VnYQiE/xd5dERrOvHYNfEfY6TkWVKP4
mlu2Ge9CryJfnIiiFN+AlV/HbLLxUOhzlbftdnrLJs9oBty2HAMu7aJpWHknJ2acgVcTSEzGGUuE
L/ESdz4DbUV+RQa6zPvpjDHDvZJVIrE7SWnQp3L7CzK1upO2EIUAUyRU3e3ah2QsLyRIyiaY9QZR
lCRZvm6/eayWaC6lurAGN9qrOHjioDbu/Bbmoq/EbYYiilC5Ic/zXQaEprhoE+giuzSc52k1CkUq
fF1UxGaUtjffEZXefNV5SYI8S14xAHUvyVasej4QJ5rPec9w9Ns06PbGoHd8bSQY57dxk7r916Br
Hpp+qnJ/pdIeoPQeq6RjgFqE2ZI4/l1tFc+NU+jkVBXSj85OZb6iK2aY6XKQAygGhzonjXhhQSED
CPIs8e+WoZ35nJb8SY0oUKropm5awI5oVYAJr1FXPM8JeUjCUUHs34CEkTfsfmhx2UHHP6GmLKK8
94Ux9D4X17LlgAtEK+99sBsTXttPdsy51ldKHEeHStRNE/thnnyCDZWV/kMn9k3/7/hH/W/ELO6i
F/r9CwqHkZSNCNJkwP2m7Hs3HKaLOkEyautDRfzwuUs4upMsDBOejLylF9WT/oIg5AocUe8clSIU
Z1q3lpGUaP2IvNwZPNhbT1ZCXb+hZkvDm/G92lb4NCREytFg4gAoSFPg2FZ6UEVj0wkp6FH13zOw
Rfcuda4OKWjql46R5CuQsrG7byEntrBzLGskK8uDd/Blpp4gNZKhDKSeCE1SSsAu1BFWjIfSd5oX
Mn/a79wy1c9gHmiqITNqVx3xN+Wa0XLzYpZC63NMbcQYvGTrXvmWEd3ORtu3uzCjcNgHca0OE39R
XYu6sby9SixQA60V1C9vtXDpSetPBBIfpKB0vn3XQzaChhKVzb8Ao3JOyJHXQqp1p6VeRvezRE9Y
JOwe300E/s23vdw9v/+yeaEFRx3Q+3Dsj3cX7jhhyIIXQkHBV9wEALK7SvL98OyJ1zbFVUVtuGiZ
ZnbZl7/66oHpBCFWfoGuFg0b7+7drdYYGJpN/MkHlTX2gzci/oCfPXF+RGiDdIpX9TqfIsAYS8q2
P35x68P4lQ+ZQBPbhLFmLSkPH699zEB+15GqDy2aTqi2I1LTSz9HLl9lGB02wvK4+EFMcA9jGF6M
xqqewq+KfVLohLYe/m5v/k/am/S2Qr75/zzIuky/JWn8Wr0fZP3yQ7+0NwP7k4D3RPPDdkOaVO80
mqFJrA34njeNpOmSWPxbe1MEn5gsQaDzQsdjmV34er+MsmCxLmnEJNoI6xeC6//979+toe2Hf/+v
qi9v6hRzzv/5Xx+TZBiGMXZlQYXkx9JIM/X3N7rUBi7SouUI2Aj2TlKiylQfFMGs+ygxK46hdYIY
6ZwhiRsfU03Wum6mBDtnGzbuq58OFSkM6Kgdkr3dzJsxFVSAabJTbMNZWYURboSVJJ/kF9nw7y7l
/Vtf3tm7BcLmyWQdWiB9AVIh++M7D9p+LCIUlifcR/rOSgBfukvo7DT45tVoTDTn3n21/2ZFcoiO
/viSTPyg5NF5ZvzIZ/b7D8tASt0YfR2fPC88151vZGt4rCy8mRCMw1e5NOTBUqze4QhXS697ASXg
EHo97ALM8VZ9jPx0aUMNPp8KXs2lLdPR1+VwQ++gXlJjEszVD4VNrtZeLC3eDJaC2tJlp42EPZeV
RypJloBLOhgJvyNWqZPhDfqu+P/sndl23Eh2Rb8IvTBEYHjNkZmcB4kUX7Ckkoh5DCAwfL03WG1b
StLkqn72g3uV3S4iMQVu3HvOPnPjb+g2ye+MI2kMpc0i0AniEOQ3DhTo7QNek/9GwbvckWZddKrv
Sb1AXTa5if3QWg4PweCw5LZOQQNAUAVu5662rlr6hzRImd+A0kgCnOHW8sshB+Ttpokj+8FCNQlH
+hXlr9q0+WYsyPfIHfgZSCd8pkbSpl2pSUXEGYVQ5hp9Ar8oYBJIuJ4Vj18QqcWYNhvDppmYxpY6
Zxfk2VczgBFSGbzJrZ/QD8LV71pa3Yyu6O0ZgIb03dyW9oPhwFZ9rNlbGs+O3XHlEvQbEfbZaqwO
7fIZWet2aQiGrsGh83oRSyDC4NfZqDiKNUkspl4ZZkqkUEgYINSqtqS+EIOztP4IW/7+2v/rJ6Kb
db/kKgWD1RabJnFvY3eJxDEVqcLbZBLcBVd0nXqCnq/rM4Hyk57vax9WJg6XJTFIrtmMTPHmexQT
3FZN3YO6FLUIHJfllnjLxSFMknV/oEVxjksYgXGSd8ai8afKjmE43hq+iUQnHXl5nQhR+AZbrtVt
VTvxEuaBxa9sXW/wyNu0c9pTXrTJJS7fFZ2L6cHt7A4wTDB6WI9Dge1Q9tX3KO3k5QTC5KuhPcD8
us5vCAyNviPTSc7IeBT+Go+z972MMk01a5I+QFRCRUwEklsIwvRH45R2L5SBMJuO9uiSxiQrsgYI
ClfdLXIa0qQl1HY8cq3H5R2Swm2vzW6Uzg4hpFHmZJ82jkWKOFDIGUQlT6T9FzEq3LvEqcXwMqUT
1Rj/WKQvNQTmu2SpsVJ3ARNXEc+IwlZBL3Jp0dPQ4fbkmcGu2QgH7m02IEVnSEoFwZXh5fLSkpcy
gwNHG5oWiXoiIn28w2fOi2DggB8BaYAh3KPurc6lvUwQwlHR3dUprVZgO6jFHNmcwRfGLMh2gUtP
o5OjuCOK2xWtA0YPJGNzXZAy0KzuJaytMs7s9oGcFMP4avTe3FzgyzDam2kM+CXgslh+52KYgi+J
MIvsLtRpezYWDA3WoXacw6wFC8Q8FVzLFq0OJFtzmaYEr3MNsCXtGVh4imDBqhIf64ahzd+N7AwA
5LirjID32NXLS4GFkr/y94CjFJX9gFCSPg368th9GnO/t6/TMGCh8On/V395zmBdxe4yFPLzpRwC
p5+OZ6B6WgICrHaIGOr0UffTwVOTPbasEBZJZSEd5OuqQEDoI90hRWXr5ZGBtfR1pILXJj2qxuOe
d3lrXaVEsI2Pfh822S/plbbNGHtiis4eXNv2dcH3Z25Wdp9GAO1LRv42ieoupPrYdpD2S8uDBm0k
kfmcjDOQmSTyr0rHDJ6k7umAzta9h9NxWLOp7r8s2R9QExgd8WCotdNH8cHJg3DjhDAWV0WioSfC
jpGb2CvkmaEGLMOVSBsjeYxi+s87UUsXlUdVL5GJeV0d6to3vyqJN9ApzGcmFjjTSzKSwWfg4omH
0T+zMjv6kROS+2uMnHBVWm153eXuRT+0zbTN8na8JR8+epaOLrfIPcSmKpVz5zdh+WyBvaZPYwJS
9uDRICX22psgmrK1V2cLr3PO8sukjvIvdqo8AtJVt5uXPE1Dj+O6bBEegyWor3U+FxdS6H7bw4+5
ZVkH2Yz8916L/GZAg5YyzFdi10zNuDLTqtxrwliQOLj5l6EQKtq1pMhcIO60NijX5mNuBNnOd0RC
IBKxmyTZAixKtFM98NGpn0pJ+3OTzqrcEUNVPcauu1zaIglQfZGssmYEs4iqRwflgC4IjfHUC9yR
dpP3QpzZcxqRs2PbVzIi224Tm3AraR5TDmwUckm4C0W1R6WOCDAl5/bgxaO9i6R1m4ZVvTdH8u9a
zvEpzfBq85XS7qGcQqKZpsLrr5pOhPdBHbso62ZCfKCwrg2UIf5umlz3yoi7Boa3JG+nLKfDYFjB
Ye4yIpVU2yI4Jaqk6af0LC6V+6ATPf80zTw9R1IEzbdsg3zzcYXyp/EBZRMhY5iBPKYNAbuWU/Zs
UxWOn+Z1eBy7uiUvGjy8OYBbWL1qh1ITTjoBHu0nfYCTLeHrUSUDegbKls2wfqmaftsrQTGNvXiQ
wbFBDfgtEQkLQ93ZTME+PruT7f/rcVyYa1iKbEhq5kn1pePK7RXInKPIlrAgfBys2cv8kywdlp5/
fjDPNC0up8VG8NRDQksdITpF4NHP4bVXFZNlvMUoSZcWwseHelvIgi9AZUAtjp6MXe+f16+JAq82
RtM9Ou5kXZXLDFYCFFkrH16vIjjgk6fkneMtXjE06ijXYN6eiNfoDvDa5oVEusw46u9PUBkzIVoz
4aIaUcnE5f34HE9289w7Tg73Ix8V5PFvivWpiERHPxr9mFtSXXmvo1oWVL7AJQlA4Upg33bIZNf8
s2mkfD4+/gFvH1IQDZLrTNOCgNFT1yde68Yc88w99n3SnkFacA6jxaDyPzgKJO2AuEJJu3G5DL+9
CnloD2WYKPcYIa07wzLK9NSHtPvPj8KGEnE2mX0L7e/Po7iElTVo6txj0KCycxlDre2x/g8eExiH
JEzS6fHZbp48JlnD7LdOKnm0QwRlxGfyUOhpINBnCtEydDXhQJ90+N6uX6zprGGcFugNDvvniRGS
HE5D7oojPln3yUJNc5zNRQNAsn2wLX0wZytomTwiH1/QtysLrRZSEazXPM03b0RgD2R51NI+Zj1v
d0g++HlHUjkJgegoPj7UO6fIwwHrnRoc0/bpYklCYsuhCvs4tjFSjkVE8TrdzwUPDCFW/mZcnpqP
D/re+dHJopOGbhWtlf3nddVmAuAI29OR5IGW7qlwAAf68Z6Nzqdv+iv6/899+RLrIjGKeySGvn3T
Yr/18QuYx7lVgc8AqZAAdD0zvyNcu72qUkb9q3CiTCaGhV0FtZa6Yk4xhjthKMHmopLf88hWP60Y
wQyZeWUe3/iZSxT4x5fl7UIYEESDE5YVCcnOKfa7TOSQTJAHjwRkcKAkTOpv6WjwvdSp4FFLA8r6
jw9pvV2H6KDyVvF5Xvyxb2D/Of2SkG8c6hiDWhem2CIRQrL7028B3CGZCJfnPU1IEuvz5pvWcsnq
S4LxrlF2k++bqCfKiSop2XeTRSrYxz/wvWvCSsmzYkEQJfr1z0fFbBiJaOyfx2L2KbpNmT5bkeEc
Vb6AFYfG/KyN8+bZdBEY8zbQyuERpev55wGbRC1F/zQftQhp65qk3BHjWPKYjsxb/mkJwcHoG2Hn
dwmvePNs+jMzcBLYp+OIdfAmLbPgwmRaxVDIrNkufnwp39zq5WAYny0TWRfL2clbV2SGVZOjNR1d
AmvIt3/VhPEiskv8+ECvdpw/XjmX5XIpHogc4JN+WhkxyUtGt/YGKog2Vjcmezg0AL7qsi8hah51
XqeaTsirdo0IR0glee057arJl89g1Yx35NDSJzAGNktMTGbi4RnqnJmGSyuLrpezM/Ol+zEwqJv3
gx1NNx3Chqr4pwuxK5cIWhqmgcTBe1oKJbDAa69Q6mhDEd+86t8KMnL3kTn946qLQy0BJp6gYQs8
6uS5A+Ztd3qM22ML5OdAkh/n31RNsEVpssQkjJ/2D5ev1293SfBZQ5DKq8+gX4KzWp6X34qDci4c
q2mlOLrNKH6hatXHVpAb/doQcT1FV6eZc/mlGrERf/KEnD4iJCnYhIG5CMMQV1IJLSrX3w4u8rBL
UFanR0J8smLemKnvZrgISD127PUwhv4P5rmZ2OhKWejBltFS6SDuJQllEai+yi7NvqCLiAOUJapp
vWVjAUgZhZ3Hc9QyMEv3PX+fVIvJgFZVDYkkzyDKUhqXvlPdylSRjbQ8XhASqR4g/Fr1UbcToy/b
VbgiCR/s1yrM6PtlrzrBpNHo63ws49mlNA0y50wrK24Hug2IhjpjP4rEvakQKs37ymN0She7JBDY
a2wTfGJqlmvlyT7A298iLcvwm6yR7czDppqamQ30nBwHn7wloXMJy7O34gYrQd8k6ClXlYmY7bsz
p2XFO/OqxOxrK7d+oo8hRC81Ut4XjM5LMxQxVHxDjDn/7JEzVR2IUqLpvYzu4zNXA7Jbl83Mf/uq
QXwtPnUGxWuHL4yPTVPzrsUloJEXuuXJsM6sCNk87lewq4fIN8a7GnNJfOMUyPkusqjR3a1yFDfE
rj3e7soq6uyumk2+F23fWeRhmuC7MtP2LyLXrbI7r7bUz1GZtMBQ/Mj5l0NAgsAXbC2tqFeV32gm
/IucOgmlAz/3voYIh2rJTsWF5mpqOho9vbkk6xBGwvLi8PRB6FxBUacRjjbMhaDkLCG4vRuH1o95
cMpDM6a9cU8qE4duFnHoJoBYRQsnzh1lX+OWl92dlRgIQzIel/gGrwt0B9JKh3qNwUsctEb6h3el
08Z6rksyCl2bJVzOEU9Qif7TXdke4WoX+Dat4RCjWQv5rlo6uSIwnJ4WBg6gwCPgF3tlJ3he4Leg
1XiwSnIf9n4iecBKMupBMyct34bXOoCePU/fHDERPYvdir4ZbiVnOg9phMDsnKdqfAm6Obxhhjve
/N2Ck3nPj3FipnACHdH3BEt+uFW9GmqAE8trhac25wnlnRk8J/W/l8zvW5rzk/UAdytOsGvgxF/b
nWAZb13JU9T4LjszJqFcV1stPXOUFP2PKalIMxgT+vB/j2bwLH1n2rwUEpGgtvMrT8AFS5dObEt7
nsxbtj8jNiBku8vnz3N7mowxvSuEeB7ziFVmJiNJen5GxGkRIHHcF7XBpAHlKRdWhFqQBhzYUXKr
XsexFtLxFt+tTejMjNj3uSfN1sBS40lyYP0KDP+lHHPrwU1TApL7Fk/hL99gkrFN/cYWt5NV0wWO
J2pjTD3WgORmJRkDxNUqpl3BswIOBPpcLDrHe6Qwz9Auy7arMBvlxG4jUQzDeUlHMHLy19CA0q2f
cpqSOzpoM8o3kYrwWJjmSKuNDnnn0yCbe1JU/v7i/7/f7xO/n0WJQ3Xzf89Jd3nVJj+//z4m/fe/
899jUvNf/AlTwsFn5C/5Qv6vC8T7F3t/VwZU6Pg82Fr8z5jUgYxFKiXEBX6AaXsOn9R/j0lt8a9l
JkgBZrLborz/R7GVp59uKlT4R8KScilWzcWj8vvXMxpGc/brqj+zbfrYDBAC3kNhkxsheidAmiHb
8iJzMXZvgpiN42/X6p3B40mJzBeb4ti3uD5Ld8i2T7bFTcM0SMMP3g+9rbfeVLhbK7HzzeQlxSf7
k3cPBQQTN6JgInyqPECNzzyzkN0e51myp4k7rByF5hT4ZvMfnBWXkgE3pJalgP3zms7WmNWTEN0+
H8dkP+KL3ixzi3U3ev0nWhIG6b9XXq8XcNnNUPnzULxpmIya3KBccgGDJAxoYti3ZYvUbtTuJipD
CJ0VRsQmDNH/mainPr57S1n3W9n374M7lH88xUz7T84TC3YYOnXX7Y1KuCsrHeNtCVL7k77C2xsn
YQbZHvsNFyLc6b5SRb6jdBP2+zYQbsuzWQJakWPj6W26CL0/OamTNgYnxRSSdwtvgc1jIpaT/q2c
hLNpO7HV9ftoctG6Zu0vz7FfECQVWOyKczdE2PdPLyPgU7bqdIUstlSnltswztDxO1W/Z08K4pAP
AzcrqLYfH+Vk+/t6XrZg+wGDBG6ts1zm385LgMQvMzY5eyfR0AkM44IEtusJYgbjNL4aHx/tvav4
+9FOHg12clETUS/sfT1YK9JBV5GG6VbjxVpVkFOR+GU/Pj7k6Ubg9Qx9j82vQ/eaB/JkKZvizMV4
xWtnxa5ANybyr5HZY4OtZv8MbQM1VnPnAd5cw9NWP93O9I8wtc56AhSQywd624824sPBq/8aRySN
Ew37lR12DYypia9+HK0tBj+fLEynjZPldxMb7JkW1u9lCHDyxPkqcu2q4zVKhl5Q5hs4+VfjKPXW
MBxcwcpi6uBXw8bh6m3tfBTP5uwB6bB8BOEMD9dRHQXXoHmjT94F+fYN56exPi9vuOR/Tn5aGuRu
Nsu8wzQVb+0wlhu6peOamo0BfBOpL9g4UiYxLgOfKp/L41im7YWChUo48KJV1iDEM6HSVTOVJkwM
0ojD0jdX4ACn86i32yv0qMYBDQTYP72EQXnEQzVdG3zth8RAtO7D/XeSZt0KUnRpRzBtQwKKoHo8
dlkLR9DAFUAsVrAac3kei+xLP/iK/IKJHYbDaKvFWb4ZjO66Crz5rEkg8U4w0Fdsg8MLhMuLqrsh
daUkuAoh/ks2OXcd01ySYaLsrHPj7pq/XO4+flrfviA0uSkMeOtFgBf05GEdVSR7OSw3XcVXBhSL
NYjFg5WMD/0c1lsMD9Y/fiU5Ij1omkOSQcFpfzZoR810Luv2bRgeLCW24HD/Ckpx0ToUr1ngPn18
hm/XbYjTrDZWAJyX0uekDaGiQJfcm26fTnkN9VEMh6jCU+qTxrX5+FBvH1P6QzbiUdrrtKRO1UtR
j7d90BVfQV/L88porEM19N4nF/DdoyAGpkyhaco1/HMFLczQKHCd8blzW5MWE3j3s76J/JuPT8Y6
0UiyHnA2dCkRf3nQDE+7a1lizHBJArUfR7L9KksRRIyme+MqrD8CWDMlBQ8+pLjo2PqPrR3tKwED
7ZOf4bz5ui/GZKY99HQYIIiT+9c0lZgT7WGQHHNvi+or36Fq73ZiIHMTd+AsDlaJ76c1q195NXh3
WZcO+0ia+rKYZ+coM6AkH/8m+93fxCQYNgXybKZEf96CSBiGEcaO2pdRXxI8I7eB2Q+EBnXNVahq
tDAeipnXDLocMdF1T3b22k1MexP4iPQJnvyVW6O+QhNFfsnw3JO1tG6Srr6fyp4tZEdbh53xcCyn
/Mowu8+Ki/dPALsozj38k6/wyt+/wqHVBsXkD1xUIsSj1oMiOIjoS8wqhpPISze4b8x14bkdX6y2
OE7x/N1PvAfVusGhr8NwPWIi28ZmFdxijqsefDH/mjFMHx2stjtYYNNmyFKDb0WX71r8jJ98Eqzl
tv9Z9PFY/HYGJ2/B0OEhixhs7CdslMdwDspjJ0dyCg2CLBbck0MuDgGJ5sGpgEoo1EufPAWn0b6v
Lwh1jMnIx2fYe/q6+xNrySR7RVIWSnlGaL78QVl14wniNAHe/KxyPT6SKBb/pRAr9Dpap5WNWdph
PqMjgp2Q2m9aOqgr8sgHjE92X69jDrgHEZKuRRpZv6bSslgqvXvPybYSPcjGNQLkd2iTMGGYFwaQ
9bO5IpFLm/cusog14rQFfh8o+ck1f1u6EQxtYkSgQnAZ3J9cctQRHu00FoQmzR9LULU6zTfGbBJW
NUvnkzrxnWWbRDeUu9T1r7y6P18xxSS5bFl09mQkvQQJ/iPHghwixvmzPrX/9kniSMt8EouFB9Tg
zyM1YdTT3pM8SW30kFlO9IgfnP5RMbGbkFOGo8V04aCFLuzNjxeSd76+OFwJ+EYhzN78dBzbRUlj
hykTn96bvoWdfzN6zZ0pwpfc636w5XU/+UC91p4nbw3xDzagUprVNKlPbmGgDUWuJY8s2/AS/w11
zwQIcypxKjl6/mWGxQM9xHETTTXFjQA4pxXQpyXP9eNTf/dhYgzGlwVM15sxGL5ALbGbqD22vG5j
1h6YGxyXCMiqaC3j9OXjw73z0QT87SzEXfbeb+YexEJnUdGP3GTavfuotsL13PvxJ3vEd68vYz1G
s8vlFacoC5TEEWlOtdqzR27XPuMPEp/gb7qhbxwGhbk20oIIU0yk2yGEC0o3IN+O2iCojEDTj8/5
7abcJ6OJatnkHYLIfXKzh6mXc6yYQTi6M7f0WaOdaufLSRM/FhGOuV4cmvvY6xDyZb35yQtsvfcG
Uw1xsanbfexEf75XHaBPG9NVi8dZxD9qD/bMCmNyd60SSxarwa1cd131/AFS/AI6p9ptcsncpCai
ipyQJcXOmIZLHTukeNldR7yPjKT6+fFVeudn+ggGYPgiXEGyc/L6E0uUTLJ0m707hi1M41lvhWJK
RS2ffHJJ3jlUwPoJLHjJ3AaS++cVSUCB1kx1mj0N7eKFrF/vdsZT264M1/wPTmuxjzGtXFpqb1Y1
Gvhoyn2CxaSdtLdMBN1dNS22/raji/g/jcZ3mmfvLGIcibYIJSJ+pdN9I4S7KK16joTxOdqESOPv
CSaxt3zdGBONhVgJHA6fLB/vXkr218K1XEsgB/rzUkaRWQJRl5ASbQuTpSS9NUkL0hRNW31yKAaj
/LGTVZNKwwTcwmRxIXv/eTA/E1UP5INHRLSATNyJsRq5LmIg77AIUVC7LUGOLjV5vm4cPRg7do79
uJ3p0xe3hS95uXCnzcEhhJX41a41PfcWy3i/qfMceA0xxPF3UpSMywyxkNpFcc6QXmEKBuvFKUFZ
dCvfJ3FC0nMfENlM59KIg30ykeiyrQSQX4AKMSOAntj4TS5Gae8Qhozu1kFdaT8hoE+KX2SOCWje
NTuY+JzRrBOCv8na+IvKK2s65CXdtX2cWIXYGmZtIVEYR2MP3VCrK1mUvX8pun4Kb10I/+WO/92A
fz+0KhtXvQiyclNmWkSXvke+5YYpVpXuetnk9xpZZ3hsS6PCvIFqcjVFLXGXQZx8LRTahdUIOjA9
wK2Oahy2FQP8KVtsEAUpqu1FqtlOJms3qAcCZdQQEFOq5TQitZ9C8xzjZ2jSdyhqe1MXcimuEkBI
3z0V0i/xwm5cz76o2vtaJmSpVZ1KpxvACfq+TAS06MloAu/OBK8abXvSWPoDRey4a3zyWHeijNx6
JepohkSsIDcvTu5qSzwk7T/TsDElN0r6X9K4yddjXlSM90WMkTyta3lW+P0tfd5dr2X9GNZ2/pTj
I7jrSndYhUQFnRngIbZOE1z3hMqVjdqNsVfehR5NVBFH22xGqmSLjFS0ICt2Ua+PDhKxtV2r72nm
ClTfNlErKV5nFDY/BRr2rS4nxW9ovb2rBnMbML7dg7kEODEIguuBzJ0rUY8/vI6Bl0A9S2yf/j43
LvHWENJXxKCsmJd9NU1362IjuJFB0W4ts0xuYCvM654J5rlf5PGlM3A/2C2QFJeEX8fZkXtpWJjK
UdxgTAkPJNdm6zHNeooKMGg5X4mNUt58m+XjAekvuux5kvxHdp3RXSIKtD1mDOc3s5k125FwtVWK
u2adeVlxPjjxBuqZfxP64q4w4nFrDX68m2EMrSfoZpvQxuo/U7rehVFeP5e+Mi/K2IOc2TXuZjS7
9sU1mnJtdJqARhrWezh08tASpreCvjAeHDOxD2ryILmN+gg3bZfI2iIFaHoqzL55KpPwDF3WfdJP
T0hiy+1gBjTq+vCpAJPf8gYW/kH3XgnQpiFmVxoPWeCHRxU6yQa3vr81U4JQcxB6K5EG8yZm33CX
tIa+aaLWv1M9obSDoy66CfBmPmLTYcz/C8lofeY7QEcSwhBRl/n6RaiuX03JAIl0k+mkm4loq5py
BtJJpdmi2iePr3vIKjwdIJSC7LEApzxuvIZ9BB9TFgkiQodvIACzK2TjCe0RdPR+Zh3MPpq2RtVV
0PNm/5x/gJPBCwEeAiG2ukBuGQ3qG9xf7JlQdUMxZJtZ2e03LAw75EU+eQE2v3nvGXb114gtoD5z
styG3+u3nl5NlQWgxTBcGFiZ58MqySctSWUlHRTzetUkZ23LlVp1WZlvZr/QD8CIxxvwCMQZFWWW
HIaUVCkZJM2VNdj+rsIugJ2ioRkXJ8r84Zoh9ST93XrrzWZ+DnO7/atTfuRu84nExXTAHATGEWy/
QCLwEtDc7xHnugWb71CbMAV8yFbaL17aGkEtLCZlPZcjoni2aPI6KG102EvegYJ+u++oWB78SaTf
tOLvYAgat1VnN8cZC8/6dW6M5Vo90oVbeIwIwMAW9jwJMVmLT3HkN6BtRLbDJ9I8oauALtOGXQ6d
pst2yWSqR1k1E/vDamAqH8qi2/QzwOhVbhtynYGT3aA/kGusMc6hB7u7QdJvb9mVBi3oCIv8q6Jm
SL/qAOp8bcIBL4IvE6BAQTRAPK9MAcIcXoNzqMs4X55BYzhGQRrfm0Wcryqv7e2d4nIaX0uEpRC2
6iyIMSDO/FQ301+1DSLkMoLsfp34SCwrs54vqw7IkoDHcaidOtkLM3HvdWeDmaYSaWBHxPF1Oqj6
mdadvaVxJq+jlld1W2LT2s09ERNDBWh473mEweQYybw1wC95zUvU8FJxd2nCN8esCMS1F8f1j1ZH
7a2YW+tBJVzv1zCKeSpBG8RcVKMV07nBo3lby7b+IZcdJmbyuYbg0KTJniubnMmx4M8a2AStVjTH
13iLWav6R0es7JPG3ICXyWv+qhbxCDPumMvaAMQ6RnQj9n3Q4cwflLwWZIUuKLsguh4TiWVncEkC
+0kqhgBJWdsw4EAdDFY4XZAqbtebIUijtRH7TQNOMSaLzgfDrVBM4bWqMcJcJ7IKv9RuHF1h26ie
3cjNNh0eqHhlG3NorbRPESkRG22jzm+OU2uCcDF6fd4WnDwMvvGLb6Ssi1GYnEGwyza1aUTXfdC4
M5FAkgq8BM53LZwmP7QZ4I9VF9DE2ZDOFh7jgiCNVagRnEbRkHc4SuqKnGzec9pYpXqcJprWvqfV
Ty8Sch2CxzhYCNJ5yvt4CSdBqnGfFLH+KqqO9Jyh4kfm0kTB0LX1dyeN3XsjmOHr1+UQX09uUUJj
EWX7lC+kciDK/VezHjPcZ9xuuw39C3Ktw7sGXdHBymD2B56HzIciIybul6vmg6y6MSNjgvgO49oY
Bcx1mvaw7wuIUUQylxeuM/AXqxntjmWOX5Czqp/zoOGDzuTwxFujiKcXr6bNtw57YslW9FsUBlyy
g3DOGAiiWMnnAnSa4YZ3ImbLhdcRd+Kh0NoFtdLzJM1G07L0uoInjTUrvs6ztLLWBSjvG8NJaeLC
zeBeo5SM9cEFe03gr+peKhSsktlFka6bYmhejCq1vooIaY4elPXL1WnfY2ccm1tWi/mlstOawBa7
xJPUprL/ZUN4ltwz4LWw17gsLl9ytTeHzCKhgpL3YbZz4y7o8NMmnqt/oXFvbruwpPHf2PVVp2GI
Ae9rSFHxo+vQhVVGYANOfeU7B9YxDHuTz/tNoG732ABuNW9bVJGs8VVWyEOF8viFitq7ZE8c7iDs
tyxiUETom3ZOz0DY8Z9BpnRXYVGDispzfSYWdFzDZ/PCAVBIpht+2BtXqHpXl0J9aWsdEu8bv3RR
xf+J2Jt6E+ra+SGDSOIJQ/5U49rfwEuEIksgyN7ieq2YaAqCZVvew84pJnBXKJAoQgas1EQY23kk
1rlR3XeBuNTk/zGLNBP2Mi2qoT5Irxr6P2Yf62Na1EhxVOZem0OBJ8/DwgtxnPG6mRiXo2vU1/B9
wns3tEl0GRPYQF1S4EksGTY2aAcPMumOepryTcK7eWlGQ3sBVaA8RjG+Kkp9SkDk8itaqN8DsuwO
4LTRmFXa+alJ4msS09rzdeI/HNVsS9eq12MnznE7ikfqbTD35lj9CIZlzlQRn0hnGe5l5TEtiylI
sVBOjz4SujsU5JBbxvrMrfJmE2AhjlYJmHZ/mL/T/yu+ZQWUXb45XCTbEBELPTuctTdNIsakm6lD
ZpjOSoeGeZ0Vot7hc2bwZfX1hgp1uIGTaO6dNFX3fWMg1xqC6K5XHKSXoXfTm2gAaUwvCCpUyWTe
u19d1eVnSeJ9HVOz2NMujakDKeVwA0K0rZIhvkx8GjcgRA4h/OQfsRkOO+0b5r7Dlb3xk97ZDJqX
UdUx2YEZrcIIG9k5xYV4TIXcl3KswHilLMAVSslV5ILODYj3e9FZbz+OtQD0VwQzqoVCPNTxmGKi
DMROsnadFyEpJZb0vNtJc5ekhlC086gLV23XRlv0zvWvmVGTva4BuF81KY9BUuZRAvG5rFnWcPWv
8NCq9Vin7ZoBAlB9gMa951LQiyj9TvZldsRvftZlTZ6upDCgKqfj7Wzaj11iFHhfmx3kzHSJS8Xo
G2KgK4QMv+RZRZlBgDkkIpOQRb9L7nxo7psMv9q5wiazDs2YFOfFDkn62XVRy6pax0NgMbTI58M0
VfrSlQafnQLlGC+cWx5rsKXXeYqeetWkM2q/ti3ZluYkDCxgkEFfBmGXPhXQZ/dIgUs+OSOK1Qb3
RbvqE2O8WZLSL2CnpuzqPI2vs2/T7BhgBrmTHlal1BvPQmCh2lfZZc5dPlfl4LHqVznDUUBf5aC6
C/q+E66U9AzLefAUMDNln/O9xcu/LmKJ3rF29Tr10BauNLizp3ESpGPY3g+SG34B+WieqVjzZ4Ka
KxYtZXzxcmnsHN1H287ri9vJpWLJp9Zi6I3WcB2Bdqkph8YzTVBscjScakC265nKO/MyC2lgKdzq
2hjIyVmVk1dd076B/E8kFbS5Ps9ZhCpwn89FkZa3duMXty6Or3yVTCygaTx0P4mjMn+UAMN+NiFu
lbVt8AcbVABH2abV/QS0ZXhqqXi4b3BYdpDYCDfRBkLqvIbuOCOJ/cbXkt7ZjPayp+nPf1WFuNmp
j9mZZkUsjlE2qp+wFbufiCMX3fnUFy+ZWBBgioT0Z1Ol1o8sJhBzBT9rvFHNGD4THc4mXISJQXTC
HILQkbVRYG/VAazrTJb3eUMGERkJ41DtvAie204EAx2Nfox5PGK7p8DB/1bdx24PAw1JZvhMuBr/
TgDqtN2Qf5TJjShNHqPSmcCvacWvJAUeudSmRKXlsYkZOWhKQJ46T2bZsW80S42peSAxIoLHRMje
ajZ8kANioP24iUUwGXtjWkqAjgkppu+RBLQ0NkW5gX1I0QrXjLtkzHzq1vnYh8+61THw6h7vxyqM
ZPFi9z1HxQ6PUnwQTvD898WUmsD4FdRlK1nPCsLA2rPmsVqxn6j2sG2itdO4KlvTC+LSO5Yo7yX6
MYKHwOJ+XZQFCRvMjJSL2qILdI25bLR2nZwlcNCuuoeqkQGGE8xb10PYcH6ZJ+mHtLWZpecKFYPe
FxPCj8tAd/pFu/RGV70t6/gSxEL8kE3a3sOnKR8JqPVuM3LOw/Vih34Y4lpNZyNt+PBa9Jz0ma0x
JtNqh6q6TsqQm+dOY2kw/6tkvuaeLLEVtR9PG/oyXEVtdPz/zyVuoYTdS7L6GwGitPqVpCrN90Hf
Qq/tAxDieyyOxAXnJu/PCsYOaPyS/t9xSJQBu6PqqOhkLOr0YLotTRQoEQtjEyU4efColS3+XYPv
F0QCcwlD9ntkVfY8zv/F3rksR46cWfpVxno9kDnuwKI3AOLOCJLBW5IbGDOZiasDcNyBp58vVKUa
qabVmt5roTKZVWYxSEbA/T//Od8p79PRFKG6XSFLoul9UOINfKH0w9iQiRVHdtJkDuVgPsrEm+/w
MmWv65pOL5Nhjb/J6v/2oP4rDyrOfZTRP6Th/6dN8fD1mdb/4ED97W/87kDVdcykeDxvUaRbPujW
ifNHA6tLZSLRCYxhCPGIvb9TyC3KzOnVE4LoElc0Wl3+8J+C6SHD4rO6M206dFxh/k8aJwhy/6PI
ixkFh+tfY0t8QEkk/8lnUOh0euLPdi68Q7VDElezOlXcdpijPcYvNyG7LgsTb5HwnfJpzRrb/45f
8GfK9vPJcgvTDvXafCa4Or8Vrpad2IvMvFMNj6OzgcEgOe87v45g/y39lYtCgj0/mSb1IioVawHE
gluTaOFn3W4cIS9fXAywKpiopdoyjFQHGS9IwfkAVmbRkwhanhVh4LC3aLZ0MYIReCxoM2iDXEzx
HSyd5q4bjJ4QyqiOBki7r1Wn50L23pfldwJSdO3SwJo1H60sRGjZ0mH86D7NNqcOBtEHcdA16Lhe
l3Tei6a2tvyitEtF5SEDjTtuU2xbbRy22NXHFllg0OW4tWksoCIsm3KQfanxRmbjZuNtInxFTdhl
qbgumEiu/aAIsfTirbQz/2W254VaSNodGsN/m2fP2YxiCWNzlI90LKo9URjj0kpJu6BnxqHIs+xO
koE52E6anX2t/ISYYTNpMr9Abi5OShb+rqy18XtXuPFhwbe/LSq9/ClLGr3X3NN/3tyXUDY6UGC+
kf0csIJtuJ/M30BeThWRMnLvqvESBrDS+zCMgSW8m6f8bOo3mck3pfGlaZ9n05FOIztczd6YZlVv
cMK44AJdWQUuaBqwDHK09YCcoXxy15nVMjey5nB7R74owhVbbracy/FQFnt8AAoAt+ti3aViPqq0
cTR3gmlmYWEwT0PgkF25WoVePADDXu/jKRVhuuJ5TU1Dg70hZpuvAgOemdjaWXmJEC41M3uanK68
gwix3KWLY56xZ+HqSePpYWpVu626bv7Re1ZZBfjBe2DyWvPLR/Ye6Bmy9J108+muXdEPgCgiU9KQ
QSmQMyVfKYNkCIzS3mNaraABsVM/6bQq1kHW33BR1SICp/VXOIqVQWZIOSOIVRhTrzRN4J3hzDXQ
qgq1MHu5WWQk6bgdUwN9S5MEEGpp+KdRyjkP+sZiHB+pztv6oGszxYtyldMcu3XpXpLWrST0ZiP9
BZO73nhe6e9deJ93ra19OauNNSRNgW5S081Y0mqTQacMq1gTlQqotfDfcKYWN1zOqYkRvUGFp9sS
Q9H30dFBtWa686NQ8Uq6X46UJI3AK27FGkGr99M3v7bMB7IXLjtzL94OPQoQfeHTcqonzepDz4vr
I8mwqYkkeFuInsb6gKhck1rykRQcPCz9bKJDcxG7lgyuwDWm4RXdq0ZZr9ik5TEFTK6fZCetYYCy
pe/J0PP5lpwayzndfH6Hd2dCnmrHZQMdPcc4GS+bbPLWl3GGKzJOSt+mtuDe5C/8SqBwnFOvah8c
R0U6ffDPxBWdq28O+7Yy1/tpEFNYz+6RfUM2BTkIqEMWS9CsrHEfWLxpiPF6R0F74y1PRVc2Z9mN
xjMQmfyDkVXRLQuReJja6eAtWRofKlJ8dMAoCl1q+C9zI87S1TaiqqdHmLvt3ZIDC+XhKS4MllUI
HDwFFJ6RfRLKjxJzEodV6V/6ZDuXxlLVgUWgcZDd4ASZ3kGZqhoDHk2c7FocoxHR42fKlxd2T4bZ
P61+uvyUomnCVXOXPSkr69FdlITAr6cjxHMjDfXMLnYoqU2UAdNmNl97CieG+aUCgrlVTZVQQzY6
Z1IvGigcHkQ+nq0oRrx4N2uR7hf2VaE2l5jTLAJ7Ud7ZzjuH4Ioa52s/dWg2MIBSqOuONfzKSZJe
LDurr51ydGQMGfS1Ep/JKpON0gEUG/U44mTuNNr62Bi+U2XX37WyvHZ1PRzJn8Otb9vmhJzRP6yV
DQZ39tYHoWf+fZe2xa3aL15JqTrtTlp1FqKSeFEH7zsa3NT6mSxUT8Af+DHc+pQKnpllEBcTbHRG
w7tUsxThNHt6a1iMhZberFeczn7UU8DxjpmCz4bpNKw9PAS5rJhJew0aD6wENcPOrI+CaHbguSq7
6HFV7VZR658T3IqIOiX40DzSjWkx9vYIVZjVWoxcmOkzKuXqHSgzvK5CP9zW+IHfQkzdFALYFA5e
24+A5D1OYBrf6FbCUzHILlicKn3Iy26pAk0l06tg1j/6pnKPCVxLjydo7O95biIW9OKuIyt2Xdfh
YSBETGqXnQHKbhHavPeec5oDb8sJeOcOVXm+jmy4wivyPe1aLJDGidnXXmCaMa0kVeLBY3aGbeL1
5YZ1gAyFF0P3a4pdjYZJ+1vuBdWKvDQ1SF18oNLtINEnk364oeBLFl9eLOl4a3l8T/H0mWai2Wmj
cE4I0e4P3S3L72D4tYvdtQQUpf3EevNFLBZ2Yz9Wd9Nkuoe2J6/pDe6wUbY7vpDYGo6oOp/5mveH
NMcLogq6jMZhKfbDWrIumbWkO2ZGPGysLLGuXVLVD+ttmcACxh6x0j0ipRnvCJ/THYM95aCmHo9v
epZp+3Id7TvZkH6ld31bm7mi8w1dyLFeZ22yApD25QZGArxuYMbPvpc0uwGV+h6pQg/nrmFxpOKf
XpHwCEzSdOcBPwymtCv3HYbuu9SyplNjF8m30e8Ypjpw282KbmWBcf7Fivk5BXMVGkXuPhUxL6HX
i54ShxjhIDfPI0/VTZPqH3GHHi1ri8VDU98Bvl/Q7OY7eETWS6mK6qjQ5zfAfMYbj8PfZnMRf7TD
MuM+zdqPWaONK/FBWIAyGw/ulA/b0uk+Jp3nii+kDi1wxGieSHr10k9tsJeoXTDPu16+Hn2fbXSR
lKe5P1HFYQHCreV4sUocT7j+0GOEW77kmlM9cakqTpXyOOppZ6FAeiq8/L6ue32HHby5oFdupWM2
O+jz7ZldAqv32dZ2aW7JrUiN5A7KGo8dIx/2SZxnqMiszB6U3cwHcIL6dvaGNlry3A4na/qAggqY
2W3tZjdN+nrfTG4eFnarH2uYf1vbm+bPwYu9MugU+4a46Bw7KMpEVYGzUE9j1+v8oyrS5sPBawn3
u/uUCTAvXsgvOUi1zWXl1+FSae1h6YQHA6/Q9tTQUsvmqkISX7aK6tzMRhGaheWwDJIUYKI6fqHB
GmgFK9xfwHUkbnxYlEWR33PvDftMlKC+nXUr4oYTdIr148pzIOQQbqLUo0IgNjXBWsKzg36BMD30
OPxrpydOfJt0uXq0G7yGjxQ5FGbQQaQ9xXHHqFkZTKn8qj/wICZ7miTjjVsNxKiTpaMTGEElTFKt
i9QEJgsTdux+U6lo/a0+uLeNtnh0Gw6kYFqSnCVlr/+YG7e8x1DBAwFCYGjGhbGNqxXTxZM3x0NO
JGH00vpHNsiRzb6sSl8+u3NKZvwY215WnChr8OvnaRn5qSHqzJpGq2vFTTnIW3a1JotU3R0h2ueU
QPhZ4UZLmlSR1sd5j+F0mX8SgU6/Jp9XyB3B/sbfqT80doDbxRibQ7zEMw1eI65kVhHZcRjpKFAN
f7runPrd5JNnwubf8hVxqvi+ilgVG7uMrAR9Hs1c0d0q9HOdzd4BPNLKJ7irh4s7OM8r67mAbL7z
ZZUwGwi0r82JtMS0sVe/vbaSIHbuUKCnyUY+iolGOPYgSwIcdRr2Vtl7t6fBEnHrM6La4gpjTN2t
5zQr9k5bWhs0PeMkqg5VUcCCyNCWN5De58h2FkmLqMbXE0AHiYqM1luHfETfatZIhCxdIxwuyiIU
/OSulINSzV72yzswz/skJ84SCDjyTzMKdjTmSRaH/bCK89IkRpj3XRe1YMZVgAvEGdCRGpqbOYUp
65hBjGMJ5I7cQdo4zjLPnxOv7N97rp7MTN14Wao1eZL22m292w+bCr98p/k905dtSBIZ8Ti1iGkz
hbhDIw5L3qmnOJaij7KaPzqsvn0oura69gkw+UTp6rVNW/2bzibnW1Unr7F0xZ1loJoh4ghtbxoN
y7jKFxiWR3Fyfdk8sdXsqiiOm8o9I+JZjyDiP921RS1u1jnBlJkKUP64HbIwWxOLfQpa2n1RLuVb
Lpr8xcuneAdJltaPZdCNHaNQ/1K0w/QF7dAMG9RtZKykiXhF1TanH6CO6JSGo+j09hIwenDXUZhh
I7I90/eVWx83fs2G8F/Py4NyPcoMK7/Mrm3CHkXQV6hAyAzGpvM0fWO4WKumwsoO6brmd/hKs4M0
ffeCzssAO1Nh4wjte+nV6wup7dgOcJXxzZkLDw1hF8tbwaPC4J0/iXDN3fVeW+oV/l0Ts1kYy2t1
uycBOXRYPWFa0ZXAcn7rKYIzxOov8yGm57HOWgT/J/Pn7SKr2+2dbXK5Zit2UzvXZOMvanLRXnGq
qW91P3nyXqfFxcSUAFjirHROAVbGHXUFQ+p0AqqP5axf2lKJ6UH3tXzvpOT/smrUlrcefMv8vE5a
zvmq9Qy8PVuVDhoPqR3XcAFT0mgynfiRtB4WiUTRHWh2ej0Uwf+W1tilVq/NlzWZd7HmqueylPPr
38k//4UzUP+TtRoeGZlQm/wNtzLUHftPLr2GJhyYgPp0IeNnR5pvUFBpACeb5UHDzhYnH4CBdmNu
HM3C3mpWu7VTfeO58bkZ6Gmv+w3f6s6nE6VAOf/vX9yfHIS/vTaHSCemb/I6f86USX1UlQAndmma
9uI23BXjfTb+C5j7f/VFMMxjvxW/gd3/0TlIZ+LM0DtOl8wgQcf/HK3cVm69/ev38m9J8l9Ikjel
jvfcP5ckn+qhT/9X9Im2jKv151+R5Iev//yP3//i78qk71Be6+nkHn20xN9Uxr8pk8L6i8DITUrG
J4jA4vP/apP2X/C64KU3b8ijv6bmOc369D//wwJJ7tEvT1zR10lK8Jf+RAz/7wjiAGz+JE1iGiZ7
LHSsrr5BhP8mXf5dZtYXtNrHsdJORDPGR2hy8HSt1j7Ici02aG5dJNbRuJqlw3hIXGqjj4t/uMFk
I1q2puelcOQJDIgMddV7+yITI7YAYBFhRXE23tIqhcWaXJPG3FsFccnYasvQsqrXaSgekNDZJ02J
F2qIKgFulTnkHu3TXVZxIbQKgURGZ/oT5QEpW04DarKZyIs1jd1zZfo88NzeirhplV9Cw7XmmS95
nf8isk2VTDw8Lj5yaF479k5NtoVFgwHumuXrcKw5xU6Lm45QJRDzdiOb9igvK27sk+MeZDLLTZ6v
/dFqY3/bd5Sd5UV9W9/y44ReA2komKwljkCwMlO6s6KslK71Zb+KVmxEY7EngYRxJ1pvX5bGtRG6
G5i9r59lAbE9nmWUzz7ql9cbmyItlkApVB0ME9QB+og2HgzZQCUF9uNJhQnL1ZBfljytPX4u19bc
I4c+na11zF7JImc1U+hR7eeKxyXTJcV98JKflF2paFrSV3/RjZdJ2g4F6+74Xum1EaQdeodYzDq+
NO1i0FdVp1nrh0iPujiNFavwp6o1i2JA4MEy8gNfAyzeoC4Hbd0OLE7ZxlZ1BzXbri3A21av+qC3
aXlUZuVBIvKFtpk8Zc5BS5/NtJMGWDbDtecd8mVVoadY7v0sK0Rrtxc9vkNsMT3lf505BoRY7Du3
aEWY63NWbLRi1YqgH30gIzlB4ou2gJHWIk3OcwJCqGnXtj0DqQNGU7IUosjdDvgPdbQ3N+Nckd51
46p32vfaiO1ru3J1IQTbUaGWFyhVNbcH/C6F3FWq9jCGme4KpHsLBIjS8x1NiW1/9SkIW5yXSQyd
eNJoNcHaq/l5Kf3QuOVAjC3HljfT6lI4tS3m8wQZq1FbipzZKlO2ob/VXjM/TrNaZbDklTJuwl9e
o0Ymc0SAwY9DbejozcuWUXtNCzsrImN15RL0jpzPhU7RKdcs9QVA54ZBIuhzBbOnNSFPEtUECALp
a0wVjbxoCAy4gZpF3K/j5IzbUnOnOBwoMESHBfZ7XHI93bNS1TbZStwynLxheWrjlKWESTf9W5Hd
ypFs5ZgfKrWMqExkcq/SRd1j2fE2+F2b0En1atrxAsR5FZ29waMvKFYt1322VM0DtPrq1UcbHAJX
6RiFLe6aZYA1rz0YeR4fIPfEB+BhuNrsrneLIIEhHukaGP1A6HQW9eNasLK1zX7hJpUapAO7/jqM
bvWgPOw9rrKClMzavZ+PyXNcNvOJ0jbDDpSWrO//PhD/f/o0gPzdkKj//EA8AGWvMFv//WH4+1/6
GyjG/QteQAPeiO3/tf+C/97vh6Gv/4XQtgNVEYAyqeAbQ+ZvizqDf+VQq0I40OVF3NZrv5+GpvOX
W7KcvIvvkL8SFHT8D05DEA3/eBpyUBsuS3XWgtYtWuT/6TTMHGhDpd6lx1npkK6npqadOsfm0yiX
3ccy6xa29tx/AsuNm/CW42FZNHo2qbYORXXf6pIAq1eXznFdXYver7Fep6AHX/Q4sPS2djo1i9pj
4eftG11GOGtxmCU5xYElWYDR6EakIwmeqoyR74JBipWKXaJMd37uuEx7U7seVp0zIKhyuKrIa2a7
GW9kEsocawzhXdyMFKlq6rufL+4PBtUx6ikH3SSroGA0bcq+CxfuGHzC2LwYd77Rp1HnS+c80RoU
yHGgFtzQtm5HYDFA2RCUZjp69tTk+fJI82p/gbotrzLHfLRx51rDtOXNiR1UtkiQP/PmWtrNiD1u
UqwI6mWfgE84Gk2bnZhDdnMGHJ8S2Kze2pXtwMRKcbD0UOL0aLbxIVm9a7zx2Lm1BLTlk26QNfFT
6yPBNHhv14sf4UY3HwYjbw9jvUAO142H1Fm7CJ+1u+FUQHJsNAoPXK28mNV0tQUij13Szxo0s5v+
wEPX7CzQMSErneIEQw3TnDOr69gy5QQDxTFndBjrMqWVyWsb1uFOTBtl1PUlblr5Kx8dfzuCYKDp
gKw4m6Huajj+DzuOa7YcWMkcLaVWvuMfGInewGDpQcuZFzalfQRMh9EDl/dT3gKBN2d/PpkwIB+y
TmAhLtLvOYiWT7t2JgBm84ldzRLZOJwC8GMWo22jPY71LJ/KtpCsgMruYphFCrUc91fsF49tmdMJ
MRdDCOC9eynmFUpzZ8yXBZ9/RFGesdFtXqmGXS8SY5w8r56LP6UE6jUAF6uRnqs8b7nHNPrJTJU4
LmL4KvnzoNes8tEdOXEighj+1SXJ8OhhhmAnFOfso8mzXCyNHV/eMGIVmAZ3qzZUV2HwjoZZ1t8Z
hUUDZWkETWtaW7Ss7lwDEXpnMUYyTuv79GjRHxLhXC8V6vdoRaooph1KVrLV1HDidtwdReqcx7FT
GJUo48bO7OWhB/ttb1blSL0170GiGZjbh1jrQ2ftXzVGpLRbr+TyxDZ2T9aIPadT1bdlGnLKW9p7
rceIt7R+5JfWlWG8hFzc/OgalythXr8ut3w1tLQP6bblFktKv4QyM062xTqmuv2mli8tiSHA6MS2
10G8WYM/h9yZ430zjdp5ordqQ2FlEuXCeudh2N0bFB1uNdbEYVkk9mFRnfVqYQIm3eJ2bPIInGsm
7ORc4/aScrvOjHeMpGozuLLdlZj6UYKOa5/d9ZKOU8WhuVTZpYrR1IAYB3jTJaiSXG6mqcm2xcQl
20IbuHqxWT42np0cSFsTt0CmPMC5mB/lXK67qi/IPDHB7tZids5WO2LCM6dDu1hxEbGRmx4nq38d
9EXba2qxL2xx04oPWN1Zk3hij2+VfqR0hOKHJZ5MSUOqfZGt971Wtb1xnNV/zpFJtuCO4MN5Wfyw
mF52b6fdZ2U1rC+AWAdrpn86DYTBIG1F/9G1fMsEB5qoBVp3SsoKTdqweUuLpAxHSXNquaTlw8Jj
N0hnnnfAzbAjutXysQ4+QdCY5/M48B7Mlnn58JcZ26jMhHpS7fxUCQeLvFdJqi1wfQWjj1DzkNC8
czAbRELsA1y0g9IeBTa3nGKIYsS4nVU9cJim8q997v5qahaadCuSpku9EpXd0zNFDhOdsXEqWceh
lXFPREmm+RVLQeZoNK8Q3PCMXm6XFKccD3f2ezM9mRTN6dZ+Gav+KCuRDpwtmvpRaHhtYerlpP/m
FJX6vmhpMQ3yemYGG9gI3M1W6zyCo66fzDbmI1JMvPVY3Yz2t07P2mO6yoXOOoJV33ve/VmoA/pg
ManFrkWgoHGvAGY9VDNdtMcautlRLbG27f28Svax6g9cvZP7tBzKJ6z/phu0IwG4tIh54/rrlL6T
EO02o2HJvZ4l6SewXUEzstdCH0iW3rpLTFoGA9dq2A+tExCjsUH6ncxxHAOyYtpjw6P9V1VYaFVE
3KdzP3YdjSqGEvjdF9TkVa+ahFvhwHRBeH94E3hCP1UrsnfO5KQKcG2dO3OV9/Fo+79ufRHkoiii
v2rY3t40xqOLFO6B4C6+DWk6X3bl2xRcpKYa8BKP5SYh4naw6/EgedoC9deNBTphe/PbxPwU2Vyl
3uswLvYdu5ryS8tFDqxwMEiKOk3GMKEs55VzxN/A/0y2A54fjW2I28RwlvQ0ObTZPP8okPksHkYU
k5N0HG9RfQZfuaTaQ5Y7HWgZU7bvpKiKi1k2CSj3uLfc0PDlevAHVXwxdhXXZsI/2ZWTgZBaxQcc
HDLSi5QPa1P36n5VJta9buro5jYI1VEfDVD53FBZ+m5Py/Qz9lL14VlYfSstR/HVEsY3huNFO7Z6
Pj4QvGStYXat9sMSC2AtLLugEzDl7weXBMue+3vz4TODeiFtwcOh0anEjvIsV+wSXJm/KS+zrMCr
TWZyCzsK7mVTXZy+KQ985jD5DYZolnCxkLx55f7GdFvxTllNbG2qTBRzpI+avRtKK7vGfiN2ODvc
sGKHD33Js/Idj2c2oDapJHY9hsso36ujnvZO5DSWiJYRPaM0eMPdKLIhnBFro4StQlIy/YZ0p28F
5Kgf9aHrIwpN/btSGweG+xiOwOzmzYGakrYKZFm170Wb92zPkqHTQ9L/9bdiMZpq02MWVSRS1PqT
KKt5jgV2DNNwvltJ6r+4aSU/KTaqt2ZajmXEI57pfaG7UgvJnvJExKkkDhmB8rO/Wu7HCOB036QN
uXojsVfiYuZifncnjFN9rJuvfp+m9MJLc2ZT1OIFqmqj3mNU5P8WK81Ye0zWy9UrYjWGs5Hqn6M/
YiOv7OYDubp/tP0eb0g+G+J9WLlAbhIxDbyXRHerSnX1L19htNjE0km0I+0T8TfCf9XLsvZOtzWr
dD4N3bAgtGoanvr2VktGDPCQJ8WDWIfsm6rcS7KMUZ3KETP2TQ2ABFUtvf9o9b64DK6VRIkv8eXY
fmPcY0bWAk9P3J1yuFjACh2t72CtDCAOdZO8Vtbi4lORE9tWXQNfG+pdJnDaJ8ml6411M5EaZ6ws
x91q2X20UtS6HYQY7nQsMc5AVXmaGwMh68FxSS2ziw3GrgKd4vTtS4JN77tj1fF2rAVpRn6baxc2
rTWcU2MG5cs1ixxhbLPjyFrK4QlmWvlXIyBBBaixVdAgPfBoMadzjY/irYzn8pmNUUpRtK0xH8TD
XYvJ4UZVdrxT0SIbJII7opySo0fap9tWrRr2XuajeMEQK751nosQhJGKtXgK2TjeIIQ5G2xC6+mG
KT9O+CHv+A7LO8PKsh/xmvVbmfU9yTw1bhP/xvAtEzMyivWtgXGMCmHo7WeCY+HBVAq3iMja36iN
/5aN/5VsjPyLUv/Pp+Tnn/PnP4zIeFNvf+NverHJsOsbiLu3wdY1b8iDP/Ri5wZTvTWTwFj3oIr+
MSIzB4NY418ZsPWERa/iHyOyYf/FuynPwOUhkN5m5P/JiIyd9kYk+DtiARkErLQ0phk3kCMH7w0N
8neKseg1jU1pLQ6TMtq3UbNYc5bLD4+K8cuqa2qTanoXzPLGrJ68c9c14zfiZOqpqbUnJdruSPke
11TPXc/AD2AQxqYT78YacvRQKe1zcJlzffz02DK9mKWWbRtJ91C59mI+WlZWGDKgW053mYNbz7j4
NPPVYAaYXHDeFWuNy7Pom+bsNa3AbAAGnNV4UPhjDzACUGhukexOBFGyZmpb9VJ6FXynAG9fqWN1
mh12tganzsbF4d9tUwzhzbG3koyBBYYeECX8ugtQ+0zmq35068V4tWgKV0Ww1npth1jeZo+lJe1/
h4EWFhHTFJa5+XO8aCSzAt0tRhWltV1/0sDrfSVOfiNVG91M7qpNAZc7+EbdTDzNKx22Uc9L6HbF
XBsnT5g8kAaHiGycY78Lp96F6jDSeDhu1jqHvM9Dei8T2pzmKgODXlZmv2dU9zaT8Ox34tAcwWaS
kvjOnhKir/yyhvysjKre58b0mteZucv7iScUBOk96jwxb0XR91s2ZxDQFzagrjefIUPQFTgMb13C
VDuU3YNJGzqplRF7zZg4P/o5viXYp/c1t7vQIAZczOYhmYtXmK4cZL6eH0F/fE+yut1gWRjwGg0c
YKtGQosfqYbXNbDdZtp1bupyO652sD+v45q9OqXxqy6z/rR29RT4RXJZU0X94dC/17I74tyt9kWf
Nbi3zGheqZPrlgYVBw1+26r1IU1kHRRG8doILYuoAq83hRx/OlnlnKUDEnzyawfLBq3xPlFZNOQ4
KihI31mjpWPpHO+N3HQirqpzmOg0dbGQSO+40bRnDx1jg+lSHNw6y7bVTExy0LhZr53yvmdAgHd4
nrLvXLbm49wuy6ahD4j9yHJTdJKfsRnX97bWP9l9xkBCNgMXNd7BKmuyfVU4DvEngbm0Xmxs3faw
7VnaHHgupNu2NfxtIm0LyJHm70Zn+lnbhTxQtl1HMc+OoCCQQl5rzr7XJqzc0a7kJklIyWMw6qK6
NiVkEEZam2rHAMxdudE1pkjPmJ91G7ola/tX2OyHda2mQEKcCexee7MhZeDemPNjqmw/1Bor+2UO
dvsxrC7KfY8gPUH97EaF92RYRIG1umCGd3o+8UPrqQjUnvar7p2K0B/cQEwhbD2TqM1H4AOLZKQ3
CjFcF7bo7lNpFWjKwsD+rOI2uzSe4WzNGjE6xirTIbEP+XPnyD7shb4muwwy2rECgUplj9nz1Xhj
FWsQTz1mRGWGIh7Hh5zgajiOvC2AOpZ64M3z8kVyXohN4lrLceizam/03JP9Xc9baw61xSFOoni1
BSPv1P/SlcIJgeOl2TrzMKSUW3ZcKLEx3pgMQjXTxYDA8t4hFuDeSS1GPm6q4sS9U+6mzAPQRnXq
Thho86qYDu6SOzs3BcCWz9zqa/LGG5tsWWA2K8aRRpmbGNczrTJxRkJs/YY86b+6WTNfylz75CP1
RooeEikZvo1U/bHXlEUtjFFEbWnkp0rLvuLOa6PMaKCltHlZM7XY2dlgV6MHcqC+cdWl/qBk/KJK
oyDUTzXOXYOt7Kj7/dZ0zfFuHLLmSqBJe4KC6n4a0s5YDfoqXKWPYEX7Ih/jaSZDEGM22S4UJpyd
eKk3fdx3UdL3/aXs0nrDf6eiyFIsu/b2qS2s2HmU62huYyJNG+rE051bjg9lamUsRrr9pGNGC2Kq
CzhLVi9YYqd6nMzlvRpqe2+N0v/RGt2jO1vpFHSFOe5Nr//mYMfFw85WyjDHA3Y1LyoGWIZBrzf9
r7i2rE2u9doJwFWKb2bQo0qQ9WzqGWAG+IltbOk8D7zlguO5uF81WJBLxnWuWgY3yuhDC+aOXc6I
0Z5ZAHBl6luULYKSCLFRM+7rUKtuRA+oG2eGt9tGc2E+Mnzeif1cHai5wEQytXaQ6NN1oPYmKGid
hcQjsaQOtb9X80waTTHNo9wRB5wxARK//oHlZNyIm/A26JoWNV2hopzCCfyDntE9+1nuR6ZXLBEr
VT/qenXwNT8JWoz4sKZfZObic/OnYSu6hrqYxaec12IRmVYzPtJBzketUF9jsZ7LPh5O+gy+bp3+
D3tnthw3ki3bL0IZ5uE1kTOTQ5IUB73AKFICEEBgisD49WeB1n2s+prdY93v/VbWaqlUzERgh2/3
5VyfuFJV9zaTycWe+GArcxb7Mde4qPFtHA0YqgQdEHmGqsqpHUXsNUL+m/tClBuCL5x3rf9zWcyZ
XFZg7bJC/7TrorjxoEFurBltL3HGeUNhhXXhO6AOKicoPBbFn94vo/3ULD/Thj+VVC5nmSAkfZvU
VmLj4+HoL6L0l2ysMTZL3T1gjUtiIDoKvSokZFLazcY303dSlX+aqP3t6rzcwxvHyD65r7LjsiIL
1b6UIX/U0rndpukn/afrXRxaShRbkv/cENWYPZByE9fIrolehPZyoeqAH0NQ/OxlYiKy8nRxSg2v
4VzzwtAOFmRc1fSWotuQSNn0fl7+sitiu9Ke61PvSn8vhmCOq8io9goUwMW27HGn58WNB2f+pTI8
qANegc0Y8XcYsfPtzKgNX5SJ8b9wFBpRhYvLJ+/Rk1kfi4a//qAL8c5jX+hbPVbhcxusxDTHZOu3
kqTJgMRGGaXXHinhgduGeA+E/+SR0I7rMr1z7VodHdrdnHjKBGkYlfCDzkBW/Yi8AtHS80n56XDn
LokPeVQFKZ/0MM7bpWWDmZPNsOK0ttFapsrbznzOG7ux6vuBpcbRhGt1DCYv/DkWhIh6c/oUTaLv
WV0YYjcM2XAUjXbuSRMNrBbEBCPBbLAVeNkcR/aAIyDxPL4Rpnxsw8h7HEGcmDGnpsGIYVPg6rmq
/KM6J4QMpUTKZ0qTZE1UvPMPaN0ej0zl6/pI/9nSx73Na35OnScoq6BJsHMjY4k3xbrqV5UCmRiz
ZNmKGm52mzpfiEDeU0Xx86eVCkPGC/rrWlzbT6dmrDGW5UUmepYc8/RpUuiLMtOrp4WAzIni5gAe
nUHqsfIfELRvSNbrYDvwOpiONOQIvs7+EHwlaSDjzFbBfaS9/NXjcnpr9bm37eRY7oDPNHFTY2De
dm0gYcU49SMie5fHMz+Ku6mww2xjJiy2At30KVf2UEtMDGq+r8K8PKRWJ5DGR723AtApDX+vg8bu
cBCeSOShDcr8ldOseOUV17+VlCs8FUInR1ME+cn0RibepPXPLe4qQUM2dUD45Uc45XYu5hvcZWtU
jeamyLB5IDKAEbuGFfPZRr2IabciKT25VbP1h9TcsU3urpr2hFczXPovDwn9GKo6uqmF0PcoKt2P
2vG6guevFnpLVJZYuocdlOlqeYk6LWuy7p4an1PsL1HMPamPtkvUOKgJZTMPu1zwPFDq6q7d3uzg
fowEj/y3tKANfYtblTdr2LsRD2JHTmPufGwVLjbiO599CzL86JPPCPonyOAEewnSGbd4SPL3RMLT
BiQi3S2ks/KERmVuBSnucOO6hRFulBwlguWUXAf+r8eJ+NEZMeBplMzGlLP0vyoJz9fIAlJUeknp
nGUkLathNVjQtPlsUQa2oYfLPmD2Ky6iVu1+ZgGwxY4HaddYSoV40nj7keX8tXQ9gBMecMCNIC2/
G4TVX2S19MShRYWAN6UPduMkSEWB6Op7rJms4BHzzNYvSNj7NsOCbIj0qHDTI3A26otxMw+hUBRB
O7pPtYYaQ3lOP2Od6NRRRJmMiOrOw3ID0N2IcYtYu5L+n25LLQXn6ESjNaOT7xx15nuvdogsvqVk
qQmOXcGz+Cvyw2RLoWiSXvJhQETnK9yJnU2j1Na3+6HBMhGQscp0V18GbTTHXkXW49Rq7gJWa6zE
LiiZ5GPO7dg1JyRqQQuRk18a4eVxYvfBH9nV7qeJzIxjNO80cSbZPCvCDvm7ZdEBLAmg32qex02o
lsUDUR2GvzFwpEe/l4zglibn0eZd8LIIkGi5z+m8i/B975Wtlg+TwfpmnBtc0dyP6wDREopnf17s
Vl8b4pFvGRiiR6zxVLqiGMc2vIstVkWn2ViZdHbpGrmvUbZjs4W3ORWDFXcE+e9ct13rm0gXKKbI
nZ6mKF4qS+xS3nUM57ROTzYIur4MTkZTocBxccfLm0f7jl6pD8+d3KMsOhrQC04m6n/DTYDz95Cn
zrDtag9MSo7qtylUNv4qI2OgUsS9d6Ys+jKr7h4JnY2mNhETbXs+kiJqGaX69AKEL5xwd7gjdku/
3TfR5O3aueB+w5fSpEUjzyCUymzHji3jNmIUP7F6ra0JgTwaOdBY+gFGvOZ+FW7wNKuYxtkZZjFV
dnVCdqmKAuNeE3VFp8yOwJzKW1adQFlSWs+YwI3vLVD2u2l895bS75yDtmVrURs8u2pFApJJmMus
jDEiS7LieuClM87XTJvR3TClxU5UuX8sUCBpI4BCDIShPhM2ewhJrGyUUlMds8T7UEElcB4DGmCw
a8M7yum7eJJmsbNKtjiijJz3FC/ExhkVgXOZZ/KdWvr31sHlAgTs4BLXN4k+DV+sSRWynwkxQ7JF
s7h4sq7ySLtOFbutuWAHSLYGKXspP8CaZzvKuwE0VdMbcfwbUF/beWm/KlG+KYEJDyiaWe96XRXk
KB1n56825DKPkrPIlfdRqCnZyNQECwCSwIyNagIX2LH97VP090vti9X5DYqdvil2DbTKX9BYiwf0
B9Pc9u7Uh7uhMQdUV+Zt2sVsln3IP1OomlOEPYLMxLAccbmbv8eKK5rQYjhKF5reaLT2FfUcRaAB
npZN+gzsRhDlKYIz1g/gdXODIchveQEbxdkO5HBdiizdQzX+xX2NUYwV57x1FyFPRCeGAvitml8H
vaKOhvHWcWTywij1nBttGwedDm4yeEwxeAkGxzo7JePSqg0hsm5bDf3PyGpvSdo4G7Thl4pAIfRc
1903fhfGI20cr9lkyY3TdnQEmeEQ233iPS81oAhvKeybas4uuVG96yZQx1llT2Qm/lD0wvw3Mx1V
aVM9ZbX9Tu0K6LWhcr+UB63CTDtnCwHjZYJk9KdpJKa6tAp9vUH1YPiemj5jty0fw1mzEKpTYW0h
r0KXMOFmbqZhQCuP5vGxtdYkQBkmCbKTHkdi0u6MnVFKizvO5B2K3okeKw4sCkocbAX850F42YRd
pg2eBLnzzaI721itxiVPJ646yZaPqgluC+FRLA+dNEWxNuq1iz63sCEQLtkNIWaZXU/Y+M62/PDE
P/BLRRX+sVP70RU1h0eYZ2dWNcV59ni5Ws74mRRN3x4Ko0h3hNncTRDQQ+eV0xl6RsGjbr2wMq7i
ct2g9/aqBa5xyDmi7YBNHYUbHlvuBJ/cwfaYhFPFjnHjT90wHoHFHoOh/ZmGy3niCx+XOcmGIjVu
k0gx65ReuxPk9IjPaFinRbALCr88Nx7yX4sXFisFCwwmUztOSDx36XCNhPoyWRBv+2SGxT9V19Zt
iETJOThVLhaVwNAZgcMZARH5/h5L6yumRsV6xoC81gEXTalfPWRmk+7yWlrHiVXJtvN6daooskS5
0PXGLLyvZkyia2+YyHDJmMdZPf8sUgvlTM/OHhdkvhHa+ZV4g/U0hmTn/GkeOxKJ9fjbg4v1xNmH
S8D3yMqbbX8m+XAbmnhwrcRwb9lZGugseW7vOrMojpFf3bq6VHGyOFCjSd5G/S5ILUIrwsyKc8v7
0YLsicdhbj6w9tfv9Jc6clsYy/KJWTeZYmsujI+aZM09BcHGUfDCYz8YAN4JCzpSgoIrEvUZIqMW
OT13RK52ALLmX8xZPFppIz/AFof39egkt4vO+k8j9/+knTWTLyD/dG6Roa/k2ZPYywm6x01ujj/C
yesfbDtzl7uOpDw5oEDWB1RQCfNIE81alsjfW3VuBVu/yMl42jksPmCgzT5vMBm7lFzcsbv1htjj
ZXDMk+F5Tr0fTAjeE8T2ep+2sz7yHMw7v1MWl6vwZSRWvWmyyn5KzRLOQObch5ZKPiT53FjIJIxB
+9o5dFyaY29Gm6HmUlZIq60eshtmCD3ticbWwNNyvz+7FefPxsfrKw5pMpJtpjM+24xoYcw00rc2
FZcbxruRUOwK6O1eOoLINziEwwHnFBjoTW+i8c2NSGJiYNa7X0+Rc0dpp/k88Af427Dtl9e+0LiX
YNAjGiFQQ6SB4Hrr9E1/Cfj2EKVsRqrJ2iq/LKvXY8sLK9rork+ZmNiekqnAVMJrfp2EOGXeZeEH
P2ECA+IseqGP4FygrBgTcT0VuiFYA6McYkzv05PXNxrxiWSUT1SNPHhjG9EL5pn0y4PmA2MiTTC8
oqnNj3MxTOTzeNDIqk/zGsPk4s2+sgSZZEq4X07zZ2S83rEiuM7Q6jaL8s1zw9Zu6zU9rRw5LLkp
HexXsbq4t57Lgb10ngV6qMZoULYDFFRoMEy8XVo/lIuBBcDN+zPuJnQZuUThbQfs9bVoDPPOlON8
sJvQiri8KudKAit4jIyE6ws7vAjWY2b/msu8OMP+HJ5s20EMndgr5kSqOFY30gsriisVabPcwydN
R6fLG6sfUQU3ThcR3UPh17xPiByXNwJnAdFSf/T4pCX7Vs12cTsV6mFJlYvva27snYMM9WwuQXoW
QEFiHFjzn7KR1ntiKQa1BYvJFqWju8uiCFtLKvL2tffXrLbBWzclwc/LnnwUl518Z6Y0vjbGSC4I
afSmS6bgNIym3jXKLy6NVVVskCEXXuqlHn9oUemJUzaX28wYXbDUbsJxorFpFG1z581jeJSZle7U
sJD0VKYL9KBYca3dqG/DUjpvqLcGL7GxeTaZ7y7As0YYBkz/yJkBKo2RPc6ZGMANpPi22GVQ+qTk
ba+jT2OwrB2HU0JKiZ2uMS8WvCIeDUfY2S5v4VNlVvhQEbg90ZsxnH0jwHbpJ+XW1dw6eiZG+Ae6
OwMW7G+NLigueEp/VeFk7eitN/cinD/SWWYxRGRuBjhoiCMkEq2sm1+M3En2Aen9XWMvDtAWNzxk
Q6PiAdM8GTmArHFdVLON0IbDxJmsrW9hpdRezSxrLt17XrosqnW2HAGZwcQMLNU/hEGNDmxFxO8r
b82CTV6Wk6vkZSOoloGnBoL3QoCKelHWN2is5AbmOttTyLtsonq584qF/91MiGoDOBk1Ld/2ULxE
yn5zUg5rz6h2uessW5SSj6giZBalLDzGMUu3yijNLXGyem9bhXscXXkAFPe4hLjmapeatqg3wdil
yz0N1ZR1iva1Ua148NP+mBg2nq9WH4bFHX4aE2sQ2zHeaAw09+bChDy1Rn5oBl7UpIE/ZCTa69i3
1762S0iEdcir3Vovgllp3IdOBIrFtLMTqSmbDljjiyKs/ra2q27Tcf5vctZgCD2R+6ZHj8SEnC7Y
zifwyu3rf83d/46522aP+38CmEhcQmCS/5J0+sdv+ufm2v3L5boZeLZjRZRHRX/fXDuwlnw/oFHK
tPGE80v/MHc7wforjhsQf7JZg//T2O385RPqI9bKv2T9feF/srX2PNzj/7K0hi8cIPBEMBRty7FW
1tPfl9bdAEd28q32vAYTWTeVe03yZ++AK7ri+8nqE5BPo9poAMrerugo1v2RkWP5gl6A4AnAoGuW
KpaSEsqD0RtO99xTtHETpqjqDyyuup9DlwfvHkLBmWOwvGGBSiXT2nndmnkuz8S8i73PEnqrB1Fd
RNMa9XuVNfXtANCGnt7ZOqQjC910yexmLwnnRu9DjiXyGJqsVaEXz/7bMHLtepgx0G9ZL2YXQa2e
u3N8lPU4Ih6cfyCDZG/koZQ84nwsUoiiPYAajQVF450tJSdzD0wtmzaSnZMz3rFR8UP2qy3azF2t
FP+5hHa7YDVNYtM6aoaZbtpJgCGGPFeeC4Tje0GOg7zAg5rcoXYncHYSEFMajXOWPYElEtjmuO2H
gdJuizJp83McSzUuZJ1yb4TZVilvAXcraqo7Zd8tJM79vsKyWYU22ukEMBVISBYurWtt4Ty6S1yg
ClZN3AGLyLhAhwy/i/haknlWHuWjMp297ZDWOZcK/MjpwS4o3rgL4AufzBEEDXwM8uGR4Wzg8OLe
W8FXGbIInV6N/QSDgyu3ozj2hlUzs8rR2/tRM38EtDruSOOv1/CZF/qqtUHw5iXGq+GA4VWeACj0
B8x7yHPtt1I3lP2JlpY46LNiL1ctzwGwfO/Z2K2GjB4c36Wv0dXemk5P66NaouTarapgUhmcj0VS
hmAIhwZOpv+jqGV6ddJWPYzZEFxLjKfvmSRNj7pA/QE80Svfh3qP8TV/KbnbP5Q2OFa4CdR/saWH
9hiA86eqIbiLoiJ5yZrJOU6Zb9wb04qgwdaHoT3onEvCa/NgiFUAtYKumF+aNkQtXsVR4DHVkwIl
ynYwydIp9gTRrhjcARDYel6WU9XZrKhBVUuiwpU+jRzdhxFj8wvDi3MTLQHqrNV447MbWWoG6oNn
fNsXXfnHGl0fbnWwcBlL66qiuBwTL6k174GeerAjo/fM5W2riH6tnM4puHBVwA0pci6jm6Trh/s+
TW0WU1N9dF2ydVrMfNZ4E7prVvrVS6em6sDNt/k12tmrtUrOugzDM580dsjGceNZNeHtMpfTNcG7
f65cWsZTy1neenykcoVC2Z+i7swbY6kCXIcIOWecutHeFc3vATji0fJMPDATG2ZITeIpoorjzfRF
+ToXS/7qjDonndeGxWtrVBFNZjxhvqG7g7nK7dEqvOdYFcaaaJ9cBXnROUjzUeWdx0nRCQCCWTQY
YCLjHiUNy4m33hSoJsgfqMPFU2A0UxfTBcounS0E6YNwIimuDbWFbT7vqA1sQEEiHvNzQWkIyixO
DTNukMnPNezcrTN7GFrA1txro/uRL92TaIzga/Jqrrs43UzyYHBgvNhuFvEcdMK9keZM06R22aUJ
lWC7SE/RutBY7xg8GuuSY113eJ1Zf/o98TX0jfrBYX39q/1ejFiA7TeRHJsbbgbujzSD8+2zc8aL
LFt2R0uU3kJx7N+1ZyC4lWmcFJJEPcxUytCn7swWGjmOUeU3Dtg+xmxwQaSBAeGP0zYbeueNOytw
ciOww800jjO7yibcuoU/YoPWtsET52bmHSXoxr6rMQtiigjrK0Z5JIFGWxHclcm6GxRoS9I5BF1X
0x49G3amp0cwrvS2F+noPCFChb+KURolVo0eNiqQLTz/CTZM1wAtXg+V94E9or6huYSRbNY4SLjO
OdNDalVkB+AdKRgUrnkbRJb1POPBuAvghczwRDHUUhIFsBXU3YlakYFWgdmi8sCy6zuVq4KvqFfj
fJg+W955j9boz6fUSFTMH0o3k0jUyQPkd9CtO10MbedxFDbhJx0m3p/acL/yprUvVjAoHcOsohM2
Eru2E6AIpFHcjlMW3kYEQi/08/liI5bPzLTbDUEJ2iGm6Udtdk9Tu5hxaHXYPFfSO0bLbJ9b6DVm
vkRXEgH1zvBt2FQubuRjamR3ZTGke7fP6YypOus1bz33IMCi7XneP8VShY+trUbsEWX9nAbWKo13
+B5FgXjbJV5568HMjz1VDbd1ZaZHY1zvkL701y5sq77yzZUs8iMCNnPdfbXTCg1l61gy9rjhS+on
7pm/4by1x2blgTUYT8vCkw9w1Lx9ua5jrXUxyy5x2kKZyS9GlwYbv6rqg+6nnlDYpN/trsu2kCAo
iWHrq5X1S7RNQUHMugyGRgVbb10Tu2GLhK1qmmZkZuNJmdQfyxmKHVGK/kmYvrcb3LHb1WlY7N2w
Bg/RGfCe1521bwLuGyOn5W+Ro8GnwrF24nvt7dqSGHWXUQbW33Trgtyrxl+d6ZY/YSUAjcKv8CXX
/fq8bto59n4ST/jdFbk6kfQMYjMoim3r8U/JurGf19099R/myRSwIIfcIqeqcwuhwBCfkQBlogmd
HrQHosxVSYmiWzpnW4l832jRnnoGkl3fgsjDa6TggTN5GWRADqhHw03+bUwop6bd6tWtYOIohl6N
g8EJVPWpPSQw/u7PYM7xV8+ZfxwHp41z73Zx6SypVjeE2UT2nsX9Z2s2175Hfajyai03JAvcmQZe
aePNyl2SEpmf7/NiYcIoqZ4pzPouaLprQD1epNrDQlBgY0qqcOD2P4aGLs6ixq5fdexE0AWR1XIu
826WwQEsVw9IeetIA7y9msZD6ffRkUgr+iKVTEZRPcxdnu21NOGi1AbUqXK+RquVpMgphlG6qbea
NdiWkknM6llvHSrS5xzCgUP+CAcJZ3vwjHkkPy4iqWMatn63iY/559u8AvUIAGbj8SIrsLZUTn8d
bSv6zOXc7rjPVezUjKM/DdXVNwY8O6tFZvCoODOjpj9NsouOhDgMCJRLeJZ6vpa599NNgh//vUv9
O3cpTFYh/tv/vwWYZt5/uUf94zf88x5l/sUtJVhvSbxD/9f9C0gCbBfCnU3dMF69v9MiVs+wb4WB
S3rW5/dxvfrHPco1/3L8IPJC8Nbh9yXrP7lHoSj86z2Ka5TjuY5vOyBHiMo63Bn/fo9iv6yHKshp
LGjldGMIhcSNj/JxcjwOl2pYTmOyRlNAJjGYFd+Jle/syneMBXee8YC1n11GxvL9wXV08lIsRBpv
2jUHk2mYqKe6XYMqhOUdFqvfqRkEtx0++uBl9vR47bvGgd4zy5LqEBGWX8OavxnaPnzJplqQC/oO
6OjvsE615naIoZywYeWnYc30iO94j/8d9anW1A/4jvJ3RRAIN+xyJ6JpAInfuo9kmQgMsWZO/rBs
lPepMdwWwNfwrla5eF/WtJGbpMPrlLbApNn7/DEch0gSfRFUrXRT8NBgd5HbaXbUg/DS6XZBRcKw
2rmUV3CAXOtKQHULBpneDYaN/cZtSKekBI1IH+PRvNiZKLAw4zMmijMCflsoLT2WfqJ23pBk7+ys
GMOdUIa4ZD1iWOR4y6fZov+m93qiS7TCH/OxTA/QwcOzx7XoYNZTg7NPSv9JZikFEzQFlgHLdSIO
BBftnugcLFsEWreOvlgOQtadwy6AA1sO+DbxVcR2UrTnHi/1DgoVghbBWMjn7RTddIhW36Hpilmx
Ce+ozKDrjKaQ/nEIZHtM56w+0u+gfmVMQzqOclnWsbv4zVNbjvpsBSERKXvih4Mypjfsrst7C2en
CRR9Efds2Gug9F4wvJU9LzJWSDokV1zjFM+WGeMWDpno7Jh+oulaGMWuVKyrAUayBZhyskiQJKH7
Mcqwd8kVtkghYXf4GRYIhKk/SABzfzT10uZbI3TqP8D4SxctfilBcbiL/gSJ4RtHlm3lS9JP4jQ4
VYtzbhYOJUf+8NFYUfiAhQ8hjaDNnvtmx1rFaR32EhGZ6olK3vtFq1S8tGaRTCw3jTCvcdsuZF8P
gTXkGJeC7EHaUDvKLz5dxkHcMV3OzxZ7DNuRC7LiXOd3pr/ewNH2o61ckR6Wq4f30Rt9YKgAP9KQ
f0eicDXBAnFXKMj4zQfRljVUx6Symr2xAkQI+/rxENnBmWwe3gVJKxqxvi5mXoqbFUISrDgSNLh6
p1ZEScvUuhcZ2BIjAGCSryiTbtUcS+gm9oo5qU323lPtPsIvOpaj6TE5sMvBwkFocQWl+N/MlP6b
nzKsKBWEc76BbtWadwYxb3+rVuwK+UVoiQIUiy07iWOHzRuJ6fHClQwtc4W3tB6JTji+S3vjK3Zf
9op5ma0K4ku+wl/YZQMYidQVm3gLGET8WSDFWBBj/JKpKMQDshU+qYQ6F+rZ6LFq4GwK4K2wMskn
z3qiMIZTK1yxNNEKqOFGB6qGSWYjVnwNOUcweBBtwCW+RCviJmX7vTFq5yig3/grBkeuQJykRakR
XB487GdleOxY78bTCtEh0jk+mw5NdOaK2AlW2I79jd2xhf3oN2t0bYXyzC54Hgzm7Gy9aL0qu6q/
9aLC3LWTgF4D8e3VKV33LZCe2GbcrMnCM7kEvQ6eg8Drb5oRlx+HlOJMIQJPmDH3EuMT7x3rtKxA
8TXpryLVmoqHZeBsLFCWjvXiusce0slltIxo2qUqnfaJjUlOV6aMKabiepEX7Z3sh/wQdHJNN9kf
pg+aEvTpsJ8Symq8qNU7+L3cIR1+KFfKHYodO8i16TIt+WnbIHqotzUiBhpqGvmZO6vzJ5+oWswS
o7rkBITvhQoBwJmeQSVhgXimYdeYITMVi5F+36lQvrXgXx7QvAgUpnz8bwyse9vrQZsWU3VvYTcm
yZmaz3ZkYwicXf0eWKn7FLTrirfNCDoQ/96XDdGvYdHhiby2KrgVGGC6Q7vk0M3y/gl1HeZyppwP
R/GVdpx2vBBRrW5Dq1HHiUqne7VqU5Nue56qcX5ijeGHELOtnBKkSF/MKBku2AGw0GWeiAehCvT3
kCOzTO+tiG6SPDFyuM99EG6KIQyIzzrplvZze7U/Z8uZjWS2l4WQoMDK5EcG0ZL9E/f5n3NurwqB
MeQX9gLqqOwE18NiTb+k7rmZsHl5dgYHC08igm4D4EOnMFrUjzYd7ctC5uxCJnAA/uibgu9bmz16
fm89QWS392xomu08tuQF/Flnr03bkAFZ/OkhU3WSbjiY2iNv9Okjo3Pm2cncQGFytabdyOodiCuC
nuBbeWYpd9X9rAQdbY6l9RuesxX+gG/QKsw33NJldYQQ3eWvrmcD8Il17fe8iQoTculSZ2xRmIJR
nCwQ07MzgG5qzGn5CvXg75JirnBM4dDaZA6QK6pmxmSTZnN/GE35PE4T9bKkXHZ8SaHQwIXdUndR
Xp1mZrVYBec+ZZHf+jgo/zsf/3vzMdm1/3M+rr7yj+r/GZG/f88/RuTQ/WudaZ2Acm9KH/42JYfh
XyYEhch3nO+s27pS+CdGxvor8KLANDnjLHcdk/93SmYJEfAL62/7B33mP5qSVyDN37cNYGRYMfCn
Ufdr+6G9BvX+PiX3AE3yJZuME/wstg1tiWFLUGC4Rnewm2cQ1aiqVDO1r70xjMhGtnXxs07eLigR
GCusikPRzIevoLfk/ZJM1c/IFDRVpWSdqESlSmY71QkxT5hWP6WXOCcuCPZ9l4+Yh/CqOreLVYYI
5kICDFZR6R9yP3xCzi0fuwmh1Bw+ZN11EMCy4kUPJkisIh+MeBnKajkUZkOKsdRy2uSKbSsAihT1
eIqgVcIwCzDIYc4qmOAKxhmnk+iMM715u9qe81MxIbCwDWDTChg2cYjfJgsk384OXQhjYQB1xYkE
PbahcA5ttPYMThS0XxwRDOGOTHdOb3dV+k7MaVt/NlSxvdfaXO56NZtx75TqJo3U+BnKoXrHsE+7
DHn/+QaUMeaARqQfdsbhmLMd2UjO3aGXQKp624ynPBzvEJjrB/iZNfbUcGqxq8sxOJQQxu5CMmxX
t3SW/fr0z6o+BcGIxbWFpDJUPdV27nwY7Tx4sFoVYchz5CfvcQtigWTk8yxIt1roJ2ceFVV2Su3c
cXaOyYLWhP0RCrSnifqJeelvqErjwFkUW6lh4TW4MVOWULyL2+ASmtLm1DLm8sWRTf/UuwXrit7C
NYLzy3rDKZW8YXhdfeV4mioUg8u42BQY4Fvc1MvsxuOULJcltfrXsoA/BlNOdpcx6dob4MXDn4jC
BIqdZ20UW4UP835wq3LXtNFqaCSyBB4MFfAW4ktnkcbsi4927RNOaSbzMFvIGhGChs2fuC3Kcq0W
ahFQWyd9qMKoso4kSvPHrCmcV6Bo+TVaVeoNbuXuyWrohQBA5t5YthhMPHh1diS0ksJXqputrYf2
OOIVeEwzyVBAo9q7UaUdA72MfgP5D7q9b4J23+AlC/Pd2LbRI2ykZYwVxX3Gm0gd/4GQ0Jo3CRkY
mNeW4tNl+4CVI7MLAu6L3EYecPBWWtUzn2PxYwT69BBMQt0qa2ZW6ogS7Kx6pPUiqdyt4c8puL5Q
1M+h05prl2ittkbLr1t16t62g9uTk6llcydAcOYK1Zqn/G3Cj4t5o0yjCGm8mIDPNudoIH/UnGtu
WBr4YDQQ8wKzH01mealMiP8aPoOhl6Mc16XaQFHd44z4NZ8zLxPHdvQfrJDgSeMGS+w4GD0YCaOn
qeTp2ampL9+ThJkLAyqAgQDzusJmadc0HCjviSK9voGyZ/ESdec2zuAq3LkQaNgQ+tnBpVpuwwaw
BNFPRzajSbELHay1Hc/LY6Loz9hgxS5/kO2E6ALLxxQPQY4qFm3dBt7Nk7uocfWvQn70cAW2xnHs
uxcXygTSWLjWa3fcxh1oMqzy/Nt6BczIFTVTrtCZppfzlcnNPvUrkqZe4TThrMrr2DlUViC3r+ga
ZiMnKsFT8kE6EG6oz8s3VpvdkccFmYXrwNT5ZRDnZqR1GR2hPfQrMCeCnOOvCB0Plo4gUNFTgbqx
cHLxx6zAnRb0TuY6LmXqeLWsFcyDgU3d56b7Hq3QnnFxALSPgHy4kSfwzzmt5958rVazYrKCf4r5
q1PDjV74GSbavBHfjCCL+ZxYVfZjcpAPaKZ6CQOuMRK2kMcntgOJ9Wiu2CHaNl8go9z7o2CvDJkI
pDBA6vkmWJFF0qyfhpyUppwCHY8mbiQCFMPW/gYeUScRHoPMKih94J6Cb2lFIwFJanNLnTsHT+LK
T5qjcPgf9s5kOW4k27a/8qzmKHNH5/BnVhNGH8FgT0rUBEaqQd/3+Pq3QGXWk5hZypt3XJO6ZVdF
IgJ0OI6fs/faO9xv5Ps0E8ENNo7ztdJJeKSnjbkOhc78zAS4OetxsLcUYRcmywi/JtQcJKvMgN5o
TmQi7wyavzt7ad22YI2vpjcAVFNQZXkLFarCJX1nwWKHFhq16W2y8KPoH3xRRSiOSRTIEy7BamM0
eBiYQI1y2WYrQFTY1IIHRdr0mni3Yl0txKp5YVcFbjBdkV9N2EYv68cZS+vKwNRzhRnh1qmNikcC
ElYNGArYEHQsQiyy+z71/VtqR/vCXihaTiEmTAj9SYPnWCcLaysd/ZdwoW+ZC4fLXIhc0cLmchdK
FwlmSxfJPTYLwQu7NDu/IT44DXQvZ+F8hfHorzRSKyAL6vMAfYM2MpqjuRunrTXNetsNKv3mwoC8
modNs/DEhtYGLVZ3jX3FHmNcxm0EeqwKs+rOQZu+rhYymbUwypyFVqbHJvxsvyHMNFP6lUq6OxZh
eqULkdJd8nENLvSzaOGgSSlulN3Y64UIdsgWWlqKzmZtdAtBbZCfnL4GISGN5D5bSm2nVeaHtrCr
bTMsGDa2wwXJ1iMPB9CZbzlIIDV2lszTheJm9PDcmBdOezxD48FteUUy8XQPRgpodv3fOvl/VCdT
saFj+c995NNL3rz8xJLg5i4/8nsn2f4n2GHKXXz9jLuZAfy7myyF+U/h2CZtYapV23Zo5P5eJwNF
/F2FA16RIafEGWC5dEGJVfsbeEWK7J/rYrrHmle8Z0myszFlu+9y0Cq/9dI4GN1TZqKsXCH8kRh5
JEJThP6N8Qbt/S4lIVwUJm2Bp8rh1SMMdsa55fR2n35XoTTfNSnGPKJD3Hs+Jz/qwh6qu3qTsSTf
NS1ZDRJsuGq/610mEw0mQ0eDjAaIvmnmXvZ21Xxmanvb2pGCyWQaamWHrtqmNpEa26YKUK3O073h
zTOTrzaMylWlZQ6xhb4BcyZAKo24zEeZkpHeCB4SvE9Rs08rr6tuyDJL7uvK189NOlvsSjSnFvtO
H5cnNEMhBfOkPxoWxBkuMbnzZtSpiXKO4wqw4gl7/mJsv06q3H2uKEXXhi6GT8QM0Jnhmd0W3USi
QB2SXhGT1kwPzAoxl7WFUe6SOUsPMXk7n3AlVh/NxqIcRhitPxfa+5yO05WHmwqPSZJNB/7DP/ed
a5EFHom91swJ29jSq3ER5V70pMnfdjG5viuBCQvRbsDkmWa1zi5oMdM6wK49XeBi6ve4fLKbTnbN
0xhmoHjqadgBw2QG1pjTkQbSUnFHNHhhcRjRPkzj6AvrwbmNk74ng6kwjWsiV7zdiJV03xSjpGxt
84dwVrSqva64oRWlVth0QvrG0JPPtoPs1yhSrD1uZVrXhR10a13SVs5grBwYXWJBIw2gX0ed3W2k
mXck2NM1GMia21qDNe9TO8bSM/nV/AmLYrlFeWHsiA2YD3Zozp8px9UhbGR5z+zUv+qMqrgsSO5E
M4lu6XrsZheJ6nbs7dZEKf77/6WusfvwbDgmyQirSEA5Ylbea6LHj3HZBEN+pHYZ0mKtWr+K9ZZd
lheH9NBH9d/VUuJNOvXfHfV/sqOyi5mc+v/zjnpV1H/KdP/tB3/fV91/OszfoKW7lqNQnfy4r8J0
Ry6nhen8Rtv59776ljeJMdh2BaR19sF/77M2uHdLCiSKwvQsU1h/a5+11c9TOps9n6YIqCBlSkwZ
8g3h8wOih/lk2bijooPHOwAwdtRwzvPXUPyAyjVno114dJliuAK6Nq4umETOz/hxiQaDRL1v+tK4
9HlHbCZKsW0wVQAUixlGJ6OnsLa6o0fYxBqIgHsquhyqT96Uq4KR8qklRfuixLl+38O4fow9WGEX
XREb1A0Vh/GG9Ca3QffF75Nbs6oizme9D3CmgnrN5x7RKwGdicKzy9zwaC7nprDyb7FrXQNZWyvu
44WNyH1fkex04bkeueHQdiVydL9L9DoMqi+dw3ul4wFbZX0d02zIp7NfB8w+WrEee/E5JG2LKK7G
2ICql9tJzPPOKSrgNYG5M3In/6CnPt40ZRJhGqJpMdbXKOHsjREk7UttttY2Vcgt0InUeytzuX4G
9Ig7RcXFARgPWBfdKTYohjJy3pcJ5uOhIMlpKMt+H7TxdT1pooCaZIbMgaGqMzWWZFFam1A4FtUy
oX+oEqAQsK1RKatzKDUwBCu7g9UCBMBXO511+9IeElot5sLTYVJjW4FYm77YGVhrwMBMT07bT6u+
Xb4EVKR1SxYagdRdwGvVcDep171mDVgIsoOOZS6jE+XdtLLMcVPMamtEabl1ZqI00ZAatCaUuqiQ
hWhfHyn4Ufkk9LOi2Tcgo0bwDUTnkK2BasJirLMlmwX8aM/rxSRR5kHF5XxoJJFwvMmoNEdJR572
0ppjpU0GC6ACxwt2YwcmpuKduIEQ9KkcS6bDhneYEBOtTAfpS9fUICEZaYYWnjBdMc1L4ZcncfWA
m/jJG2d0sYO6CLCtbQ0OuBspZughGI5morPjqkVdVPj1aoiHHGICh8HK1F/ZyWPEudpZsyYe0FBC
4WBJeHVwq4u42HZBMgHhg/aTBEuuOMIzWAKcH1vnUJmx/DTZs1wldXPC0fpKC2aEzemVGwCI097J
iYEEm+NdEM6qiUeOqzVpW/aeaE1S0cJpBE/B/y+R9UejwZGfqNFfu3nTr8A4VDvp8RekhcF5LM5q
zr/xI0rL4AwTNNta3iv9MHEcA0Wfp3SNhxT3y4KJCu01hv3oDuCOt8pxzMDiCaddGen6QeQkz4Dp
Tu5m5dnM2uZz00K1pbcwbMg1dLdz0uEhIDN7Q4ETXCCSEzeRW88bAY59IxsvXHUOR/ewtcjUUbF7
kDQBV1Hg9XvTDA4t7+UTUqtubZhh+dg5FncR6uzatGP8GIEe1s4A5JXwgGjVOLF4nHxbXLQG1VzW
VzMi7VLhQ5gxGs9Jfp8Y1nTjl504yrYZiP9mZAeoxEgA+5XeQNhfRhmY0jy1SNLa8lGxORlAhbRr
XIIuT3dF4l4ZdvIa9S7Q6pw0wb5S9GW93lirmftZzo3DGTqFXWCJb6S1e2uyyJ1j2c+c+dz2XnjR
oct7F1gfhHBmcXeuH1ebQZCICjsMYu2QumvbphYzK/25a9M7SLM3vuxuUgSxF0TLyh0pB18ze562
aT2f6lZdRsMiwVX5Drke0A47z4k/J4sxq1FYTD4wx1BZHsPd6KUqCD3E4HjfMCTH7UhQfEomMK3M
rl1J4U0bMyLIqs4rlhSeszNl77bLzBdd4Sn3otiCk9s4974JtCJTetNNBpN6ifPdrr72UD8wMlLj
ODXNWZFKeWTOnWzJ5ew3NBLp0rUJqg+defvQEtdFan5y3eYS1WZ8aJzxyRsajJqR267SyXIPnYjy
B617SIj1AE8Y5mI4DKvej2hgBOkDms6Tstt6wTgdIYFlHM6L9LykBuaiBvfjEx9lhR6T0+pbXXdi
DSvVx3bbFTsbyeDaRxW1qYY2vZzSod4h2EVUhbJ0n8Z40qwQxq+nHyZ7oieZ029wCdbrzakCnJXi
M/K4Yj7PD7TwopsGpXwseQmNFIYXyQCqhNildFt3joNAzLkvk4zAJ/KkTmCaD0FN05OaFSlVC9o6
xT6+5vjuPqfJ+HHwO8yok/pSwPwijDmFoWO2w44YYgOXr4+vL+v1dZv2NyJAu1DZ9vLBh3NJUsSq
pWQk9P2uiMmZHVCvjRXhqGxo5F+GxodOEwKG7e6LhaeRvbBbtOZzzV5D+vDk+y6u+DE6hggJdwGx
ilA3DWfVLeBaLzWtXTRbzjZQg7U10xKSi13iPlDxh6GPnMNseA9T25zgB0FpMIJvllGqY5qn/tZQ
KSyr0pVbp1DeRtqZOHolArmChusFRGR/W2NzXA/exEz3FR5K3j7aEbZsQh1woGpIF4MR2eUyEPWK
4anFzK14FCvoELgKWH2Zd+07tR7KC0W3dnnIijhzGmsPfB0NJEHQMNAfrQ4dA5X2NDHsDTZOU7B7
JxfVTMtvSe4k3sOyM+Uy1/ge/FFbfYPhPGYqTCgILvm3jJD8e2TIf8vr/0l5DULFo4/wn8vry6ID
Kvh+tPf9p34f7Xn/pNGAUwct25tejUnh7xERS2kN9w0zkEtNi3zr3z0LC3+R6ZkCIAj6OIw+P/Av
+YWa1Ag0c+CMBR65v9PDsDgu/Djak1KCvKTR4CxDRLxOy7//UFpHUz10eIvrg5P7yqNSMOSdADZz
Roldbosq9siRLJV4bQzlP6hQk0qZ5f7RqCOyGRgrUK0qeVkIN9/BHIEk0MuUh9JLjAevzJo1/ggQ
+IVoNa6ZeLyWudF9jWsGhMAV0ycbbgi1u4ernMM1GhubHMLcVBA7KtQ6MhD1sGsBCeyLiiq8y7vx
L3LH3jVxuAO2zTGK5hExd6a16BB/vAMQJuu+6MvywGBovEGIpnfB1BF+07bL9+Jz/7BEbr6TRf8P
6IGbAkx6869/MLF9d8fpXVnCAh+GDYkX2M/XMw30Z0GSlIfBqK2LMUhfF2nNKvK5B7++0rux7fLN
lGWiL5Me+SSc+X6+0ow2YW5CN0XDWDVrkmnAskFZ3JEIH933Zmrv8Kf6d7++6J98PUUoiqAnZrJM
xfLvPywoaHzMS/IGQpAbTrCilvZ0g/bSWXejQ7T6378azme6ftKzXYJTfr5aoD3SiLKYl4gYnOSc
19m8HV00idddqh9+fS35Lk1luZ/EfXIRZRGogqD154uN5NGGWSKiQxWOKTqu0EdbUVVZsfZqicZw
Csfrru5o7zRJvyfJpC03UeM2f/s7O0J4CrGAohnKpvLzxwBRoXCkWfGh6pa399hMzdoNfP9BuyXj
n19/6T+uIUdgZWDmT8iTTYP154vVlU4tcFkx8PN5vi28ulkDzO2+gvBOwgOifTRZKscU9BfX/eMy
oqPgSjKTXFcrV7zbl5IgHqLALeNDPlQ9RQl/zYF3JPLwCCrur7/ju2vZHMSQ7GmJYoJdUCxy4x+X
rB0ZAyFMOjpEkv4odn2seKWop1MwDdbjr6+1/K4faMNv13IkwgCbnEebjsvP14qz1jVqgzU0T/Mg
14WvsmMaWf1vQ4bP4/8NvtIQTCccYz/uMj+3TJzv16HJzZHhbbmaP18HjmBTg1CIyNB2eoz3Q8yX
sidU/35vOfchFk5mtYx90fQTwOpvGEGH519/13drZ/kMCEPZ6Mg5Mpcm0c+foZ9kgvOl5TP0wEpg
lFTmRTAbwdm3puyIHcRZN641/cV+/nYL391iky2IGFCPrjwxS+8uG7iEZfjQ20KOZh/q2M2OGHan
q5J27662SjgArVGMxClMHDBX/tBN/QE20/gF3XRVfy6ROB8TP2ccuhhEfaIFjv4cG7e/vjt/9jkX
NDatZ6oDLd5PDxKK+mFWhrGnkea+TlNn16seewl/otQdXPrOcYmKOTYUEUDFkJwFZT6Gwtz3D11S
2CdI9/4BBYh1pQ23UVu3D4sYML1W/e7Xn/WPq9YT3E1GJw4VyR8GHZjo0AekQ0S2vJgS+gUedIu8
adrNr6/zxyfRg/a9bG4oB3hA3u2wkUE/xIfQi+OgmG91NBuAgpPCOdEKd+5/fa332znL00M75Zm8
HR1kUt675Tl5DVShMWY7L+pkHXh+v0Z52K3QHSQIQctgVcLQOsluVM9GltPIKZz2L26sFM7yJP68
XD2LKZJAXMUf+o2C/uPuk9Y4Wnky/L3qhno6qDcubatHqzwEGKlvmaaIVwevH+G5XcaooQzjgP9O
QgqOMOGcmqD3j9C1phuaPWZ3AdSgrFdV2hKCYiYZdNOwwVkQVebdnFr+t54B/ZM3pfMZY8GIer+q
3UUmCpcq85xTXws2XKSd5p1Dl+zeDUuxbxEVXIZkFXRrUUbGA5i6+RaoktWB8Av766wW7UsKeOIV
2rV/ZvaFyAq4kP8t46BWHvOsQiybYz3YIxACQh6rEBaUpeqlRigSuiTkBtovITEknymurMfBeiOQ
cJwyVth/7W9p39rDOmtRHBBlHIdndDHZ0XbYWmTdR69dyOZdNIHzDdWMZyIPoWzEsSc8QgAjHYCB
DV17N9iCYihXY/PFU6Qi07hSz/R/a+8OPTPrjac/SLZJoQGgIOYwbj2zYe8UTaeeZ9QLQEzwbqrl
Zxun4GNMjkXsRjQ0NBqYsjzowprOvGfSp6qahuu32+u7Q7sx81DcllYFjohmZAq0SwYuDjPyf85J
QPdzQ2I8CFL1tlvhnqOVMrNDeXI0PuVFwoosBHi1VZrSg8Ugyr2bSDtvVrUQ4YM9RvaHrgZdRFdP
5DdLYsgiIOb3DPBMz26L4AMJRfRa4xxcDMb1FJAYrJcjsMNLAaWR9ejlPYoIw+TeZpYZvZKPaG6x
ONovsVNhAeWhwa3pR9l86wzGiFAiqccb0VfjdTQxHForW0afUrdla2KaT/gUrreNtazDbMlz8zoE
5qsp9Fpa0UDIwrXMinmb9ylrSWXtfA6GCcSvz9GLgEjwK7dgCQXWWFr96y5s0D/HfIHmIouHmQAY
FtgGJUr5Eg6BQFbrsXqdxB5vCH3EN92FnBgQMhgPLuL+RZRmT2egPvEx8dKNnpGLMXMdrwsjpYUS
K0m4Gy0KehbOCi5PfRswJD0Ir85PQ8C4FXdHBKyxEWdp5fOxq4S7R9HpPwSt2hT2oitz8+RMJECy
IldDXWez2iXRzJyVjFQso7H1TJzmsEwVcK5MGEKAmUGFHOcVAxBzJRmkbvWIQINoFpLWuavmk476
6wjW0TGWehuGOC/wzhRH7E2MEwwUUEk2ACXO+Fpp4tUr0Lkp8TDAgcyG7lLr2M+1aqwz2rVrwJ/e
0uUZ1/3k2SteONbWqaJH13cxjTeleUoRIEJkc7AJk4OZaIzJySwXO4pwmUOClox0eNeE06suzZey
Mxog05m1nlwMCiZq0IMhvI+0QHyso1YJZWD0eKt1pfkps+zjbDFU6c3oChcjahXbfeh7/1TkKvjY
Mp3ehPY0HsM0YwO2lxoJfPCVG1kW2MqmupURAwSjBxg2z+4lrM7JK5mgxArd27KJBM1XTCjlfpIF
GKTc7304m4EVH2VhF/LCNwJ12TkpH6hIbYu55GTOj4DXrO04pD6Q697Up1bK6ppCyQ7Xg8t+kUAE
e6zLKXhEdTncT4VD/VDgrQ8u6KRO50TB0SFTRm0JBfa+xFlUH8YUek9Y6YyLUkWf60Dcec4wECMB
Jd+au26zvH8wToBLDFcYlbObpkUDp3jS0oNtIIG4MBPyteqJWiQBQpknudusMM1GbEUg6wPb542A
l1rty5ijD9PgBM7dlG/1LOxdBxUCukRpZteNaJ/odVVrOZDcbVcz2XIB2lUmBC6JL1snNrFsgNje
5nHi3AgSgLau6oIPbRwMJ6Yf6zbyh2M8dITamuC9Plnx2NC3zMleWvXsk4dc1+ERvwACPnPwmv3c
ZyzMmNqBI0Jq3KZTrTbZVH/MkcFtRYavp7Nh67X2iOvGzaX5AGxdfRiHWc874USQ/DpYYqRFUo/l
Y7Uvsc1fjUblkgfYMNUpinJltJXac4LWez0C9wJb2dVfS9PzNiWs1mPVWmeVYT3XtGvBVGt5aTsQ
K5IgV4joUn2b+pUPf8/yLQ7/cWjTpqjlgxHRrZYtIF/+qIgRHZxzvIQZMeZGb38eZ9HcKgSrB0hh
DREVlbn2XJYAzhzkiH7g7AZFOJ+LZJ9eZWQ/Johvb4K2sVD3yfhAj908cwejtUWOUNX7ctc7Dgtb
52eX9sHKz7R5A/nW2aOftS51gJ4UZgt9bqeS68wbil0q5nKbzo330i2ZR2w01apvhgiHPtG/EbwG
Z+E65SZS3WEZ5zV+8JSL0brqIAFci9mn7NcWGN6yMeJ8M8FDBE4U9+kuTXL17DAje+CrBQyAHI/I
BXzCh8nQ09eW4/hlaw0dOhNjZDpW6h6qaZLzTocvWxOW3TtXnNhRbSBZ4AAgi2Mqp5anqy3PQ5yl
N6XrtNdeM457q4JitYo0xC3oGofBw4DdS987FUTHneMO6YQd9NlrklcKszNU8w924FRb142Tb9rJ
yCwtVVkcUPHRS4rT+kk15aeMX72pq8JOMRzPZrpq/Ll/EaUdI0I1GuMQlB21rCdFu6pC0N3YrIHA
+xM+7SLe8BePNklmfh4MXaKzKAE/QyltNnkQTIAMuuJVybw/zuAP157mHViF1rybCI9Y217S3kjR
N68xU9ZjXKW8NdgE6rdBm62qxHlsRZer5jMeWcjdwgZJ/y0Egr9qowZyXmC3Ocek1vhWuWF+HsG5
AOh3ukfCGPtX6Nfec9BpIFKLUprYLTF7Dq89PKTAtOmI5HvDtaejacYEpcIW/wCUAW9dkpEW4S15
EHEVk/O3hERQRQVXRECrdbukR1hm5WOzTEeLT9WOezuPxdkeQM6mycA7A0X8lK1o0LsEnSZF2MG/
rQB6+4vVsUbbvcboXbCdTXNw78Ezm1ZoHXFu6pHXiKQ7tJBgNLtPMxsPkLLFVhNJvyl5KewsUbbH
co66zyVnI04YyAZzI+Mu1F70yTeXpUxHSZxDVTIiVmY97l1h+U8QPqwXwyyNb6bbDZe+h9rSyWdg
kQW/drRH/SjzqL8wO2I8/CXQgxhYcsGb6JHC2Gf8zCgRW8+daz2BCGP6vCSC+ESDGF32JByyQoRn
3CmofkBrc/LBlbdlwOpe1Eu+CGa6DApvSLtThYDWcuiiHmdsbDzEkmjySZLUDPMVsA6A0kt8yeQG
eyRD5rYj1YTUQr3jLG+vKhjU2wRr9EJNhD2QOSvJkAD6XreFzQQTApbQWvksZxGP8jQ5ZMvMEhct
vzgsOm/HJCi5yLIp3WEkGO8rwBTQXb3gHOf9N6MUFjMFkkbcvmc8RWN3A0VxPEb1lO61oD1gjj2O
0rLudiXjn9ekxVTHGZ+3DoXQEVm4jf0iqrbZ0OLZbMf4MpHjLnEDqnkKrhWHahc51Xg9uEISCjK6
e6euwpXIsO43VblOO4DtJqXgzSgbhqNpjDqpbb62S2pNaRTzTrqM3rNKfwJfmG3rCXxMW9I7IOPo
gESf4GHjJWIUXoAgoU7RVyjBj5lRPQ/ZfN0l/hE71SMcnjNbLg2jJVeHIe+3uAqepNZ3iuCdkmqa
QNj0RYsINRfZd+Dj9SusmwaG8qK2MqTzSCQPibGF+Tou2T6pEbDJh+Yhdet2rU1oHl15GkM14Ad0
PzP8ItjwLTLIMTgRBFCKPszW/HkkYIghnbldWPMD4Ncp+CAQSwHorr3kaNcl5hmmpCTbWjs5b/oq
+giBjhTCNrx0qkdBbMdD5VV6E5JwRKZ5uFeDTlZ11XcfDbP2NuPQt/ueM8wl8TOEso0M3pHfiaNj
Reqj29j5LmKM58FzH+pDVLm0R4d4OU4oHY67AgPkhsg0iNYz3ufLtneMegu7/s4xXeDYLgnPR6NM
aehcJLrxxM7szcE6tV7WNIztwn6EzlQvv8+skvgF47g70LiQfnsIsDLqrSKqob6gq2nHy8Q4lVvZ
ICaBpusMe4XqwbhqsXNG6wYSJtmimqap2wwcORMdrerO9J+9IPG/Nb7LA8hVGTE4jHFrShEOUmvT
KzgWBSz7bl2wvdBnWmYaGKv954453cY3mL4TJeigX5/Hq4p33JNX+dPZsAHD4n8xiKGoXHEVG07U
b1o9cezoFNvS0DBgzuVyOpHR2H+NZ3O4jt2JhDqZEHgT1MkxTAb/OcgMmtyBreSdbJx2A7iWk0gw
9+K1KAbXOUNoW468ui2mVeiUDXnZPaVDarhiV0qrPlDb86sNNzewXnBAXztTMG+VVJyv8EF9ctPM
XEc15R/ojvLGqfFD4Xo+kBoar2Ze+QczaXiRku50tEKHpgAqzbPXKXoEy6Tm7Xp9aRubqXDrg++C
8eWcgIFe2dnHt/+J9jKE+y7HfuQPeqccZ96bVgIxN2s5g421SZfAs4brYabsMThsMuuZcxcsFDcT
4SZj5bCttm+N4hKO1MocAb7Aw8LtmwEvvoiiUO8MzUfMwiE5unOb71zmoR+KqOULRDG/kX1kvm1o
vNw4USo/ZsRmUNongs88jPWhBmh8k4zUu7MRij2qjvk8ltMEb0XwvWwiyx9Kh2Nf1cOjWzFPr3aU
apztO+Dx9bpPfERG0UxXhOYlm0EnOZ0INLmF3TvVIfEFaKyQqHLjUhdB+ULzL9qJJKaj6M0nXdcN
vvRUt7Rk0AATaxgAFm6TYbAv06oVV8i1HCIdZiZks0Pzyp8BsCzrzojyedvH/AWsGWME8d0zjPYG
c3I/GsvnC2EzGFA8aYpwzLpNu+WepNDO4GvMt/ytRpj7PbeNJuXKluV8NnOZQ2yjFdd0+XxWRBNf
Y+z3SL+K5i3z9fnc2qSCIUtbfiHstfvA1MZGQ2tfIymln6/gRo25Eh8hvMzbJLfrg8qXfy1a7pZ0
RxastNR07vlF0HZqJEXVYIiPoXTseJ20iUaSx7oPDcprqeizYhvgwC9BQHybpU1TKWY1WTO/lDzr
4oVWYo5qJjf7x9ZED6vl4B/70C9e/FCMN5Mf8ugYIY+wbXXMJofWP/qEqrwkqmmBsY9Q0KamTwXu
19SXdxwO+IZA2Wl/+UDdqYD9ISd5JDIvObfUH1q93N5MpMmxK7hNPWKTu4FAGyotPrjZJOGXbM7K
FyJdufTYNf0xbSf/0NJyJXDbM5qXmczSQNCRayt+TtdRcmLzfe0cNE2hjDh6tOXnXHgaBATc8qav
/aNo+eu0yAU+VCNPoN9Nmo5FDq6q7ttNULjT2aIFfi6z3n8GCIf6eXZneUpxUF4jCPCPTmrxyVtO
Ps46ZzvcCcuh+cFY1AMUzCoYkJ5fOqVDSwHVfL9KvJYzIfhrVomaxWsg4hLXumcgegwBZSnIWGgn
OZ3iY2R/JNcg3+FCMR5mDgTflF/yhXW7rMFaTKw8UouOUWBCvvJwfuxBmXpr5SmOfZ4b9l89l3My
4QZy/NgU0fhp7D2mUA0FeU0rFUh4SFnBm5EI2UvZ9PlVOLTdQyQG70vZ2/63CNDzsXdIhibpgDeT
HaGlmxw1BRcY7+rDAqF7jl3HQf2CaQoYG7kK/Toto2L63n7+b8jnw1R+/dc/Xr5kUY5Ls62jzy2u
ijcNxOHLv/5hLaraH7rn65f25bd/vnrJ+MkPLzh886At8j/5sd+UDlLirpDMz11MGpbjLC7i35M+
TQzOrONF40DL/3djxiIgNhmGs2LdxbLBR/gd8+P8E+ymxF4hGeUwav1bIoefpwo2w2/MHloyb5fC
Nf8wt52LuaJF1bm3WZ9mnCqisVsaCK0LgaZqPv1wY/5k8LaMKP5/O//tYowSF1+2tnGvvLX7f5h/
B85opyps7VtOc+UzxBkT7VGvnxJeb+6Fa4ryOeB9+6L7uN7/Ly5tCcooz0Uu/V7JEBlU4m0h7dtZ
j1xa14be9NOgxo1CCvBgAYcmOFLUIPw4C7Or/Pryy+jy528OhNRE0MAwhT/c+8ubODdzHafWbQpZ
j83B6Ft47G03l+jglsthKfYuf33NxQ30x4uyVGzSm1yJ3IF//+F252XudwHYNMxwufmQM8Q6mCRe
VlvF4O2pbEl9saNlB8XAUTe7kDLzi1s20Y6yi/tQucXiTgnAHjYg8PzNPM/2Cx54GIkkEwh5YmRB
EFIE+Ized7n0q0cSSK2/JdVYVg0nP9rEDtBghPP2u1mUN3i02NCH3UqIJE9Jl9q0D7tk3NIgQbsL
5e80Jk7z5dd37+ch8W9X1TweqJC4sH43jHYN4mQRZcjbWPbyAZ9LRB5WHn7jaInvXM4cAOxSXjmc
EgCXhl30F9OvPz6YyNsZ0jLfZ/ruvX9Weq3zpEpGCdfNHe+i5YEhFgNsZF/Jv5oK/8lCsaTmyVom
mQoxw88LxZ8UWBfRyVs70uOdQfZBssVIA6nSt6zmy5jY9gv2wOXppPqjoTTwsBgxtTcKY+Mv/tx/
9sUtgZPBgS9t/WHVmrZR6Er44rajlqhWNjDa4pJkAuoZfN76f/GQLPy1ZcgJyu0PIi9ZxiIyrN68
rRuI+oS7pEi9g7E4dUoUJ4IybUJcmuKEfYFVzjxIXnGaHRnTxNIYaPDMxclw+/EuqByIS4kw6f4l
i6O8XegoIUdPfitFMnr3fByOOiS8e/vrtfpuXP62WJXJ309QL6LUej+ujdPA7zxCdm99PxbVdlZ1
DWiWdYNKunyua4Z9qTew703cQPqjegMPMEWHPWk6x1OGrjhK7CrdzYCvKGt9wQSwFuPdrz/nn+yC
zOegcQj0OTZKnZ/XmUFmQg/0Qt46zPYRVC+3WZZ1+SyFLx+qtP6rlb28QX/aAjHusKp55wraE7Qr
310xawMzFrSXb4fSKk5OmzkvPhFV/IcVIwVfOKy15ZJkhpLBp5/Rx1i2B+Iw76MuiUoEBVP7xUJW
ehMLdgBh8BBEls3GuayJt1vU8NZwOf+G+rLpVXGapOVdUlET1AsA7gq+WHH69W3kG7z/WnwT/s4W
K9dE5PRexjF7iVYVxKRb5NNkITJQrtexMuLrykrJM8nJThzg7fTk5JmOkbqrqIfhvNVhQPJSyu8W
jJ1KDqAxQm+mDWrbz4HR7kO3wbMIrIB0JMN3iDsUFjRezq2D8VgaWdCuhSqwAA6Q3RwmBoq2HuIW
noy4GXDbZaHLvG0Jl7UhNN3SdA5PXpPFl4zPi6s+9gk48OB1ko1qpgA7kRNdy2JKP4ukkWu6UaRp
mLClgdCNffhlWshguE9CSreW9/cRpUBGl86Ky5tKwGAglxKw7oVdNGLtqNCrLnqljPKpy9N4WFu+
UvdaV6G4qOIgoSGJmqCnYRjUTOCBVdUrtzW9V2a3ZD/RKWuT/TzOLc7sDsXJwawQ7x98TLWXZsD5
k3kWxxZX63sYDdjXFdzx+tYYSH2/iJ02d2iamhjSIe2V5Y0KspSAMG2H/tqLB/3/2Duv5biVbE0/
ESbgEkDelkUVvViizA2CEiV47xJ4+vlQ6pmWShwydK6nI07H2R3aygKQuXKZ3zyFUc+1m7JH3Knn
yDkQQrc1pX64JTWQW9foZn5dKcQzZsKkCYVHtCEFJBAPFae5jSf+tcmlCw5OHjcaDylWLM6MJENG
JIUlzs1s4I5R4Q7X6251hCKUTNCryvpaU9IzIHiVeQSEK1beAZfz6HZIZffdw2wawRkz0pchbLOR
Fn3vxrSbXSPBZNcYjI+6Pn+GBhIfTawSGeh4eKJ0JS2EuG734HSDHX4Z5ddctuJzaUFpqp0qemGj
qB9hH9DbmqOw2Oj0s/A+huO5R9ldQJlyhzUbK9cRlwkKxcAE33S0wsvuxWZ+TIM8DqsTMxZKyqHw
2tQ+otgk85M7BChYswGyqXQ3ORQtLV11E6hioOLMsYKFnGmYoymw2QHHxow2njByzjdeasjqM6RQ
x+LnpgneFFM95d4OoUKSn1kg8ZymvGnGWeWVHnokQ0RwmwJ4dK0tYJ9qwk4tyD4qreWLTUHHpTBN
FoIGriSuYNcR75lNl1A5PPR9dsjc8XfgDVd9kU3LlwV9ykfFrVpb63rjQbEY2V5FiFkb+EhCdmyH
D4iAIbYwMzl+DpiN0rfTyVcRMSca5aN4RvRFPo2m2b60c2QfnN4h8NjEIVpWcps3EfpfNSfUw8vA
4q+fasGPo+Ior0jrgqfeoeeQTnl5lRapeap1sfyhMpPXXTcQnwlnePLCjs6BkRgd/0uIbFy7Av1s
3Jr60jiZXbxLdp7g5TQmNzUta4s/0URGcot7DyEGIJx3Hda5vJZuqT6YwuFSjzUi6jlGksN514Hg
EnXhCmPb57UvtVxeJcKZxmkRBexJOPi1OX6DyMrUoBdK0k4EPUQ83dfnXCTNMC27K3A49MNwMG77
mS8yoEZ5NZmjccJuVm6Z90wf+phyw8oS85QEJtdzp6pxMy3Z42Ty7o184qE4kqyURkP7EjPM/pAs
/x/2L/BhwoTsU08H8XwW+gZj0L5UGbdtLcP6CxrVZL8KcMaHc6Iww+WejnjtOc+mIr9P2oxPW/Nj
UIdJXpCEYCoZuxaWNvXiQxRxpJ0y0G/bBhtv+mvML9fm8muLsubiaUs40gG/SE90kvCypO8tjLT6
ghs9t/mUmlqzDeBRPjvtTE9ioIdSHuq24ZcP/DvDim7rpK5rrcGg8JzgoDAkt+mcdC+/ih8URnlp
icSmLRMT80EbH2gGAJXT2zf0YLzrKBdgkVyryfZcO/zAylRIsXhagfwmBkXBt0wDrk5PcjlCRiAS
tRtUs6RB3DzdphkfPHtsXzLZ8o2qwCO54x9laHABFzZyGBt0Cq1DGuXx3pgMEgPdsQ4OX/q2aC33
wOOUV9agOZCtemYDGgwuXG37uPHHkRu3W7anKDLjVseYF6dou+dvxl1ZIcedTP1NNaJDjoNRQA0I
ooRd20doRG49/nMNm4QNjC4m7wxkl3xiROGektTD5LDD3mNv0SHEYirKxDOa8LxThYcTJcASBNLM
Uh+muOCtZGksrx3wTwdQDhw4Z1mewZC3TpZTn+FB/iXBau1KhnxV0v3arwOLrxqbrbdh2ri8h5EU
lEZd8KRBGrxXU+g8Y+HLeaW3nMP9Ysi2CQUnnrYrv+S8E4FNGO3VGBMChEGOvjUaWEDktHXY3ksV
mOPBK5cPlNQ2ocksg9rPG0M+xZjv4gdGOdpuZ4fOKwMEgFTMo8L8cdIT8WwtZElT86gBYPZzNSnP
AHrc8JItExmnFXFeZhD+ZfXFCZF4WNfGqO7PT8hNRI7cOkSghgH8/lzwzqNWfZlRWDshEISBI6Fb
X42UtKe+5n9kBMNn6ZYsbfZGvtM5Yzxfm9Oss6OqTLMOlhfx7LOo5HVhehrSWWa+afqeSmZ5a4yQ
lNwko5HNG8DvHHqHp0jjwAad03FeiyiU1wz1OVbzBGPWtWZkzBD6gqLVhoQjlLyZg9ge0TFqG4Fx
JFse+Axqrh+imFHBdhzc2p/QJsu3QvaZ+KAaLEho/Nkp1o6NLp5ttUQW/rR8KpRO2Zr19iGtS+Z6
EqB+dswR38yxHYjM+tHQzZEtgusBPNJlX8XJOfYpE3J1GRoEeVKRcCnJ7Y56JcrZE+cX8CsWLYX7
kJjEhSWwovTDjXPeu3iwcSZVB5NZITL0DWh+8HDenzYGCntEx/o9mjx2ekMjc2lq6n3j2yIdjlE4
gan8tSHwLfF+VrTahzWiG40PPgLDBHxvn0OHXsp5VzCL4lDgv27cAnziINeFcZuIpduQtlpcrtHT
N/DgEQWRaJpTbe3WJk2IRjAMWAHApqoaGYqs4gbAVYNGfrufSISaDbWncWvYPAJbzjiJyCnxSchC
Tha6T9wwEFnwjq3YNH1SEu2t2LgTrglmNsJHDkEjA8+IbiRonyMgoCQMAxawObI/gbZc313CW7Lc
kWOzXEBMvENE3tZ4XBEUyrAZgh0sZUm46pdfmzCeU1urnlgXCVL1IUekC+AIpdqTVBOJnwh5bqDU
+K+NqMdqIA8bBdGVXGh+HAx0dfyuH4rozmgTvWRolRu3QE35FQIsIM5cMQZqG90I5ubUiZ4kJNRS
+aSPVbwvKrU8r4vhgY2F5mPvqfwOLg/E90BbpzJpfZHVOlolRPYR8sDP0GpL8AF1sLLQuk/XQ4k2
kaW4HhOm3vV6isEXdLQ8JRnK5DylycR7jis+aCnGWWGKlFg7vfCmYRXWZbdiyJkf4qpKbhiGG8aa
WzM/UNkrH83hYlpnVQVio0ReWaqMfMExFcGQJDNYMS7CP16pttOP9RL8j8hW0YiUUURO1dslFQxs
xINWmnRh6BT1oHeDUXsME5PPA6iC/0alhZdkiZlhoK6P9OJHqPrNEvzrgRwnX1K6OvLUB0AmZHhM
RNY9XiRX50I5zYiyoyU5qjICiMj8gJ8XzC7NJrMkP7CDkV+qzpdJEBG3ZxGX6Y+SHJPbRVZymyx3
uIF59VPgBeygc2EY6vgXHZkqoRLedMS0Ep2GAM8T1cA6LuU1wFv7MFbSuA2VkE+G1rUv5jx5G/zG
7QM1GN+1cEzuT6Rb2K15SLSacZw/Day8PsdNmaQER8mFiYBDwZnIlnyzCqR3nYMLyTdBRftqhPT5
Jc0Yg5Qdca+pOUIdU4I9crPpUSuxPgqXyDzPuB2hORtFvok/3Q97cPT2Cs9FTlynQf0UaS2vtV8Z
Rk2PRONmzjGBtQ8u8xT3QMGmOh8SDn6zzNv3Zdf26OuYpket0olnHazkyfMMWnbIGIMmCnReiZto
XBtBYFJJ5A4XizNMzimiY72ZAXgdGOBwHuZwCQfnlFno+U8nRD+aLlmu70KAVN4WYVpzx8rRKWp6
9VFFjOuBS8YfK9j8m5YTQnSm2pl3XIg9vGUQ4lhy2JV232jwQbBHlQWSlI2lfDMU2ve+ssRLAiX9
B2bIw09wPy3pNvrqK/IqrIcq1IAMkrJ9RnPls83PbXCODYAo1TXQ6W1dqhqYgYpv42WMGCZO/Cmv
uvDRIcdX6z7Ppk3aCn0/eWK6lVaFnq/mpt9L3L/wby8QLCdTLmR4PxcaFWumhyOc2A4ln1UjB+fL
ua3w/yc870x44OEsPeX/N5X15jkufvw+3PnPv/Gf4Y7DbMdyhM0Mh1qGCSMMkf8Md1wDiVpaXbh2
0IOnvfjfAY/7v2xUY4Bg/B8dmP8OeCC4Iq4Bx0unKWsvBNd/UOL6swMmoFK5dL/4e0iVJJYSC33l
tyHAJC2cF6aFIxpsaTeI6QYd5d/exv2vMcbvfKq/l4DGKwRzpIXbyLzhzyUgCS3wHzn7iLvgY4ns
xVSg1sIr/b/v/H+wyvIrfnsQhOEVnpms4hZfW+1rqX504p9az8u7+vNBLnr+blzagDNZop/xi3nA
Vbuev739FAws/uyCsopnQMiExrN0bA3jklbcZhqqtQPFLo6dzfeSAcC4ZeRrbkEuzb4IkO1Fh4tG
U9YDwmj1fqdaS20RoUdMQg3jPq6a5smMZoubdm6TDaISD6bIB4H3lRqvJT7U4L8afWN1atgZQ4Ch
kG6Cr3HzPjlNC1jaTdzkqnUGCBRl9RVpSgRPvRbBXmPwewxskW6naQZkwcEE2o1uuMEnJF/7Enec
pgQy1gP40DP3SvdmBwYQhgGrSEzRjV5rDhN6upKzTh0RaQJ9zDBH3CZVXbaZ+7S/7mU+f4w7/jGq
MEVK3Pq7Y+YubLKcIkyrh02LvfbeNttrOzW7j6qY7AckFgwSDzdDGaVJALKgKp/1hr1rKc1WrqoM
HLBRKkksG0kHkHofLLfjL2Hkf+3OCV5oeDNNINpb4yZAq9kvEyCDYdlHD0EyjN9lhxrpMFs9aD7s
cdc0T1kvnvGzd4LPUQVXd5NT1X+EfoZozzgbP5pGadlatHb3U6MtgYdxknVP0oy9CKItY85h0PmL
lhcMT/emBIjZrWDeoE88CWeTV0F3jbuH1a3o9uTbAAFy+p4tmp4o1rqImyTaLVIbP7pWwxpt6vqX
ZFYf7dn8IRHQ+aJMVPjtXos/dynGFPoEtJ/OS43F0Gj/WDBPchWN9ewnta5WCfQtBTBs7p56nb8v
V/yORLnpMZeifWLA5K5JjNyr3OsjMBdjsLUYf+17bKxQ7jeTQ1hYw0Y2VbMbYajtSxN7+BUj73At
gynYeooacY31W3ikcWD6wOVYwJyddV0nGFnlXuonIhke03LuHztU6EETYqoE0C0WDxmNyZVOyXNk
JoZyp4YiFUWxfedJXicdXwOTetD6G5PYeduNMkkOCUScXZWh3IYHLeMqNC/Au1Dth9CvYv0xKZgS
rhCJEHekRck+CkN9b9hN8C1g8oTHiqkFt+YoYRGkEaSllW0U/QrxbvtuihpzM4UT/cc5tI9T1dR0
TUDDGPk8HBxZOfeBZmn7toqse9fIw2uq1qcgr0HA0HFDXpYBqQ/tyjEPdYMvN+UoNgJoXQXfOjhm
+NyPJM6W1lPQQfj5adNh+AmAuVu3CKReNRgDfYukjhNyX9uIMnuejnIqGXmAoB/vI8C2YcMU8iWD
jZOs20FlW7rOum+0xuTnnjSvSVrsE+iweRtMHsU5PVlj77lFsxejPX72zGD4ijRJ9KDnte4P+Amg
ZdMrgFtuPADFB8f+3UjxTKlxobrtLTU+N5ZV3BR9KO+UMVsnYF6whtoWEKGqDXE1muF0j7vZTBnU
ePckrcUzc4LxoZmW9kUSdbeqrZ1rQwGYamsprtIKnJ1R48+OBrfzWGGBil/WNPtgqDxM23WTBWoK
tmiVmUH30JBkoj2iB6m7KkBbbGB4lrshGPWfNjI0+SrKyugRr8fkRcxO6xsDQSjVcgrLwICehow7
at9Vu+9KuhqbtorbDbeKve11LNez0UG5Oirr6DSD6QlRlUIXnUMTOZtEohkJaWw+8mvDk2mU8xGD
0PoKdggVjgjiep04hY7gbJ7Ig0fGsCuTxIHzFcqDaCUoONBi20oPtX0TpTFSNI7FngAHDpBRYsat
T01z+IUbjGpv2gV0qLbYudO9MvVMoqPT8R5UOSMSDA7uvsia+hueDB1hbEgfMpwk9lGiT2umKPXX
OJbztmQc4qMLO/xAZHLemfCKr86ouBGFJI+mHfinNi2Nb51bQCnLQGf9bOlgPE24nd0xmAbSuIDo
zMIRGAgxE4EXnAM3Fu6Cc0SzovVgLgxeWk5b9vBZSx2nRSNcuDfLkrC7wM6Csx1wdjNBZ1nZAp1O
u/aTq7p2A7qJP2o3lraNsfu5OQM28Y03P4D7B9xkR+XTEOf5vpN9sQdzGWzjGV24RFuMSGomALpa
4Fxl/8wYsDswUPfQn+kTsfGCVPeTMU0Jns1wK6EVgEeMMBKh3RXfOKkagOF16JbBh1J+CXsDF3fg
pgdgIBhhAC7Oj0lrgPZyS3RvFxbE7HdU5+B1cfb2ZQwY1FCt/vnMxYuRCMtXZ8EOUXnF3h0dyv65
6lkW14ngqGavXRkNkMXSrbVTFTt09TXFp/csJEdLmqqHPrOilzPmL13wiHnjiKsAKyFgaC1CFXU4
LKdf8+hDiuZgVVr6NMpY7ouidh5lvTjHoRAOy4UJS3hGCC+XXSvhuJwn9qMDntcyAMeVEsJNBGr4
3momm943HU4wI/OREW16nNnRa2j6OLjYevEj4Q4/wOxrT+gmzU9spPDeibTwrkt6+VgkEHUcG3mQ
uKmKvcdM9XNHQtqt+tgMrrOxCKdf2D4z0NR916Xzw6zpw4+hCLSPuVsFYHQxb994mvOf75R2Kvg5
6fxYZVvjTj+DLWIopCEmH/foPsMdoYzbakLFX4q+9RBuGxQjnF58svrJ/jQ0mv0pEdV0y03l7KI6
0jZTHGsb0KOgxIOgvGHm2XygF1psTRriWwwOFC1c3nonwLKUrefdmYuWN9aPXHxtcoWRp7GqS7RI
ix4RenQN9R1WqfqVC0tmC8KnO+RTZ20r1OYBBOs2h9iV07EHKXnHHDE8MCGFWHPeyzOqcg9Ss+lP
UKFczXSBbrFDDLYQVUKkmBHHX4HsS+/0OskPDtyBzzIIhn0X6LZA3IvLUJ9tPv+MJA3G9GBKayDO
IZaROcqtoDbFbCzAU0it6aRuCQqI81VBcec284yxsUDJGU7j9KTD3kYnaaaBP+PNAqwamECGxxUG
BG5yh8a2tust4M12n4MSpwV0b7gjyPGmUne123J1u1GBmRX9TGRb5txNN4jlBvHKMyJwViobDrKB
iLYK7BaKU4c417pwi/LUozWw6wk45EBQfq6Yd3d3NcBwgO0O/tigMfCVNaojnojjDkEXRoN1Wmin
VtfBUGIKQcZsYxGXYY+JBFrL0ewEelnzWX3DG2qmxdUAztQosqdl+LjNK7DHloyNb2e6q51DYbTH
Uf+GVjoQWRWXzL7xuDyiEN5tY/Q/jjO0u4cmdd2jM9rT1uumBqV6EzCsNQ1QoXPpDAoFbbjamH1a
84PuQHjBSCMDHRzwDyfceMNuJcHuXvedhjUUf/Q+sejVYOCAkXCLd8A+Zth+wLXa2Y81XSqe6M6N
lLkG3hrdGjODgXUf54+mSjEM9SClzdXZk7PsGppfk/l1KiYv4W6oHzH6QQ4hjbUrOFH3fTW5qHbB
NBkT7YdXM+837OKz1UN2yhLcfHmMdEMbjMgpwrbZeV4zbjHeNfdBADOoIC+5gt7dIABQoxBIhhhB
RRI0TKPp3gRtuk5bJ//uFtp3UN13ymwRG1NjvuRt9cGL0Dp35/g0ltG8bjwt9IlWe17EgIidXWxC
mJownbzP6Pc1a6SIS/hXbc3YfFycBS0oJbqHr3chKqQt3YrnLSphk1WZyEcCNADiHtxUNPLXmMsW
WyfO0O4oraFHjDiJvob9IHywVJC5p14NW+XN5WOF8hE9lVBnSpqb0VWUONV9UaRMhsO0WHGr51/g
6kO3Glw0AAyI0Bi+VumhH6b5aMYy3eN00PtalAq1KcPaZrzUzPcJOnyPFe5YWzieLgwv1eQbZ3ac
rXIRTAyaKNpn+HHshjqlJNez+BgmuMGiLVl/k82cXxlSs0DuZ0LS7S5Da4QE1Ks0vWqLb6T3xhfl
FN6NIftOXzemKB+GOkGM2iz7kbYlEz8AE3KfaFG76zxIr2ae66AypLZYyzd8xY0KxDc7smu0+TDA
u7ONLnkoRIdiYzw1X5yG/ApUQWTeToi60jiM3CMj9OITSDE9wPO8t5705YZ0jLwCHOJFviqK/iqK
PfsmAkbxqegs4SP7Nh4xhxyuRm1Kv3d2Apk0Yua1KvsuuB8Q6XzJW6wGB8ewn6HLlCZHBPk5Aynl
a9R7UblHEQo4+1DY1Lot6pkTgrYfrcLNtzA4DZgKwxDdltr0Ix1c77NZuovI5+ytwzCbd9Dxk3WC
JumKHG+GLBPlcPJ6jAk2ztQQyZIs8ZNqyFaM53D7zbhtjxNVBUIh1ozCNU27tpo3bZyftAzmUYHl
fUiUX9G4ASwmmT6mRvWpsRJrkzog9+EFunW/EWTG+1I6+Qkz4vK6mzPzgHkxqdQ2zGHAMo5LK6/X
fKsdtdynXHK0H1OXwQkecXwzmOQ/dRq+LNSd3p4qZlyZWhx8BO/eXXMpZvekismzMqzyY1Kn9eeq
r5S7rzQBDSkOmFjth3JxCcDZAy9brSsebMsYC/RFQaGnjYNKYd+MyXEw+x/h6MHSor1zDUKkuLLI
bL8XFdCLCQ/PjaOlt3M5gOhpLS3bd5DK1/B+ymtgCliPybrqbuFphrf4kzurxM6SlkGqqKF0OygQ
NPjZcf5fABhiQs6dJle9a2IIF3TzEW+D/j7VaTLYyEc9qaa1uLhQIzeKPHhogWx9Q47wqw226Ks9
qce5h7G/c0HWb5g2GwgJz0T2SltULvvsEa3ksVujANB8EHrW5mts3XdO1Ou7eRh6GACR7Wteae8j
VN+vzRSjl1Xa9Ih9gwLx8QgJv0EyaGHF6eWKUVUIrVC5J0od7hM0KL4GOe4ZVSg/2coer/TKMPf8
LSaySHX3aMf2i5t5GDWX3fQtnINhN6TQm3lvU3Ij5TzuhwbtR4kq4b5epgD0V3gpgJQ+uUNkn+Kh
bKDNxRzYRkarsSCnwgtZ7oQm9p0VmffUIE8E5PROVbNzrGuYYN3YOdsqK4LnchlgZFAffA181K0D
OqRYCY0qxmzIblUr6OwPY/GhmNuQDFd7yPO8O3TelD8Esebcu7UebpzEMW+NaLB+GiHuhWUyVtum
j8NjgKnmXSFUdJ2JVDzaFeR1QJDIAfdfkgJ99yileU+43Q6VVaHgr3TQiL2DGyS6MWWXlvtpsLLH
joi76lVRMfcc9H2T9aewx+FDuboDXKmc9ozmvkaycP0kjLixSASPBFLNzy05XJPKucfRBp7UhnVK
/lsWP/suGeJN1lXfLORdvrRe18PzDNES+VbqSaLTqe+DKwbIyYZuCfOcsDVPvampaa1JoL+3cdaE
JqLWda1WVlNWYlcXaqY0ixoIlFOTnYpcFuDGJrmPENjeVLSwTghd/FAKGQkdQXgYh1Zz1Ofxuyuo
GkRm5niLC4qkGs7obECQymOJf3dr+BpQlCPnX3x2c+cphzO9tgOsW8kKsw3tju+tGcPVQ3weIiv3
6zSOfq+cZ5cSBKjFtWj0B3Ioh84ZbSKt94zvtszGK7sU1tapLRopKS6oYWCAK9CCnxF4+HuMFcyH
VsmftbK1p5Cj99EEoBhtkNOsYUA1SBC3nrGYcYlyr0vVgy9ADBr/BAxekJ15B3T8dxcUiUZXOBLs
reGZl0ptjkLHetA8MBv2gtrTaMbFVcmerPfU4/k/oamXnuuyGhQM3UPNHUbFn81jVwnVoWLa+FMZ
QsNDCYcZM0PbLKyyzdsd3r+64SyFoCDQBGHC9Lg0hNNbp6L9aPBgkReeVGJzZSSDcaN3Q/oOqwDW
yG/o1l9PBQkEjUok2ljxol9tpEKfMouliqbor9MM+KLTJKScbN5VHap8j5/j9K9Ncp7PNCzDog8n
IApcLCriAOcMbK98sIhihew3t3RDy46a1H7n+f7E4P96Pg40IwwXgortXODSU4L/XFVa4+dTZIFE
YzpPcPOSQ2rS0cQep76vJoMOYjZHN32m1DvrL7viv6yN/6xvWcxvHG/R6r/YNVNoV5Gehq3v5RoN
eMacK6ceP769X/7E8v5axDLZmItyIaJb5p9bUxlcF500G7/raN26Y0QWEbpWcJuZ+uzPE1POoceD
FbnkZvf20q/tH8t0UPUG+rmQgP5cWgpbGaFpNUuTZEJlQOAImiyNYFfTceSCTS2gNnTB9u1lXzv6
0DjIzfmyJvqufy5rtdIp3Zhl3TrJUNMfPgLFnf3QYddKl/379nKvHUiLGIN44WKAc0mDQbhZN2B8
sxwT6FNt1nuKf7WtcZl+J8r8JZu2hBlLChOAuyDQXMLN5Tz/51s6cz9+b897cwr6Fwxt1UoDUoQi
Foxmx5v15yhYmkkjrfi3H/e1TYu1JSwn2wKU9Nehca1uRu0JAIQb2g8Cx72bKiTEvr3Kay+VT7iM
r0DfmZf6qTaqY72dE3rOUQBgN6MIOSlUy5Pqne/32gPZC3PKtujKI0P553ZJFRLsE3LfoPvqbIM6
wlfHK99hpr23xkVQiwVWLlzUjY9MDsacSIt7+cPbb+zVzcH+g7nHVhSQ4P58DikTb2zMrvErcteb
sNfNo4nrETacY/w50ogwkNB1/AYZs1TA5Q5INL4X0f4+enDgcFNFlUKXtC4uIpoNlMNa+DV+CCoQ
rF/nrPHdra8zLYHbXcli8/ZD//1eWQ93Vkkehdru5dmrKau8CVk3P4f7cmU704MbGe47qcTfe9GC
VSMMQWvXRArlIoKCHO2wnctqH0fjft1WGAygGnXtJswy3n6cV1biITw4JY6Bcp17sU1kG8fzNHml
T2iDl661VxiYnqomeXp7nVc+k+Hapm7wrYhcZ9PZ32bdTpWnlmzc0p8xtGiyZ83L1klaLJT649sr
mX/fsdYfS13csfSonEWbCzG4QdK4L+xwlY/uL7NKRPeGYv44CfIxWHpBs6ltSFJ6A+vYoWTddrPZ
bROmv3tIgS0DOosGOGYH6VF4SXXsLIWU0BjNNwEg5g92jT3DWXKCuqrbZibuqUd3yNTtWPZ0sCeU
Wde02ZIVIvjzOw+6kHYvLnNucOZ6IMBgz4rLyw4/dc2SRc87baPuk8wL/dYYvA+T48TP+dy7RzDU
zE8zuOaAJHcu/gfMrJ2Dg/JbLJjMGnWVIhfzMQ8ojDo8JYoy/1CN3g1Q/hnaRlpv23Sk3xhbLgKC
iYXSxljCwh9M96glWr9WdmkDjprHTdehwsg6yYYWnnud2mAZkhRbHEW83shwXM9uqDY4mWZy64Wm
Rt04t/o3d6Huv70DXtlr4LVgKMMq9kj5lyTht70WYL5B9jHxXhKtvR4MCWJ5KJQfJg0ySFj6jv7b
C/6d8FjYFUFqRqNtYTFdHFdUp4ZhrPLSl14HlTMu820dNt21Y1XdPvDC7jqi9XqCixi+Q5x65fiS
zekORGegHn/VHE04DVrUO4VPm2v6PDh4I9bMe05IESc//vkhAXgQjeh18H+XqSNzUerNqS98XImY
iiDZ1dCu7dEFgW5yAAAWe+uWATs+aiZN+7cXf+U5F8oshOmzF6B5cdO4+GTSdioKyAIggeuxOIWL
mi/g9+af0wA4h5wnF4SRK6Ho/rl56AG1IdKgmY+o3KdpKsaN6QGNbjLL+udtSroBYApgFNXHX4rA
VVuWfTj0GbiCftzMDo1XK7kbR+HsaDy9/OsLtOHAAbOGO80U+fLaCrFCKuys5rGgm/laNRUlM0Rm
Om1mpe9plv99AFmM1IbUQDDQvry+arAhkQMY0J81+xRZ2icECF8SZZ2QfHgnB1nO8p8FDUtRljo8
GtfLJakYFlA8FRpADIQntxa9UlkK7HuzYV7Ni15bZr6Xjb6+Ig4PwNiWQ3d5vdiV6yE5m/q1MRzB
yj6XYImtJq3hXDgZhtDmO4Tev/e+rZN4L96Tkqvz8ooW6Omjr+qmvtb3xykbfNtO72JHf2eZvxOb
ZRlKQwjTZB+XDQWQ3CqO+av9QTMXyd/CPlSKG/Htffh3qGQVcKNYu5nwCi95vWigqQLOReo3Fh0t
Oj2ohvQ/3cJ5SOqOgTqu7xYkp7cXvdANWCpSVqWlAOVeoL19Kb4d5DMaTxHNBCkmuuAZWOx1UaUI
CUmm9PhatSuIwwhJIYkI29GdJdS1Vnf3narDQ8YceTeSFs2TqD8gtYJ+dFWRHCxpQb3ITAGLcz5K
ExlvNB/FO7/+1Q+DtDs7DnaOfflhgCREGZONzKc7XWyTSSZHTdHnfPsdvbrLwFXSUpImqMGLOyy3
a66RsMz8onMzWFWDr6cAm93uvazllQOL9gC5LXHIoYb9M74KN7OKqi4IRAq7uFQLooNydLV7+2le
i0AYvtKGw6mVZsfyTn9LAWaMKVTYayngITTLBpdrColHVJPa7BuKTP+eRVMzCgwj+NC4YFxWqDAa
nAHAVUrtGLws766JnYe8CT69/VSvHR7cbB0XSC6FweU2Vm1aGHPJ4cli4d2nk8GILRAvDFvKXRMK
7/uY4aFAt7B956p6LeYBJEV2gwzn76KH1qkeWfaQwkU077pCQyMr3FXJEwSKR8L1O6u9tuEpe0w2
O5XlX00y5K6BkCJO61dhle5zR7gPo4nu5tsv80Ji4FdQ4CW6JteRBcz54qaXPZQnQcvd9/pRf4oj
vdxpII5XQWINGbM5d/yYGF657stuuKunIr0VmWvtIw9M54xMIYPlpNoYNSrCKHCBx+j75L3q1nj1
zbuLNo7OVyf/+XMjN0GrYzKXc9somzFBVz8bncTq1fLaQ+x6n3pFd8KtIoYYhRU/pePQHgJZfo1A
dMzOoq855vaBLpJcOZNWrWTEc7z9Il85a8y0SUFd10I9+vJCzFx+Q6xIt8difqlmo9vpFWDKIAO/
Mj2/vdYrr8M4Y4zF0qgl6/7zdZjoi+uY5pLaB8aLTsNhkwv9uZ2ywndlkSDD53TvZBivHDr8xg2E
Ram2eMiLbTI02aSasOTxEvE5ikP01tGpY44BfwGOYP2xbsZ6Axpj8P/9WQ2DLiYdKRLEy0hp4zUc
N15b+tRqt6g4NnSlswe68SHapeETFIvwndz3tS9JykYbwDSofi8tbzgryHzadelreghpyhhAJRRW
9zBCqPNzh0L67Sd85c7hAcmh0IWhX3s+ob9F6Txo7CguebVqCJlc2Fjs6XVZbywQsf+TpST6xp5D
woghy58bp3KxccsLSjRDlsU99DH0ON3OuYp7w3gnfL22RxHMYHvahJW/2t8DkLhipjPgt3l/Qrf9
hxA1hpx8vzisHzwUJP65OCKAQbpATMhkUnN5AA3FrM1s58KfzRmMnzt+aPpmU9EHeGehVwIzLXUc
XFGzwR1ILt/zt+9Vzegx6gElYBaKT6FSe2+uT+9sCYu/4yKh/2ONi+Mm8cFLcEbkPKPOv7LjuDq2
ohUfzB5VjCAbW94ihDgxNtVm4d5+LMfGBSzErLb3mpTmXw8asoiZ9NoKBJxlGFv8/DI/trrmONt2
9GDKUK2LCQ2+oNKLfY7iAUxzb1oDgw0OkfAYUugQ5oSx+FUkjO8/zDIHbFUYKKaXedvs9QFb9LOl
zF2S6WSH5SL/m8bNXYSw095o2umQIQl6O/xv9s5kOW4ky6JfhDQMjmkbiDk4BsVxA6OYEmbAMcPx
9X3AzKqWKHXSqte1KatUJhUMDO7P37v3XCsuLgetGfYQTr5gsmsDrnC2LegVNasYoeAecSIx5OMs
N2Ef24iFs/GiEhbRoJhkt/98eX/3bLKLuwbPibXk0P18B4Hb151yeDaRCb/WU/eKBfhaWNrWKiqw
qWP1/3jtqLkp9mjf/8p8IsK3rK1Ilfuujpee09VoZoexKz8pXn9t+S2ZdrhgqU1o0/kfvhZI+dhq
JuIZEZHfSpk0aAa9tzq7Zwh9iSCFoFfzJWrKT45M1u8/ly4tV5TD9ceCzJcEncjRpidSqfkpnoi9
9xqh3WJ00fMNmhnOOLVdQJzOBmJ+MQgz3C5ZyGtzOIAZWdnpqB0svde2RifKIEQYygMnd8w7mWD7
6VfbGDio49QMCB2I1n5nOPRe3HkNXODOzCA1e7Ndr2BbClghMwDGlN8HuLf8hufDuEm9fN6RbFNv
cXTx5xhHg7jt0o0LnfqhtuzPbsXv1nSHiEH4KLQZrCVd/Mc1ItFbuyizodwTEaOYLq3UqO8yoxs+
ebJ+txb98DkfC6NBDkVeEWyy9+xcx/Hu9EBq4s0/vy6/2xABtXFaNZm3/UIl0mtTVjXBHHuGTl6g
Fiilbj5WWYymvlWfmM5++2H0Kzmz+LjbPh4inIbFqMx5V7TYKTiJzjvyHLYoQNFSd5/h+363EDi0
/dktsOz9UvzmsF2cFBXVvkmbW7N1nQAW/mOVN9+6BM1C7HxyJY3fPRfLzJsDLBIC2IE/PxdzK3Ou
L3VaOuXw4mfTIIO4GQ8mvXjwGOArhKxh+krfOid6GO9VhKkhInbx0ou8bOtXQt27WIKwZ4QRoST/
fKd/++uxINJGon/rf1wYxylsCWKmzBlr+c3yo4fYHO5yCx3J/+NzXI+TIsffxTL382VoB03BWnCK
PSdRSTeney2VNq6rvvlkI/1d2bqEF9JiWf7H/fAeWqOPgwPt5b7DMxK3SFzH8rYhCzr1jOu8qr8U
uf9Jo+J3D/APH/mxYE1nkaPR04u9Nk67qK+++SJH3O4cm2r45Mxh/e75XaJW6UWDP6KX9PN17EZP
yHlyC5YZU72QtP2d1CcnIOzAC2jfRsFCgA4KVuRNUi9eA81YlJkNoj/CKx4FTZXHsCa3pDdxLOBq
w2cUd81dNPsEPJZ5Tnxx620nd/QePJtVk8iSFsGU1k5r4sNpbVbmd300sbNAvJ6k/pJW/RVSHLnp
KPkSbxhXBanym75Q5p1EdM1mb9qfPE2/uwr+4tSlxcFz+3EAm+eybUv8CfuZbPq5m41Vp4tHW9on
eqaPXaLGTz7wd7d4cWYhlHFptn687DIFpAbtp9gnNVTpQfaN3L7zpy3gUeGqXTTp//zCvGsnPhSE
KGZMviCvC8fMD3c60hRp2l5e7J1i9oN47J07ERtDUFrKPsVVnj+QeANpWqCcfLcLeDGw7aKfiR9B
0rfTRsKTPrkMv7nuFBuLBZr4X44Ty8v3QyHsO8qDdG/l+wzgwSZulHNZxpSNKq3axxQGyR5d5NdP
LsSv4z6BKoGuz7Jqg18wf/5QiAqzDAfe6HYOkbJakdgiSLW2bQhJhFRNa8WTgnLSJugqauJAMZPB
eSE+C5u0frNWLr5w5BgLZlJ8bBXqSCOcoksKfMupxWhk8TUkFnBztNWlfeLKuIcuRY2MxQrAVE4T
2dAK5qgQ44eb0Rr1rVIhQHGxJAh3s/5EWVzu4pFHCsdUtkXUZ++Q5H9TiLFZsoeNcNJ4g1ZYrBut
XKh+tbuZ4t5de9HJrDLrLrPK6ZrXFhOa4kV4jL3eP+a6+6wT+/LJwfx3358JGB50d5nQf2wc0W5L
87az+P4kpd8RRIcW1ZmSx8TQ4u0/3/TffRTCa7QGuNHZNj7smgydSJxdtiVi5uK1rL3FzTfJDOhm
Hj3+82e937ePb9rS/bU4vbINfjz+l5qT9xBqOBwMxC2sOgbGmL1mYexCWQ2k6OXGyaj08KabzPHK
NLXo1uw0yPRWLneSvPvD+y/0X3zDJ/gGXi6TY/G/UQK/ALpvvpV4F/PhtUzon337N9n77x/8m+Lg
ij84CSFw5VVlzeb//Zvi4Ol/2EtjiRqd0xIsbtaSf3G6zT/4I4cutknxziJH4fA3p9vy/+CBpwtE
/CPkBbRn/wnG4a929U/PGyNzptfL5M6l+fOR+ZkXFkw3qau97ZaZWvcG0eQYDUbrygynyt/4ZmpY
kP6SptgiCq/9ldniJxVL/Md2pu2WBnGu8wDWbZeDCvBtR1u1jIrXjY/HpQtJpXHUqVCGvhZJD55o
JvKSeB2tJcLOUIKhaw6sXrNaIlFcerqEncWIQTdNGs87qErVAwf55kikBHYlZkycmub5PjQ1C9Yr
4O9N4+syJb+jqO+irJk49dR+7a2NSXfpkVsO0WNGxWmhYhUZV7r0CWzr0SX3cblPMBB90wwjehvh
ZV9O/MyTrYixI47GF1Dp8jBdGW4LWpTGa4s3yI7MTaWN9o3vRflpsPz0Oqni7nIYW21nhOmMNYvU
LpA4w0S9F2YEb6LUxdCfRbh2xn6lNSjsIa356BJlSBxeblv3XsNlNuC0LPajWD+WTtRvSpb/vYk7
c2P6XHm8AMaRqLbipiOiFOPvXNzqc17dpHRdruPQEyZVVFYeOaZjkvfIaszG2N2ivCVxq/GKy9Il
3n2jXAePRZNJ0ppKW3+kV9FdEDP01NpRd8e0hvgvDzIGsjjAVXJV9F62KxvsOVOemZgJLG9XkIAy
BQP5BZeiypK1svQsQB0wX9r20J5dByvZxnFC+2hp2KhbMlY2KPvO7nAD76Bct6OoyRjToUv1GL3a
yrSuDJDxz4aS0X1TWNP10KZ24BcODnWvC+wi01Zg3osdu0x+9PMmvPAJGL619U5cZsJ8TEYBV6LS
M6KeerUt6yi8U71dbxzN5kyBsVevjC7IsjQ9h6RIXoOod9chpotD5FS7LLU8XKnjGODtIHptrool
wqMK96kf2qRGFUSfjeObEfrathL0+1YUOcaZhzxakXxWH9rZKFZz7lsbw7OJWURIuXZK+7biaQso
Y06s2/Gq8GpnjYvqaS4Se0X9rG1j5KxEiXn8li0A3KiPwpXRG8kxH2LtiZIsOsg8rs82wIxLBYX0
6HptvcaLpTAdT0NA2za+soaa54bHdlxNkIR2UsXhqi/jZJ3qIswC6fT2xjOAVqmxs1dDlIgq2jmi
UJFx74X5lGwx9I4WqWbGLJweul0cxd55RFUPdIEYOq+/M83MHu/slgpJrOw6i40HqGlRutFBrEHw
0N3bzovD+HESM3nXPSoOcFN+hWU5dxJcjsaQXPnYHB99XBY6RkGiZIMmtOJmI4xKs58YB5fpYaxM
wHh5Nad8GyjJArJrRQvvbmBAPt51WdITvxZFWmpdZRaE5WfM381crueBID2i4e0WCpN0/Hk9tObE
yobdJHoujCRC9EZ4CPdHqwoez7FS+mZSs0GeFnlDfH2POXO0ztOSSMO6sLos2qvOE8/kmIzdm5v5
RuY8c438fgAWAj846UrLJisyzNCmYcAPswPANUAsq1jHk/alzHqH3Kwa1TS1VmOGvFjGtPnvTv2+
q362UzNs4mzwf+/Ul69Eqb2Wf/60S//1Q//ape0/cNAtEi4Q4ojHdI5c/2It+X/QJ0AhjIhmmchT
HP69SS87MY0iMOBiabIhOvvfTdr9g1M/jVDGosLl3Gr9J5v0x/OevwyzFxU/oxOKhY/1Z6mDzoGu
DKIoMuyZNHlRXqC8UvfF8upHkf0ZsGgpaH+sCfhAIOAeZ0t+819nvx3SjE6bHbWfJhpTujbgwnfG
z6IIlubHh0/BOre4TMgiYWjy4UzZoakZajueeLfwJY/mVN9mFWtB4gq50bUxXxktwyhRp9q5JVLj
/odn4OavD/oJL+V/PMst7R9KbETLnsk9/tiw7ntF8pByu32VO/lEFm08b6kngJYgabyYzLgBsot7
cIdjkURZSWDpEgia0NNo0UPdkalqAG0j+ZD2dgxFLjLY9715zLbKzPhv8WlDf7RyDZrzJMF4wPxo
yRvCHKe+MwPIzlbqEaqLcXgfC2gloevUpJ/a9RPcD7VbkriTlYwMxWyi5hSyYjQ6U95MxhfU8/Kq
IU3yC1Ci6aazoDqNTitfwagmOvvpoL7HLd9oKPPhIe9LtWvTqbwIDeBCeOg9I2CJLS/iUGdQnSj5
TGXAD44TgNmW6CQYtk549gcCollBJfxILhVUzYhYCSOg1hDWziQHnWAkt4UyhZH8i6rADLpTFV/b
eCgZoPjIwfF744R1k+a2ygdw3MNip0w7l2xCBw3vDMmOkUGxcNWT5pj1Zn1L9Fl4RDw77cD25Yca
QfDGsLrhISXT8KFOZ+eOu2Nu0K4SJ26C8uydqX5T1cj74NKXSMZS3WMxqZ57APsSs36p750FhOWO
ZERZXQlF19CSfV3H6vuIk/1eb/gRpTftI6UL8OgJiiLueuNLT97rY9qN5cVUgVcsCtoOa0C1Il1B
3tWKldPPOmahXG5aCUBxLAcqxNrMztKJ8aWSOA6wqGreRMg/RhlS/gDM5BztyXHFFir6+m1qeZ09
rVM7J+nzQ+Vxc5ULJHLqU4i9rYUVa6M7bX6Q4COYMZDF7JIDS30cZucIsT25t3F9JZAqEy8dDd8y
XRHwDhKDKZeus2gY1Usy1cMDwoT50q8H/iorVjtZcMo0Jr6xDzX3KsyWl12r7Wst0gfMF3wXR6QA
fP24CAaMv8VqiMvhm5ElaqcSU1xHgjsRIvNeiVKqdUESI5Rn2XNdM5Lc3Ny3gwmXJLnHE2lsmKDD
8OzoYf2GTGy+LMdY3ZsceXeEFIMLaOpsS6xt96eeQn1NyKZax4vr2tC4tm3EfUz75VIvj2heEg+o
Gr79jCM5ImeTOyEg+e6EwfPfLMzzPHLDY95mzyPV5THmHHMded/JsITum2iFE9PKLsxD3NovYIHq
JxN76UNk8mxijs6SnQm/YC1E/iJCd/jWCVdeydTmoVzSxaaYGwX6pNuGtZDXkqzta78b7eteET1R
Jq187m2nesFeztPqArJh869eLDyfpxRy0t3kLVnaWkqEmVeO1WtEyheCfEtpeCc5qLx/OS/mJWir
VjtPSpbdekrS+ZJ5avsoaZifVdUZxIvT/CM+2YAHA7g6cEY92XeV6UIMCadkB8+keaP9r3Obiqx3
lzz4+slIQHLA9gH9ynG4vuocECzmI2PSpcQZ3uudpOnFc4J3mjJosOZSYIiYtXKDJH7sL1U9UuOP
kdWLM/QUOBowie8N8D1B5XDCWlFvIvCvZ2fLc2iTPsr4nCDvCWDm0JdXfUXkNh5+/wgS/KbTW+22
0vOzZvdXopDFFpe3fTuTP7iyXWKUGzsijjm8InuUBHemcfvInONDYWb3LRKjTb/kifdCfU28ot+I
of8zi83ioJXRm+pFfIhnlBul0cuLqhjGTW5DzGSU0f0JcbMmvqQ9TV0dbvEFGXB1Mn9tEKEd5K4d
ITeMkisxk2VPPPGgggbgh5N6Ry2T9TrJ63JeST+sDyhkl4PTRLSsjouxSDKmh0Wef4/kTAw80z5i
sFtBwIYoz6p0k41ZaP4phbN1yTB9xFvOCwucxTglCkdZz0HzMDMAD0xj0A868QH7wgUBIjsOLNWo
mYG0PF7LcoGR6VgKTK3QT6Od+Ps+Mu7g4fpbxiDthVH6Vr4xufZvrRxHJ7BpIOMxmLmHtAi7YQ90
w906xvhSQvq76FtCb0tT73Fb+AbzTJ/sAzt06rUK2zerGvsdDGL2PDZwbwvzYVjFJhaMtHTqM0Iq
A/hE1m7RV8cTchmNCD9vevHsASuGlU2nclpMwHmWPeMnrtzA4diy85OByFa0Z97atz10oIOwqBAt
VBuGSQJwbwNrZyJo6mvFIgK2KJNmS/AH5B2Rt/I0ziGEKlM3D6gb27UVx7xV7YaMwnpVMhpZEcxs
H6XTTPfzaKVBs1CGkIvsx3wN/70iU9mZX2Wu28zFivmLTGUFOKf199Ns+4eiD9VNklmcKzhEHrNC
isAxc3zZTsZxYIyyTSssceu2DIOXSIF+FTUwS3TpgXceUEOA+1uNtqXWsIrTJ9eJANroatyKEPJx
7w/atoY3hqWluM0Njb0cjOMhSazJWuFxWEda5D/AwzN2Of2ADSkc8cEbpnDjj6G4rJjRAcMetXPR
Td6VUc/qqLwGGAXHRohktdMU36C2X2EUdC/8CYdawJmX9OQchTdy2ji7lBxkDxJdBNj42GlO+Rxa
z33qKrFy7REjDbTa9hSrKAM7b6T6N4nnP18LFMTTegkEOMx17Qey0Jpdb+T285j3ScLIJkkvRBe1
b4WVOvql0QryYYhuNiL7Gde+jrc5a4FdVCV6UW2COOzG9vC1AmgfdPm41AWyvsUcn6+x1ZXVBpJW
ctKmxWEDQyR1efyK+IDTrbnw67YSeGEY8a3Gyk5AiXhhG6RJZV8rM0z2c1zKr6YkZjJopMqWe0OG
4lIipanFPoQCErBgW16QQWKzOMvuTy8JR4mqgWb3lmQZNhx8Ouo7HW+SO5UWnklhWd6BjDLBDXUZ
QtFfkhvjpCDvXNrXM6Cos1ZJ8jqGxIq3hAFlwEDQbAQFRV68Fs4kv06yR4cSI4sEz8PujIGpPv5V
fNUJvGq6ZsRDgNr01uCU+X5Gscx9JqXMDWWoczdlNWXZUjCCoBpEtk5jMz8wYi8vchhNe6G347og
BmDVNSmZFNCuoeJwYmZzJ1VAO5eR3z8kphVdRwWVRmk78iqa338Lv36ytAVAFtb1sijPhfreQflc
JT4BMge/ro0blsHyT0s69Ku1iLlES5l4dKIFzF00/DoLHWoXG1r/ECfkg64MsOclcdWN2kUFzUJO
83z/fhjX0UJuqCi2nnGEFEGrlvIXn++z20054DC+AiMYJNLFpL5jCUx20xxWmzJNfM7yI+w5ZYcA
puG259i7/fr2nw8Rxu/OEAbyVc5LKOh+UWw3JknqNCG6faSZ9TFk2LqUw24Z1OSOwM5bynuLZuTA
jXmhjQneZSy52H1nf3agMT5Om5fzzPKbEGpHNuwvvv0eEnpB5Ge3FwmVf4BZ2L52SSLaRB2UOCUo
CGOfK9tF+kSMEAaptLVBAnXVSxSWPJilVR9ba1CncpT1E1lF4hp+43Q/UnF/MlP5ZaK4/LKLaxp1
HjrqX/z+zFkyd6Dpu9cSixZoS6CxkrxoupHG11rPU8dWxANmDDzxYP3wB7JPHclTqF5TSd3sgs27
/Oe7+X7k/PlIatEaFSgxPA7uv6g/IgAfpp/gzCfZpiZZh8xk6BV9fTGP2rBrmj5eszTPG8VIKF4R
jlY/pZLDq0vvdaXQZp9T2ppHzI/Afkn8+FMmuXvrORFYkg5kaqg1Vb2qO/szHTVTz19O0y5i7cWh
Ao9wkXn9PJi0ew3zjcLOPIFpCZQLV5/ela+2lZpYnRI8VH5sud8HUw178JbRltb6K3bKRyh6FrIw
yiXNHqN1j4fucmhM8TwsfP1ktrIT+XzWi4krY8L0LcvhBG3KI83ayNa6IMA4mXihC5aSfeSDRdWN
GLzLVFCv5iT0UECSBD5Z6oTSdFw3NU6rallhTDCzZ7KunDvNdtX3wot00A+lENrKahegv3Coe8cq
P/Q9CxhhxdTsHJY5l0QZ/9EsliekgRwJjWap1adyrm9LHFasKQBx1gKS5pNP1PVK6Akja2K1N+YU
SjqGBrk5PQnlw9J+hH44PESzRgcQG37+0lh9RkBYPrvDRR2OERcpSSK2pLabNnaUxXrQSyvMIS1Z
dMMBGzODa8WaL1SaDxVZdKu2toB6uc6cR4eMkoZ+8vIHIQV9uNZbZBVBmGDNGFCwe+YJLVIL58ea
JLsxNX2jx2m5DslmJgyB9ulmYhGGVjpRyruTAURZUeRznNbhD3AQaT3RPupAwgJoUHbQ2hocu8KX
uGsaDm5eLORXlfbZtkmIKugHqis9G3kiCQPv1nHp9A9dkr+4DefHeTLkM+EhVrJuVDJwqOTa+Qt0
6EhWJ9NiO9bOEJjIJmDjuM2sIdmFOC/KwLO7/NDZXvVKLkn1KpRBbWjmprnitc22Vuc1N5xEvQtV
68w5Rg79Tl62j2XBWWaCO3XQJ1ajbjnblbGfLxEkRM6JOZ/Iw8rHfmvMUXGAmcippXStFbWTe1tY
Tf+gG725IZC0erVbcmCwyquTNDg9r5tyZgcgpbV9NFMaSnWdy6vOTYAmhYLVpAtLb215HSejUAjQ
N5U9844w8oE+PRn8y06f67eqnLgqxUwmKafDlZ2IeY/irT7WsqYrZyJ9WU3+soXGBPdsbeUuQx6z
fqKZ7F0YZO68gPX1LyJDNsdEueWFE3HhUAepXambdlB55fCAaInj/aiSnbd0gNAUyasioz/kJhyT
kQ/N3xktRPMm8WayF5ziZphc+ZWMVY7buh1dG6UAPDfGaMkEf2mpLYXz8ltPBG4Z8B3J2QsqFDoX
yhrzg7G8qtOyvutZRvINzZIXu56AgzdFCngLdc2mHxI6I8vhNZl0DvDxJOpbvWy4M1VKKfK+F8sy
IuOCXo86Zei/46Xopa9jMeqiscq3y111miNQrNNAd+39MYRnQyERlXCCp15TlyKi42G1qr597/iU
Fo8PrvGcXDM6J8Av8wOIx2SfCwqqHEXSRR86SCmX9oAWaVwGDFRuQMORS7808uYE3m0maQiNcfy9
8WZ1OfO6lcGkIoqRcQFtexHdK11O2bmWiJVXFMD+Aka28ZwQrlT3sCChUHKLo1HPDxP83xUKO/JB
oplXEPkjLbjQYVgRZbodyH7J3kl5BEHOGuOmhOwcwMwBFp0Bu6Xg0RsaX8ifUGfQEQS1WT/NlqBR
Zndj/cao0Ny0eqfuSyB1q9BsSClZmit4z1nWONGHx/dODewRfeVRahAINCf8TYVJs6eeWeIsg49/
79+8b5JTRu+2rMhy03TtG4F7S7nsaty+vKBYqluk0H89mgmtSyloDZWVEZ51Iy8vZGVma8yk3oXX
tfVTZdBDM9olMwOjTXkxYv68HgQnrSDSOxZ3jdw43OXVyxRR7DSMYi9Gl3W2GmMuYWzXzZsO8RsA
V9YbONsLWjkO5XlHXP3F8jzXzbIMYzFuT3mb05H0E5eaN2v4cTZRdSIo0/gSL11v6pJlF+CA9kLY
TcE60bd/9jWZ9rERRtduL2kbNcvzA2YQbiB9yNzh64RL9+u9vPUI7yHno8zOxTjQRRJsk4zezS/v
e4PR0QLuvSi+dlny6TvRRB00W1y7kWazVYzEodQ+ZUhNRtqXsSG63S8gEjsVlbDgOBy8h0JJB5Jo
0nMjgeXkB5Xr5QVE+PLCNilii+UexJSHzy32BLltZoKHipEBOBCk4UGNlMkyoz+nV7n5RStIPQpZ
x57gyMpnzK7hkf6FE7y3BJlE4jMCxnqMynhcpxPlZ8tqIgOOOdk2ImF+S3wIxUnHYafgxYYAZ9EF
rXJeCqUP1UtuajSoR3rGVhJyVOgonC3wRGuT5vKGzZ6H532ZnVyuBp0jdWoqET1yqlfE/JnFcp5o
J7pQDVFJDU2be0mIy16bmbMFQztwMXWWN2ISW+CRFruWM0jOeBbPmqaH52mkX2bmU5EciG2rj6PM
aSIuSyXWalQBmZVdw9wH0+8wPh0iSNxW7bM/xLRMeCcbutPYJ9UlJkvji1W7/Te3DKcdgUf5qqTA
s4KEGExCvir5FbArJUfdzvmBtCkOMTKJr8FxvwyDzVWbXYLATC/mVRkyrkGXM1wuh7F+oipJxaqf
FANduH4+dQvBgVcj+GhjNdaUE1UVUkGqQa2HnhuuPJyumUlL/f0f319MVaRsMRox2W/2yJ4q2VQO
5dxNNzDk1baI02RXjRUvdEJVGblLkCKqoOga+zNiSPKC5ktJ8vaTNbqKOIfsey/mytnELQfY90ax
28oXAY/+PC5VgJpqjmTSnPsdjQS+8XhwCTTd98w25yaK1/MyieloqGx6Yk8BVVS9d+zC7m9Hwn9F
RZ+NKjH+o/L5h1FlUpbf2qp7/WlW+ddP/T2r9BhIessZD9CFhR30h1ml7/5hWh7TSw+jHH4P5wdF
kf8HkzxON8DVMAjaLueDvxVFwmLC6aMxWjB2ts/f/J8MKzHGLRrIH05REICYHWJfdpFwoyt6Jxb9
IMy02EALjBT6qdS1Kq57KhFHW1NJhXSOjUluMrJjqpWyBkIfJsxBNJ/pZUI9zKmZijkpV0wP2kte
LuFX9DHS+XGacyEeDB9Qwnpsja/UzNF9MbHbJ5FjPw4Ubpe0W7ubGQFjuE2qFGNeBQTlMhr5l8Hg
TL7caWmM6b1LS7KhWAWLiYSIprO+aiO9t5POTIHuuGN2F0NKc/beysLevWgBYVPv587YUx0U1pKX
AfGiNFuynRwkDJypt7OipTJnrVpbjW4FsWv1z3gVRxqfPVO8y8xK2L/qBq/RNuPe3tGtL5zAMssq
Qy4aJvdGrED6xVR4QZOkg3Ng6kxtxYHxzhG9eWjdLt6RiUk0g682hCksU8ia4OVhMM1daiZfFEvj
jZO6YUpuqLIu6YiFBUMXFnj0CTidGgHJsTO01ykjzcTTiXullnY1Yn3RrMBr8VH0sNqt59itbVIA
tfZs6Ll9Ofg2gY9d7xqHnkjJ6tTNfviAkMu9k64dfmk6ZXqHJuwsMuhaaeds3YLIL8jE6dPA2oMF
zHSDDAsP10AOqxpU59Hxq/zUSZdr2Rfg6dhhUEMxQxhP1LORF2iRjDdu4sznuoxEou/IcGv2mUEX
umuQVZvdiNp3RPThEhoXg7us062nwnAvqsJ8krNFNT632vzFz10SjbtodJO90HQvf0gaTID3jFuQ
BWz6kgpG20C/9Nt2Z/ap0tsDJUYJdijN7cR4jVoWSO4caGsbS9GmaEVgUjBeAbQfN5Megof2S+OQ
DDNg2tDZ0GvNkRpV6OMSm+6qqOqCcsDvkOrSzVgt3CAgrrbJEAKoK51K5kCl5n7JJrqwtnmI+uYS
SRCM2HFekSF0Jeq5xkMFH3oixsfNSlLcsvZe0+LbCSnCquFjttE8EQYzqGdDH8l/cJNwGw7qToef
S2II3hy6eOlFXWj6Qdoi23ZhbR595LzkJxrtptXQyRViSmCy59V29Cr6q7maD3rNq2mi1LsnzeCl
RA0T1Ebkrgjf0AIBKXVblW7XHRFKpIc2Gb82VZMfl7zhU+24/XqeC5BTdAmIQwhaIfutmAlQzjRG
J4VWBlGt+dpK0vyBzh5/s9nUOOYyMAgriVNLp/YTDe1mZB00MnoVXQCNxQnE4HrH6eWuSzQyENAu
rgbTDgPRpMYNv316Sm2lNauQcMoD7Mn+G9WEWntwmLcuL9u+lsM6c6UFjHxGCFDXh3K072orP5Mf
czEb4c5ven0JnPmSOMCX9RbtVTSeW5/yZC7MNZ37TUTnGS5xHHiDuG/reuep6TJlBEQ3oSdmT+Zk
WYQzMuxQPDgWrjIovO3aKPJvueA4YJYjSSBQv+/IZbv0arIO/Y7yiEYRi2DiXQoJgD4toP3R/TFW
uJfELakT5aaYmjJw/WHk2ZII/7kfzs5sizbQYr/fe03+NrsIiJmW+Efo8eCoGpCX4JfSq5hASrZ+
JM28FcZtFNe3A5RlzeNLzVV5NXkifc2X1SzrQxdVVNpqJylNcU7M2jlWsosDblizlfiFnt06fiKa
iQmIOX1HpWfsI7cFm5bU+Yo2B75OLfSPvUpIumZZv+3gjxP87PiHLHXPodPcjkOnb1kmvFOVaqMb
kAjRPbKu9GuTxGhiaK0uvUrNfgjqLut2Ojdqq1d1f2WTVXu2psm/bCb9PDdaR6QGlPXIJAXK76/V
VCAGpGGHTd+FSNOeW6CbXKGlhaenW9r9Fr9eRf6wSGgNxewONcyszACxlHZfcmLMt2Yxh3djNl5K
rSZ+HbT5vaul9zYNr1WuDa/t7D+RHXigDCSjkwEjc/ecqZc5binrD5WT7pDSkn2KcODKNKJ6N3rN
WwkZemM3c7vHQvNFApjhAc7oXBVxPpzsetSvYsM69768yNv4wclgy5s0IHWMWCtWWqSN/ovwxzaw
hB1ky1oqNe/Ga61dm6TTeeLWkR0y4CRnGfVesjAynnIgk+vGcnnVNBGuTHe4dNWwARyPrNDstvZQ
m6eG0eaqHiT5MygG4iBTuUfEZT8f4qrbdxLIdxJmOyriJIh8jQhF5lZsZgRIhr6LhI52A+EAvXgj
pKBbDq6ad0W8rriNi+XQ5jb1JVMhLSDznvia1I6/QroRwWj2F1NSsyeM+b0hhn3JXM8fZjbW1Cdu
u+nuCNu6qhO3eBvQ+iIlfEpRzW4Gvg/xsFUWYJtJToOiPdUUxlbQmzUDjovz1cQRmn5bWMt1P8fG
yU7saKs0S63aPrKew6qXZKQZYPq1pgMl7WWsTENhlTeRNrRM8xraKpyCA4m+BOavna4Nw5Dbspf9
hUn/g5RlU+79Xmc8Ymn3sTYu2zNN1crxV5pnX406hk+tzMtrPZLDtBYqF4z/1Jz25zLVvIPfZvNx
Gqx7MenyK3pHUg3CgsSpLdE4HCOt3MDDLkRFh4p91twMnf9WaMONEbuk8YqxO7d2eTOWmhbUGTBu
BV87wxfRNlazBfdcHRnFP3otrrApIYZHM7qNwddbm/RNX1hexX40VPiazkazGXGvHaDtmZu0GuKd
w5Fr5RFWEBSZ4Mu2w7MfYY0sdU+7BAKePUjED2hmW+87WlN6ybYk3DO28tfK+x/2zmw3biRt01fE
AoM7gcEckLmnctFmSz4hZMkmGcF9J69+nnSVe8rVg+pu4D8ZoIEuoA1bUiqXiO97V3d+dEfNCVTv
vZrKrkJ0NO4nVsN0pUWOHhpuIp8AkfRgGvWblwavimlO5Wqybh8iXjBq2ieTBdYDFJA+Dy9u2nyd
y4+qUV9nXXMf6O0cPpvtQFh/n5xZ1uzVjBuNXrpKAIKmRB2ES9VYQaU32bGll5SlvreYEYr4JIxs
1yl0soDRLEC9Xz544HdAy17S36M38HaL69SftcXfEa47PQ0t7h8qf/w09OE271DbfNTKe+d0zjY1
pMeK5rD+OZXi6BSmv638Zl7Zo5auo8rhgsArt+qoBAoTonSLUCulcS5Yx0PSjOo76rbpkeja+Q5N
sr8bSzHBJNbvWUxgGLVfKTxbNYhHDsiWmuDepHjJ6cYk21pF3G6s3FJcXq1WvNZUOR5B3uxNxiz4
SR8bcwZtzDzCY63ZpIDJFF+LzHa+UsYAn77cuouipGYzzRgYep5zg7Am9k1oPisfDm6/aAAa+qow
jUvEomLyuUUfTrkJmvGcySNMkNbFCf49ARZ5bPrR3ah8iB/poOgacWLQCnPgzsZf9o4xfpSR42xr
ttpV3lVIHkA09lFBccMy2X7AJbnlVTvY0qLtJB2qVVaWEkSz/zJ0VhcaS0VvNvo8jAsl5b9Rzf2n
SjR1BZBEhKOg8kS2MztyyJJGDoeCbsSoMc8ykeZzahHMmlWOd0wTKtVlx6asXP9xXpJNNpD6j2HK
2uria58lDEwSuEbm0bOImzzIamMVaZa5Av8jCsFuAo/Q2kPjzMXarTEoFrzvcljoAHuRCEutqMLU
GlYenXgcJwAYRO0OkAXoIBaVfBl9AgsZ8DcUIGoUwFTPUwnPTU4eouw0P5JgOa8IxMlXrCqSt4cG
4Ri7FXdiVu7L0nrwiZrZwrW+Z0X/XFYzQi6H9ricPcXobFCCsYAWr7pVZc20BFR2c9Ia+hybRTM+
IXsh+x9rwvPUUXRAoDxX3UyWMCJtOJnyppy2NQAgWdLUQN1iXlfTBmGSTzlzlH6oRqxoYaOFCZHk
GtV4MOvkKjiTFz27Irurk946N5bfhX1dfGf4BQJK2rWQSxkmmjJ4SYfLBHmJn7HPnxtLEsBv9fGG
Tnl/bWECZ+j2SI/WZHZCXHYztqt8g363Pjte9FVvG+z5xGtuk1FN9/WMtt5vHRHOmcvUIyr/glXk
XExzf0bXhV+BrpKlbVSQWPp8NlAhaaRlEdpTmghPhiFwfXe880z3o2TfQI3xanjLW1w5W1e0/R1r
7syToTZjtuwjTw3rRdO2WfJd82pioZxbk28rq12tmiv5nQheEo7HpPZCoDd9U1Wst4PRmFu0jVuj
xBZjSnmENuUClfpBV94zOAyewnR5m9z+Perjr2WpeP+U5n3fndwyei6HBZn9VMRfNA0iqAdhBOpa
wth07xbfe/GqEiuOj7+ByzFA3oXIDwCRQH5d3FlWdS/RMIQaDeFh19NvRHFirJ9VVI6MZ9oV7cHg
BSqfFq4EGfHrchPU1J1XyYZogXbf8A7+MjfJNxPRCbUT4xwkJh6hYLRQFIH45q9ZKUm2SFORk95k
YBufqAZnwCsbd4WOs7gfO6Mj8m6qSfRx1FamWtyElQEJFpaqq16NUaRoCAebJaeqn8fey/YDnN2e
qVrtfVqitpZfWJtqXuLjqPfOhuT6p5luZ2q1/Au+BXktUk18t9O2Py5J6hyQTN1qrWd16BHpbOgu
bJ6sYsZ33Bhv7PDypAqLBT/WL8sSDyCXZXxnTq4Z9ojET+RQoKVZiF8xS/hVSZPJZkCRuel8F9gb
sjAyi2I7FKa1iieUTzndHLQPdbeWB8R9hUkks0XynlNJc20kWXRxROfgZpy/olzzQfNdUM+MZ4yh
lnJETPtk8O+JMyE0ZxzOIi8ZK9rE5S72v6DoplXWc82VzJMh0Cq7YAxqltWIq2Xd+iMllixZtHfw
ds2RGhmwizgIwxKJ9yZBcbdnbty7eSHDLMuHzc0NueY0p4kmt4t1BrkqSSlhmfIeeqlZW1ZhEBfq
3V8H5dMrElm6OnFVcwuNbAvnufWPmLW9oCJKZmVQjUnrVx5qA+tHKYz66M6tDn+XpbtWUcPTNNRr
wfPrx07V3aEtze/1grwQn09w2y2MJT0LTvc1zZn5VTa8jKWCoPIV0uAsG0Nt1ETglGm3UrWnHUdL
XlODTkFV5qfYcT+Vnt9uma9r4g14+2PY2RRC35IjPFDyYbPLEJRyU+TwrbzeCNK0+7aU1b1Tdqe5
orSsmaPVAlUOynDrcTKLMAeND8Yu4dcD7wflD/Vk4lS29WiXEOOwhoyxGVrmw8gnNexvKh38IJyR
tmjQEw5fB1d+ReZANlh9hfmc9mk7GytWyCNH9CecxgWCt2nNqsU7WRCh3w3tSINQqp8X0RtbbxqB
URYuXYD6fVOJh1lqe0/262VwVIgYp/BZdJbic21pwCbjOHobIxNPnJ0PBk2k/EZDt1Y/WtC8MYwb
1kEq2XGcQvCACKxElI6HBOELRTfF16Ir/XsZa7yQnr2tAbpXzmQuz56wrgQ2Ik2thAGFp2+IYHQD
izohXNI4YeB53RkJvSuf8ij55on63C7GUXnOG8ZI6lbfOpFv+8773tx4BN3DKkTOHhWkub+qZREK
WcnVUg/fq46AoUxTX5JaS9a1ZdyyubVQGRRAZYsHVrJIP14VBVhAIhbGFhmRCyCvTcIBHbZ940xh
hR3kAv9hHDRm+iqYYnInx4GlfKjnhn/ETV4NCjmUXtXrop2KZpV0Lsi+c6wQZsIahDQn5wxiKus3
oDgxMac9zUiLcDFmibnu70gPIfEdDaUf4ONr9mlWR1ePU60LylY0NhWg1Ad6tMwuTvekWU7ebnKv
BflvNDU2oSkSoDaHHWHm+DD6dCMtX9SQ6TxHdlSBOcCa6nc9nuWvrZpc1SHv91sQi+AHCP0/jddv
v5Xnt/xb+79u3/id4YJzLun+969/bH//c/ytvFlqf/nD+ofd577/1swP31ra+X4WlN/+5b/7l39Y
cf8lEm/r/wKJb9uU/xFU9CsW/+PrfmLx3m+k7t3geYJ2/wDc//AN+eI3nDo3V++fHEP83582Xv03
DH/U7fpYT3Dz2t5/AroD8P+KuVvYk8ilFSiXTNMnZ/WGyf8JcwcOrm1FXOM+l8j73RiyHiaWzwbm
Xm9ld9CXXX2zqxii4yISMJZWMNwMICW75POClJWBFCoc1FwRcRf4YkYooCIDEi+FLnNnrXqldLVZ
DFSSab8co9Sdsai2lQHh3OEpcBGj8Cg55OaENKjzD58AKkWzD2sS7jdNgoOWLi/TeahvdSCNhJbz
xnG6/lDG/7AjoPaNDqWNUYCsD/hlHiYSH+LJqzdi1pcNJikYOMRO+7mfJQd+YjFT7zJMo33zKKKl
1w4eU5ZgRiST5WOIzdjZjL7LdKsPUZyu8z6eGq4aOsRfE92fqfSDyO2SY9mZyjODkZl2vNaGS2CF
G1MVeF6ouPM2JVGf8QMVGM4GzWJeW2Sg5TqnaQtuhZ9TN2lYs27/Mkat4L5M+GuLLdClE8Rok8gu
of1ZhZFo8RaK0VtML0RkL0iFDnIn0l0nAOX+mi9zfBncuVyXEPUgxO5cVwF4kfey9FOncSqO0xoN
ISJyZyHycJwCZFEwiLIezi5jYxsqPTZ3mWMK5nCjXI3Ue740JEF6frbNm/ymvPWyredvqmbwJHkt
DvcNU0Ft1dWVfiuDN0zlog69OXO12Y/uB3pCn7nM1IueEMfmZkUSmuQxhV2q7G9aMckHD21UABFb
U2Cn+ZsEoQYtYL75ioiWi4cszFXqNsU+9YvuYEVkzwqRPSSZVPfD1BVF4GqEiRdjjadldBgAiv3k
z0/oG0hA1Hy//WrfRAk5QqPVxJa8VzER+vrY5UeXWja8NxYg6JJmTMSoIWpNJNsYB/u7g/A7Yyls
5HXQnPotHrh+GQJm/ezPHhcEDbHaASkPXzXrhX7f3OSpI5aFT6aRPUmtMl6pI6/iEAXce4pV95Pj
8aGyRtPacKVb+5jVFpB6Qplkjt8iMmveFtDDtY/BlW74JO7egPjWcklpAklGK1DVeBysxL5kqs02
Jv3wLElxVO6a2FL7khSsE3p4GhmN3jsLt0Ceb4zd3pcKaYY1+0z5JZW5fRlfzNEud8rMzSM+mumc
ETW2y+PKJoEtEWeEXvKlLhL5yiuabaepN499uWS7vihQwREW9F7FHY16URO7h7Qxl2ttdwOLDZrV
PEU5E0SV5zJVdHkWaBqwuYZf60TvjXnvL7qDkp+PxC6bmgj43kvTm3HdvPSAEndDY6afp1aHmzcJ
IDtVakhPXaLqp1714yMpI9XBVBRranjOXkE05admcLojlVqEkABWS5rP3MXYiDzJr7buR3vihsYt
YSXxSpe+t2nqwf5uDw1OcteZP08ScQdg5J66zRwdWnSCmkdF1yd6MP6gsIp4b/jVcbaps458k+HU
6j/6YjQCUxGHrJOnGFAHWoLrtQg+0wLzfEKF4zI59Vfkqf1Rr8d0k1lzGjqFNd7LktUzIbdwVza9
eR/N4/zSl+nybkdiuOcJiS5TWfWfQeFFOFhjvuJz0q3KfJL4DSy5rSzpUPXal+qZyLxsy8vOp0W7
ZcW5qvpAa91tF+TNLaC9bq7JOLFQQjXdFZtbYYBOUiYvjSFBCmQb3xcjgUbRnajnrcwyA+jwhLRp
OCVRfsWo7p+N0ohfcLVm28X26w2qTG0IEGToJydV+snvlH/GF23cz9PQc1EQyX1XliLb+tl0yeq+
Qm7OB/XQ9zHRDYC89CGOHYOrEvGhKlkrYs+hE7M3i1NfA9e4JkcNiOdRc2x5MGpLPDozBFeodxpN
jrUzvydypLaQavYmZeiUctfObf0VthBiTVIPPCl/HZHx/UWyNu+z1s62NaGUT6KR7UNMW93ZAI8j
yLxG4kHUTP3cFr0P3Osup4Hh8K0qe2haIcaHLC1B9Pj0uHfFOM4fyBRphlJxbVMea48HLc6HbdQK
QiO7xjygXSw2XlrXn0bbbq+TzQ6AznfZmumU3HOzVa+O35dfva5wv8+p6iA7ujYmNTD+AIGQN8EM
WFpXEU7p9cd5au2VKwhj0EoeZ+hrLdM6LX7EUrREjVDyLbJwMEYTzdKiycMtc/wTYZ/dunSrck8I
VhqFtiPVd6pL6w0xWvVnL6ayfo2VP/9qxrG3LeopOvUi8o6DV2hIRpdmn/gesLRCADUb3G8gal12
7ijzuUgvb09K0LbeE3NLkrrWnaJOg4+yFHh15rJNDkX/mTAqJzAqsF3oO4yL9E+O/X0Vt97dQsP5
N53a3z7w+5Tr2uc5pvW+056SxHZe65R06gm3vcXcS1HF7dAmuXkhO2KN6rJEXVWYZ/LmaNCgk2ml
vGwWgYxsb+t2gGS8J8bUDA1fq7FJkKk8la73pvSFYL7UfLP6tjxpcWE/eoDRgdAn827sfItjcDau
JGXpIfL20+0FPNT02m2Xrg+HuUhvJk7j1Hud3McG9cxNUpTXMjbMZ9frqPN1NWDcurS3miMBEn3H
XHswMCuWYQo3SrPaw2e093jDrHeUYpRNi45a134c/EdhIwoo6tbY6ElDFUgkE4t9sbKuKqrRDBnD
5N9nMVYwnMNlOOrmnRc1Iy87vegoGYBI8YIc/M7w1iLV6m8Jlecdql+g4Kir3R3kUxW2WTuHRTS3
12rJKsLIq3qH18PYTbjMQvRBWjiSF7JsI9G4n5kFjKeJwJKZFBOk4F6u9a85LuZNpKoXu87ctSb9
e9NAX8vvp3fMHSPpbAZHHg1unUwQYzXa3kH6QIk7sGnEpV0v72nV5DVcbDQejH5a2SXXG1muiMJi
i5VGKvsaMZtuBPG/xx4xnoRZbly5MumkkBBtVn82Ed+z+DafiDDKLwOijSqMoIu23HfFZrAoHAbt
nDdaKtydgV7t4gp34lZw01cGNAfEVwJo13O06ysZwSIrjIWuwBy6t7NYhLyzsytiKnQCdC5LO3D1
kvF1aGcC8NX44DQN7aiLOe4dfS4uoBAQlJnpNLw5fBdoc0lAIJWxVTrHCuIXhmkKziGhO0MfHwc9
i591VWbPlsEMSBnoYoVQTfWlUp1/XNSt8Ce2oz0GPXQksS5NtA4lNxiQcbRP+wG0ZopNeZAdEgvo
NJH2jJh+uWP3i9tvZi7d1ldgJLNAKoCp5C4asElMiKopBoW9dbTWPAGSzme/Boj1VRqHXVxPh6QY
l3XM4P+ygHJLy3mKHYT4vZGeixTQMTOtQ65c8QXrvQHOQfAexei4NN3ceRHLYOxnqiiCYUzMVU1o
yroyl7cmwWTpavdeBaDnI+dbZYtAuFnDzpRdMW51ksJChTd7YkU4ppnI1xlRwbws5gbrvRWyqfYr
M2O4oQUZEWlqnvBwvmILA6sdaECNlcpWSnlggXnGE5OPcAE58AD6qCooXas4wFoTL9J7myQu5gOk
wyUhGuyT2RSZCr2pJPPFKZqNIMkhXLSJcB7Vm6ulnNnBqZ9yAVCCJZXm66wZE8AjooTc97YEvriX
yUluoSmFOuHRVm+ExayNm9ol71pnV2nRfADA1mmmztLVEI9WuHgN11ybpPu0cr3N3HZLWLWYWmar
H4Oq7OJzoWXc7ErOF1vnlyMZdp0uZNo4ddV0gIGoLP6kH7v+Lrv6c8zBP5mCUIEhuoC3w9/1zxmj
SQR8kPZeupd5y1qnTbihm8XjlLbxODxaelG/k9CH/BOdg1r9/Q9nv/2zEoytlGgrMrFJkbBJOvZv
W+uftlKUXDAhS5XuxYT/fZGE/+KISS6e8tXD3/+of8qssNlnPP67bb8eDbC//qgUJZQzJYhGb56E
Ys1nhKb6Yo7Lb3//c/4poI3fiWx26xa5p+PS+GtCrCrnGSUKiTx9BW6cEDW8d/ofXvS0Q7ysMFQP
fgIrPlv5W+XGbNTjgoSYko3bcg2vVqz//iH980t8U9pZt0TpW87oX+NMe53AnY4tA0s68Uv6zUZn
SmhG0rH8Waz0OGnep37gdRZkH/z42f/TyNApfW/Ktvze/YoF/cB3/i9Q9P8VfkQR0J9epn+KhzuV
BbGxf9Fx/viaP7AjgKPfiHdzQNJdXRe+TXzMH9gROWzk0YDZmw6B1py5oDk/k+H833Rd56/or4VY
5RP9D0jJsn4zHUy8+MB0+9ZGLP4TSImi9l8/vLrt0BB0yyc3qQminOL2ifvTh7cCXycLYUavDU8l
gFxzaIwxwVRi146ady6RjwWAeYxMOUjN6kTOhxZmQIIfbYSCCPQkJ4bM05N6wndfg5UzdjvvC6bJ
NTJ2am9x+M93JexY9jldrPqubBf9Q5rxhHuzp6Ez0OkIu0VKDIO5pUy8fEZj5qKFrP1hOEBmN+Op
4YReJ53iIp7hc9APOjiYOSZC0UddAGNxp/c4Q0lu8bBxy2IxVmC8X4beaNYGzMveGibWwZlM3m+U
rwLi/oj19D0+sGuQJ6gBy0nSE7m6454h191pRPvvhzKXQLBpMd0PtbY1ZG+sSsPHTjfRT6JlHcRv
XN4eFeqOz5PdViEkPcqTebpLfAEUcJNYCAFFI6Ju1ZeZZMlzzcZmjiw4KhhympZLKwJTDnjleZb1
pRfX1EjtA+bH9oqJXzrHUbj2O88IxpvWl1HzROXIsu8aq9Wso9vEk1rLhvgaixyvatt4VUIGwGSM
JxTsOMizG+ckhF5sEAjlA7EwVpJ05o46kaSsSUdQ1dC7R8CnArYeHzyKYACoRPUSpomQU3Iw9iJH
LDUw81OX4XQwrbROqX3saa5bITjnVh9MQzy07Txdobe16cMv3Ep+91E5fCeGlI3nbBSklotHF83A
xulSt8TU70buS4V7/LbzUtOOuV4dHOQ2PFGNiohXzXq5T+H+zHWTqXshymatp4jl6I0fLy3xjYGe
ppK3JeTnaq6I4NPAnQ6eVCWJAPqywZKttorEGpFW00Pn9BZWPS0zVqnPPhBmdRcfPK9zrdAyebZD
Q3rRDpQI1iQj/HZPunGzYcRu30qjyt6NrhYmFzyelqCpb+CSF3lQ9Jh90BgSr3ZoTSQylhlnzDNI
Q3ZW0X9JpDV04VJa9vVWOGIzm1QxWfmWfoyllW8QKmvbwbQQuvLjTkB71VYsYroviP64cd2evFgi
cqEJPAIG6bFWx5vGDKoIeHLlKafYD9jDzmkXSVj2LrPuHE8uh4IRG4JEZ+nqkzceI/pZHdFUn8Vn
J2kZunvLudNdt31JJhV9SZrE35RYmrbQltZa1YQN9sKtnmW7nAm2sO9v7+wLIKe+cnUTUWwtTouE
+sHg0oWeWdms0zC7PAOV/r2kSuZS2ip+iat0OTa1RevCoLJdS+BcMKdOvJVyUNsobemdqKv2wxjp
mCC7wX+MLQ1M1fSMO5zEnxZDvxSmRHKMmOhOLYPNpFFrOynb8bNd4z4KpJpGpGWm8Ur6CjhPPy8l
d3Ommw/EHvdrUbTmd831kH90PBsbtchu33fZO6GZPppsYL2V1s/kMKrBsR4rc5wSVEtD+W55c/yE
OCXWAc8b+ytqCwxXSIn5HpW2B5MzQiZWLcBMlu1HHRGWmpADe1JKknPktDGL2NtNNu0aI/ZaLyDO
SG46Oxa80fsuPQo/6Z/YMWG+eH6eWrKyeFsjUDJmcnsSLbRV5O80PBsew3HtHrxGw4+IHd37mJwi
ufqZl+6GqCw+3FT3V5lOQlVQ5SSPrefSIhNDF/h55UOXN94eZf5EeuFsPwrCCnK2wNkAPjCjcOzg
+nQpVvNko/513To9y2zgZO9180uZxQRuJz1i/1FYcjXpjv1qe6O/MkW1PJQTSinLbcbPiD6YP01Z
noysovlwcKd38h7QIBpm9z1GSMDiUJPikSXtdrIM88VAbHtZROpfBgzA17mwy43I0PsbEMdHSjP0
R3a9RQEo0QK4Kcs2Xrdlrb95xGOvLPpPH/CKlR1ywwR5vuy1wGIh+g6brO+KoXBfTUKQNcJIG3+9
cOSESTcPToD5a1wVJSe/NyKBcb3BORn1QpKnrZlsecJ4jmsQRW+0k0PpN9W1FhDKXa0PPLN+Mn9L
56Z7pNSklmFtRGQ56TMl6IlAXxNNtRMIHO77pZnnPrSM+hvpXcRHgltj+DPKE5JVGeLhbO6Wohzv
M1dbAxz5pxqZcxog7U0i7FmaOiW6qFfw6vJL1g7410i2P7mVh/R7FC3YGFFUDxZxH7vBA60rpygF
jYksjE1YEi/NUKnPObjN59grmitygwjTWZQe+6lGxApb8Swaa17TzyW3M/TjOpq7GqCxaJOVxW8L
KMMa3O2LbBnQ9br9s0XS3hykVlusNECh0LEtvIZ6ol9rGBBz7XpReSgoKu9QMIzz0ZZzrsK0wePl
lZbJ89iNL9aEbsAeEDUj4mVzR5e7HEQqnHeD76+FZVSk17hLRthY3f88LzZKWmvhoveIzbtZddt0
A7Dp3GGIr55IcGqwcdsNVHgceam18sbprq/LZgN90Bfhf4fjfyuR0fCcvx2Oz9++Nm+t+nU6/v2L
/piOffs3U9BvhMmJOZRBl+/3czq+Dc42MzN1cb/blf4xHJsMx0RKUHMDt0r6HkvgT5OT/p8Mwwjo
/zIMA28ya1r0CjOU2zywX4fhzOw1Ha/fcGfmiz8kp0U1hsG7yCSecC7uBje1ZjiHdEDcwAHo0QaT
qvHJ9hqHWNguesxyL1qCgod/aoR0LoBszt0koYcR3GlkNrUZ45RhNqiol7R/sdo8PzeeW8vVYPj9
xu+89GxMHmp8fB4oGgcy8SpKJUIk5Oa5I6iF+EC93uiDl1+V0otrR+j+g184qF1Ssno+YZkZD5aG
8SWYsB6/QGVEnygV1Iyg9kr/IaNV74EqeegtteyJKJhQubnx1cHffjMDNw/gU9EGANG5LBFJCNpo
dgdVMRVO5DmFg0OmqZWQNBWkUG5PPQr0N9fNaVBvywjUfXGma80tfnVcJ/lcE0NGKGpJf58ZD8bG
T1ymP7tOHuzJketBtwY+q3ox3TXxyC1ft88gLWTtMoCic7eYKEPdrJanoutVqIvpq5pIawzMQXEI
aEN6V6eFVAhD7fZLWiyMADWv4XOmZH72xiHZaF2yHJqcTT9ImPlX2eC5oSww24I+a+nV8Fu507L4
gopKbrCMEeaS2GhSyDPZ6WPJOJEU/R1G7RSZfu7g3M/H+ZGTsd+oyVfUeSvj4iH/3M2AEie31sc7
DsR5B7BgvsGElweEzN0j3RrZxDGoqXVhVKjlmwQ/FclS/WkRtb6phautiigr7rVONx+72epecfll
32cAqCdj6NOVwwJ0yVtbO5tEeMWEIr/wXFVzCCjgc+R6+YvZpMMG7LBYFZzVcMhq2TIUapizmumj
Htv2AoBd3smpm0KfVIc6kLxxYDOgX99vSRdNWDcCI4W2mAW4HnrYtcV0cV+0xE4Hjl9365me1yDX
SyRkpE8ie7XeBmPwjgXUzRaDYnW2GhGHfUEcs4YTlSKkmOxNofnTemD4vauoB6PbrPJ2XKHZN1nE
8qpXgJGpipeLAlevAmlH2jsaSFLPorgVZAOMDmYLYKH+WKSOizgkSQ4pe2VA6JAkKDmzX5Af6p8b
Ej3vHF/p68Rq+1PqVuT2llU93GM7X16JhqAfRMuq6YgZN37CKGxfPLh+1qZ4OwxucU31tnuAcDPW
yjY7oPSBKhLek4Ub2LhR8Lh3OLicluT+oEWHPwap53BJSxnBPYpmb89czgEuH3BTJgC2XID0/BPH
SMVcA31bxLW+HvrcXqdapZ/cRICmwuTSMUnO2hrgtb7kcR5fmsQySMJyzC9ZmgEN89mePrdR4oJM
e/386DjKjMOqyKjXlSLZMV/mh34ZINtzzR2jcCDocdiQ2qhfZGRiO9LsQuVnDez+kysKiCJyvCMi
Seo64iRJYTeWvPzIhE5YBoHY08lc3JxbXtkpKVPzoH2Kh7b1CXa3aZ3PNMrmzVRIajBlURsbQrIX
7CheNd0bmS4+N21U9CFatKaqN5lT2vp0EqjMJzQRZpwDq22YTOLcJ3RrdrwYPrBv9UdCVI3ZeY7d
vOoeOpOkKJxbOZ/2w1IZ2P0IWMUsVa2swVDjYyOn2HsnMSZin0vcTB/t53yQI+0VXoWaeaP1fSc/
iNushEIVIZqGiwsP739Bsn8lsjIRvfwdSHb+Nrx9/DoF/P4lPzEywVVPQDCJzEwUVBJyof+cAm7h
TT9BMYN7/5bAxZ5264O59Z391FnZ/JXtEIzkAaP9GAl+isr+AM/Ro6FWQ472/wDT0XX9ZQ5wQFn5
MeCtlC+A9v8FZk46axqKpjJPbtS6hDNYNtuSwGFoLxmBhEle12ggywNgeC2CUtR4URYsMiPtOdve
aOs78sh648VOFnUu3axJjjV2H8ykVc2x0TNkfzIHa3jpVN6supim7KSaDc7jweM6rDqJxtJJimHb
j7N46MlJei2GaLgsjR9NxDwUt/1/aUhAr+ETNyk2kJ1LxCECYDVQYlDN3dbxeYhBlXChER9dsqlp
M2EN1kwxwCaZ0DztgL+XfjUpqX8lbpUcNZTS6qOG7ruksT3kyD7y6RKR0oEwFS+zviKsE2WQxFTk
7su5sYBWRA/gxGeVvzVbrEC3LI0ZgZFdz/tYK7BP5fk8IdjiAZZHK1oI0+WDnJv3Bqr1e9+S8cMi
1XCpM+gTieJ4NSakRIUR8cZbOTbu7tYlUIfSKkkCTbm3rkw3io3DanB8nkxlPHdV1blLhQpKL7t6
Fwk77bd5ZKCP30KDqHjjNqm+6KtJ5k2hh6rwprPpLjk9gayA2t5qRdmzLMc17i/pWF5RKOJ3Mi3j
sK0yqzUfiJznzgZLhZqy02iYzqoeLD+i+SdtfJgfvCIbjj0vDnoT/VuM3TCRETjJrG3YykU70g/R
maB+QASUMbTML8mKe8Bxyx1pfSI6Gg0i8VVttcPtjUOixgKJiRxnkiOkYO4Q2XHour6v9DNRgrIz
8Xu37TBy4KrRGFvxEgNoGssrh+tcNB+EzXQ5ElS1LFl0/98D799afBBBiL878C7Nt7gsfhGU/v4l
/zjwnN/YdUhQgFNGy2kA7//jwLN+g3oib56dyNN/bEQ/zz+HuhjKuXy2E/aTH5LTn3uP+M33fbLt
b527UPK6/5/sQaZxO9/+nO2Al8tGrWqggoUW0H8k6P2JFFBtTzNq76dXqQgv9dEo61ONEFk5Fz+q
LOvecuqm3ZZk3DSbKKLpyP4/7J3ZctzItbVf5bwAOjAPtzVXkSySRYqDbhDsloR5SgCZSDz9+cBu
2ZK6rT7+/9t2hB1tW1SxMGTu3Hutb62UzHyUpLTPp3P3/pIENA5XPdrBwbmkv79JXiiNwoTUg6uq
lTUp5zMurbuh7MxPldkq4mYhI2fhWlhpiJeJoBowQU1qF6HcN5GbbCsAMKeFqPLFgX7TrKK+C381
7ALnCKXDKSjcbtU0CYeVISgvtKXifTI388aJSvO2KLJmiTPzx3HV2aIqyPFoBYwVxzU+BKbxa8iq
iy+fEQhWvoDmKEokbDb5NeqF7BhIb/yoGAFsXWpVfyVqP70IGIf0e5pJ38kRVyyNcFWJrdPyjVch
2WghFOuy3URmyi5AUAyQm2Vir/xfMyWHD7300/zsQSbYoFMObjNhEu2h6ctn69JfOPJBuniYoynC
QmaSNMfxaRjqDXdCv8S6wcdqRiz6eoqTh8B1SMvtG43DUfPrHzM/Tq9mNU0vaKksjyCQyTwmsJm2
YH6BUENipBMcDD7eg4D5zrMWE5muNLLIOw1kdTL62mzoptBiw+g3h4x1VTBiUXV5JBA7cu4MMHPN
GxSgvXh3ALwONFD9O76JjeOzkNW0icp02mTmiE3FFD6FaZ5+CURJoluSFYc+c8edShx/43XZyJQk
De672Z2AOJO/vbH10NxDjSIeqEE1YFaddW94EdgtWfmn2EW1vBLC8z8pRlibiZfmjHADb0OqGyIV
VokmEnvX1UZ7Tfc21zdmPSLQOBHqqsJ2HXl1TwYIFwI1Cv0nKnS36NLmOOMucFemw/GIjI8w88Vq
BAlxTdwPutcV4tcwZMugoeBuqpmrdz/2cA1WsyWDh6qtUV8EBkSSp1LIgATahn65TiP6v3ieEC3g
Zg/6DTBuJFk5KObo2m+Zq1VdAJUoL4MiWJWhroxrySmlh8Y/NefegFgga5TMflyrN0i49NCLXo1b
oOGVPpIYQbZMj+YbPS0g8BR2Rmk3B9CDWGQHJGDMfuaFZYoCJ9jVSZbdZZO2MHN2EvNtwymFNzsO
sdI5rcZow649qnUbt1JezzQtOrDXrrNuUu7mppXLMAlaNRHtuVFH9BFqMwO2W41VcDPNlTqj5DP3
zNJHCO8EFPPEuYZc57QtN6URZOgQSQxgf4zLlEga0xebqgzVi007YT+gNE5OrtlfIF7k8300Gr/h
zK15p5gTUgnRT/TOQ0O81Y7c42rYJaNuXiYYku4q1GP6OEORavZu3IoargO1BudcLLwHViL94KJk
bo625w8458vS9veliQ35CFLFOTpNK77QufzgjTDoILv084MsbNkeFHk4DSAUPW3C1rCunB6ByMzM
5R6yGO8j5IMc7Op7eDZUKIaVXb6fJyc8Yf7WBe1IY5quJ0s1V4FDgvmGT+JMArl4W1pJbGAeLa1m
B0k839iz69wbnN3kzhlTkMhRbl81PkZJJ8yNaGtk7UIUTickoDNTLdMpbe5z4Sb5r6IL8rccBeYH
R5TyddHoiq1oXJd3jQp3Y+Szs60s3xiOIkncNf0v0BBMhBJxxR9wMTeS7QmyzvZbnaz8cK7SEwNH
z4Yy5QZea65yrO1yM41gMezeN5OV54uEGRihwQcQCg5R13RL6GQ1oEfhVtftyOyCJsejpRPnicLl
2eURHjDNTQX3BkbiwQ9VcO/DY9kkQ6wxT6fdMWCSaG6hZhEHYADHwtKmpksd9+4Z/CIJPZUgveNG
iaa5IZQQDkPYNc5LN0wvqH0lyQZ+NmPJyuIyXEtpDj1H+nwabyhorfOsrf6CpwIjLEOAKbm3JhkL
GxcDVBR9qBzUp3SEXCNO4lPXs2qc3bCwdv/UU/+neoqew0+jfc6f1f+cPov+s/6upvr9x/6oqQLn
lwi5REDo8ZKkt/CtvtZUgfeLx/+CWO9fddPXkspCTMFZL7Q99BkBZ9B/HynDXyL+Oo6VkY35B47x
f1VS/SlFF3cyAMzQWuIBAxcJz/etZbsTNVApTxwiCQt5XQuHLlrSiOIqReB3xcC3kw+J1+OLMbN0
PMqsHu7TFpQ8kWUWKmIB3R3qaMF0LYhHB6gJ/ha7nRI269jN7tHsmjgfa2eVREyh5slQ56SwEPMB
eogfJ7v2XvxavpWWhoRbVo+yiz0Stpr5vhfRY0O617qskcqvGnCD8DwtOryMiuebkfMvaesoJy49
lunV0A7mS1TQ38YrkNmXulbFqRfMypsqRDG/yNsUcRlbEB3TuZoa/IWGZV3imQzfChv5l94WONXb
xkGXJyuUy4nkWLZCAo4BSMKqmFUfrWcXQPz7hSpmjApLziv3P1sbRs9PK0vSZUOwSYqdZUfNOq/G
44wNdQ2Vix/sPdXb8C4WU6dfRVX0LPO5S9Z1GZovxN3MN34ro7Vng7qsTDhhg+rRexgjn27hV1pB
6tC7PhuitcoawlfTIaJUpIpipqp6h+DZPByrjd0mxus4khSExJijlj861rUI+8jcK88qn3RR4hWW
yWi9iCpEr1VMqKhROKbTbdiWxpc5VdF6crr4BHk5/WSU/XRuaY/t33+/fvmteLIFJBj+82jjYq1X
77zRwMczsjPFWO9JOZLAHiBhZg0XuSeYg8WSRIZVMGT2dRJarNCrcYD+eu0zn0wPcWmRNUUDUzi7
1Atw/jqzg7ky53wOoaopTrPbHKVwB6i6uRx3Q5bYL7AbQ39ntTqE1VDAxh2HimcBWMgpH/t+w6eD
yeh7L9uyPxCeBJP2SRhO+ZC2Qr90bdpfh5TWj/ksUXM6tvA39PScU+2NyRXpKulzTgrECkmbd2W0
3OwQGTw4kcHL1hIcyjqfaWV7s02KLV4RTDZeh9IC4pa/gH/m17lWeh+6fbRnP3e+KB8CEb6XqmpW
ljNPHLftPCt2Edtiei7Khr8rImlm5zcQKmzkHyhUs5UUTZCDUC/6SwxeGz62KtbOkoA4D2Z8U/lV
BkQtUeHeGiJrJ8rUIX2J/MQqnIxmVTCHLdHsZlW4Lyyzfxga9wVqMiwBz3ym9aCBd8tukSsA2Zi3
iCFuqgRK87pHi7iD+gvcKkBWhVgT9SsxTDiVR9IfOcU3d/2SCNkv2ZBKaywz5EOcRvDRKwbDHJBw
oS4Ik2FL7ux8wlpA2GSB9GatlgRKRDvmyqs0KupYQJ9SS1alu6RW1nadyTUN42JXD6Ra2s2wcO6X
rMtxSb3sWqe/GZkL3TKfKq7oeXt3iBeA06QSR4QZLPGZyXuUZrikapbRUsuryQxe5EzqZrzkb2qR
55/xFx+F5tbPS0pn/R7Ymb+Hd+rcIcjT5Gfe5vd4TyNfoj6h2HcPHS7dfKuklW7HVIJVIz9o/oBZ
w6TvTWqodEAuz2bbPOFB0Xu7C4iNwvjSAGNLWhNPnZ5p3chywKme1gBFxxpZtGKhsFZjqcyNXDJM
FQm89+k0988R39850rCa8iO49KVUnxNQsaj88cuRB0XLJSwAsdUenWyzG/FhpkFjrYO6FWtR2umj
j1uSo2iJpIPjZn4lh7yAjyqydGXmNpwdx28pliM5kemS1Gulq7dmNrutyLR9bOIuODd6NB6RSLP4
jzYc20hNOdiKuhwgl4azoBeGXCpAT7KBIjrf2z5DhU3vj/Hr+8rSFUP8JZqq4lQ2vKGciyzAOstb
BLHWe5hm1iihiPX2DZNlVS7kByQH7DCCMnM/wVo9MlywXV4HZV8sb/kgRCrTBoMAv0kpQZ5ycEcQ
kCojqs9s2/oMbaPRm6YhGrwf0avCa/Wu/imX/i/lkkNXhsH1f8aLPn0WRLAO39ZKf/zM11rJ+sUN
lta2Y1r2eyjxv2slMKEIn00WCRaC7+GiNNnJJGZqHljvQnMqrK/9J5uQRLo8zM8pcRjkB/9NsbRM
2b/pPtm4nHFMU47RJCWfwfxhCh9a9FEyDCsHwCO8XYQQrPKkc1bfXJO/6PL/qKcO0bzyHemyLUmQ
QFG/L8hipNK20yQYSfIaPq80AQOHHBzBHpK0V/mBcyxnRKsbnuH29eefvdyvb78isBSLDpsZEkdI
F5CL/f2HA3QG0lSE0SGBfUoAjoArKieLz8UwcMmJQ35Loqqlk1NnzqafdfZ5MrDPbn3hO6SnWTN5
MXCDBxmWa6czutO4qBv7MK8NOgeYEQYtYG4nCeVbH2Co9Uu1+X/4EsiWI6Z8qCaQKn//JUzhtg51
VHSAkGJvJ7rzO1gZ7jELlP7QOQTLxVZB5phRsW/TQWxfVURQjtckS1criyZ6BRjPG5ovK1PO2R7C
CFENIfZXel3FLpTKeqyycdhpDn6wbBYq9s+/A4/sn+5DGDB0ouGKefTHRmfvOlROAW4rOl9gzfFi
40lBWR80+Zeff9IPLdX3Ox6GTMrc0IO/uyi6v9VZexIpWGvxSe9pDogHuHl+2J0A03b3IP2r31VJ
/3GI9cNL9P55kRlQGfCIM8hansBvWri21dd1ZZR8XpKJe1aUfjWPSXT982/1F9fPpV8DcThEg+m4
P5xqIuQxYYml8yBIRthD4vzSOlF2KPrw8ecftLTEf7xTns3EmaKWdeFPi0KOBi9SPIMHmw3rOAfg
/NOIZ0ZrbpwmHALHako90zRDcdGS8AFi8AoQkbjJU3agq8rzunuh/YU5IIkOaMGryJWkKDwkJSz1
poR0nvFsfpAJ0PO1gy3NWCWAZzmYJHzI1LpAaEIblI3t98/Kn7PDz7+k834K/Gbpc3lCTIulgYAf
RqGRx7H427sWg5gZ01lMB5U7pKcnKBKDJO6PtFIK2AS9jRa2+UI9YWy8AmYOD29+KKt8JOGkHQhB
EOLcArfJVrCANx29uGeL3vjZi7T7MVBVhUrW3wpL2Q9WVC2GeVVC5fHpx6Amxs+PmWeDy2T6gNPK
3tAd1HtmZ1Yuk48sZ8XBHzzvNhlt7yDJmLhid0kPVRtTaGE2O9AAhDkHwmyb2q61750mfBSxlx9z
I682NaKSYZkj/pay8awris6j287ytgV32K3kHLjXVdiVe0new7aVNpFrLl1nf/Rhkg1WggVeNMXT
QNuaID6MP5U2br2oxeCrNfC1Mh22CdOGvRe7OQwKP8UOVrTkcAezew+h0Hxsx756hglbfEFV1Uyr
AjYEGX2IwBHlNqazaup0egnCGhZGZYt30sUx18hJqEf9W78kyQuNFsW2U2Xqdhzq7tcaePCb2QFV
naJ8ncbFZ6MwwhsAkMYG7mOyNQJxqioK29K3ui3hQ8dJGvUZzQWO/4m0aWI0kJ3ivttT4l4v13OD
UQArQRQaNPMVftfKefVSH035lNK/L6rqmp6m/mCUBQc0NC/z2RrJzlxBSCbogv2F87Aiu7WJwuNI
D/FNxH5/l3Od6uNALua6C3rnsXB3ddryREiA/2PnOG9NJ5odaYrGxmknlDdLI/lDrYG8NiiruTWg
j/qpSQ5Kj7s0ZYgbkynE2iaPA0m4ADmwKi7Kpk8O8+iN8K32XovyJotxWBjEL3AULmnxx4UgQgWP
rjDNE6imZGUmLgi6aEoe6jy5gQ34MZ20eUiHwbzE1qzxN/jPeijoedf1RmFfxQzqR08QAMKdI4R1
HUyj4iRJsge4NJRWJjm0Y94ZK3IQMLEC+GCJopdtLQAsN2+mKyNMon0B+GcN8ip+BXem+WWmeMfE
yV2nxXIiJt1C8nBJFWzYhopdhvW9JjWdrLsx8e0981fjypth5Q3YadeCE8lbrnrzfsx64m9rjfFm
Zdp5ezuTDL/kHVvdldaWe0yJuD9YTka6T8Pr4huaWPtV1NlzMW45jaarFBbkah5SOLVmXv8mpJu8
5LE1fvKDXr84UqhTFYbyWEiQ0zJp3WsBs20PihUDeWzK44ix89bQBZynUtNx5dgR9NaxJsdtRknc
YVetzKRaTcY8fXAl/hDHtNOjCXZv65Zk6+V6jFeRM2Z7y+/q64xuDvpGMt+RQRGiB7O03WTE8p6i
FmOhj+EdIzXBXd2SNxLn5LNisVfN2dRJuYlbioJZEmkilsCR1ubYkSXsHO8JeLY5EgktyaLhG4sT
R1h7qwT9cuAMpMoMZv88R8q9tXlRz7AMunFTxAyuVmbbEFWbk/rDkG9m4JGL39JgSjjUZ8FTSm47
HOnAejRM6gsCIVIGgWQIv6fZ0u9dAGUREUIxuMZuNVocG9G0F5cycbuX95hAXOhqkxnUhYYHNaQs
LOeoOFjv2iXgqhkIAumYD3yaDQg8ZU42Ty74kl1L+eWDMzvNHMUPWjvt2UkJFA16olu0ckj75AyG
poq++DYSZMJAGE1voyUn2Rsde/uekIN8Nrmdg5amHC2XJSE0KvvnxCcUZxQOv0lBzC2ytYGvZICa
WQ0IGxgxFrm3dSL4I9YSqgsROdu3g020Xu6X6ygA5EmtQpYNJuAVdaQ4SZ/n1XLISqYGlk+ZJPLX
aUi8o8tPtCS1jb23mL7tyZHzrgZBhqDmA9INgybKizggPMNj/PSRsFgU2MTlDBfmbPxTkYwXpoHd
0sSzXggouOrpH+4D2TUEVtuzWlEvOlfeZO6HjkXBEqPDgb4D9rf4yioiNQDY5OmuceJ024D9s2LD
xqgwZGgblAc/3rwTcc2ItEgTmB6t1Omeyx8Uv4Eu7NJr0Vcd3SON72qY6lEj4hTmRtCBiq+juPJa
VlaNzKWG65qeJ2VP1Xx8397/EYj9rUDMWsrP/3xgXfr7N5+n7Lfm2zOrTSQEP/ZVM2Eusm/SEJzI
MbE9fisSM7FL4jymTU8fP/AXudYfDX4n4IeI0YhCe5F0fdfgp/fP2QV5uYWgwuZI+9+cWb0f6m0z
YoCKaNHjBGxxpP6xEiajqJxVUufXAoSbfnNxebFQusHgbk1oLUvBoITKNSeNpq+MY2OnrSeYPQf1
oVGkHuDr158EgAQUs2ZLmDZCy/lqqv3gcyfKgEU28MXcHeohYXBPS7RU2n3Ahz6HI3Hro21jnCoB
KdGK0iQeeFs0P3kKCzUzhuBeNiO1Lj2fAT7/A0njMUZ09Afma0lCWKaJqDIAiQkokXV1ykJDracw
MEBY4KOamaETRj6l175ELxo+pHYwL6EHZsh2sbXgElIlg8+o4BVBL7O2IbLn0nzOumAgh6ZuZcjM
sDcr8kIy4qghF5rdb6nRi13QtfqOOL46WM9a5fyor435Y1vDfPg9+fGfF/BvXkDHxaD/sxfww/CW
fvvq/fED/3r1lvfL5IiMVZhgmWVK9lWutEg3fZOWDUbnCL0SB5avszXkmotKkyftX32i99eRF5J2
QcCRcZEw/aDL/JlO892b/M1pCbEnAk2Uo7RvaEPQJv7+tNR0TZY2OtQ3MOMMXGGhajWBSr6KnqrK
dY44BYqZNn3SXoGc6D9ZmkiqiWoFXkwtDqJjAG+3zXSXwwHfVpk1XVKtvTsO6v1yFCinDNwvL665
xMNRwbuxuhiBnhAjkuCM6v1DGk/0aQ5jhQzGJ4QG2bxZxsbtkhBWnRqRCwZZNo7V8IvTYuQaDwr3
8SSPmKcYRh/jAGzsCZsL0z843yZvdN0EeD7AobtETigxX3EtXQfZDcpPCne6s3Szwc2Rh0mUjDvr
4YK7Aeknr/E5rqp03wX2TLu/9uPHuqILPSOQ4JRmNcA7RuNX1JXZIy+oAHFP+tQ9fJPzMInuCEom
ARMbj2+RBdyeLTPGVFIIZnqATNZRIyEsr6NpDuz6lKNj8tCgoxSj+6OUKbsrVoVFUJkv4so0KZBV
TvgnsJ0WRqIfDFKyUWCaSZEnu9htPTvY2+icRk4V76pNy0xiawHlFaQUTBef1AFx06LnqbkLwKTs
Sv6zJTM9yQb9NysCe+vPJYzLlvzK9PnbVeGPH/p3ExmhtR3SYoJx6b+/5n+sCkH0S8CiwKoT/M4v
iP69Krw3kUPPRNNqLRYudvivTWTz/yeh6k+dKVSUjBjRAjDBD33/h86UJSFam2bCCDOEy4jeN/Fu
HaHa81yqcPPNYvkXreQ/9fYWxSavBNcCxTS9xO/XIQbvBgNqqz4GjkJMIrV1zhmUPWmuwDWEwWj7
88/7Uy/Mo/5B6E6bnnXv9y7SN7095qk26imTz6ssRDPKbIm5JOrK4jVm2auHGIiVM4XWo/Iz+286
cUsL6ptFlyMBCxQda1qYHAeWsum7FlVnmBz/exCPsyAJoSorapHSkuE1GjKiSOI5eopt8+++8l9c
YuKuQzYmxhZ/pp8MPdZ6FQawFyu65AWdnk+yrjKYRJmY7hJT/9cfyFa31Jt8YkTXdqkpv+3E5aYB
QBphxCE1YmRaqLqR7g3sEqFjfHRi6f/NSGBRvHx/XQPPdLCAwU5dOrY/gjh0b2EhiCd5GJsJ3ezo
x73NvLejSUnMSo3iasysc1jW7jHQhXXppFc/1W0bKAKnirnGjtsHFyK67HElEKoSpbNM260pml7I
1/mbp8AL/uL3xYLHu+9yN3nZKQq+vUA1AKUkp4Fz8ALC2YmsJJHpqk9KzIlJs3Alu8RSJ6a6ukxW
/eCR710n+mKA+j7YJhzOU0apeAT05L0lTo8olKkIz1If281VNYfWecpS9GbStMtqCx/UOlcEaFQE
nngouUa7h3BriAyis7bncIfFyzobIjDEdgT6ddUaerpYA5t9nEW0XWYhG+/XkCmx3lBIT3IbFp2d
XwnHYxDBKuFvshDK+SE3pfFMTlMUXzrB1BahX945YLJ6bSSw9cmUsT7zlE7g0iz8+RMQt0i691Ot
1XVtpiXbpZcjbEGqhIRsWQgEpmfcWrKngQBG8S4qOhGuJ1gHr2NuQ9wVpnP0ZYEMcZJyCSB25J3Z
92hEI7Je0TYDwsRuJby3UJjThdQt3IyVjNtXByPaxYCD+ugNDFeyOfPePOKt62Oto+nVbwaqeoZ9
tG1gVE2X0RV8U7QbePjLng/E8BU/kW7ApGvE3/5WjlxH0re5bsK1HseImzaHXfSkutl78w1/uiBG
jbadozxnB1h3CCkJDHIke5qDl9+f1TRP4AGnTqZw3xUTB5O8WVBFHl/W1rLt972S5bw2aO+klD9x
Vh0Lxlj0lZDAh+N2cO30OZVUciFHeWsDqyGYthVQJn8la999Y2pEMGrS8vIDDbmOtIieWjrhGFDr
jCcDKRGRZaBhoXhrbr+z1HkMe2jkS3+Ri/N2t68TdhDiRBsERjuJdwYFIklMxxHYTbtS5LdcMuVG
+PhQah3er787DR6IlxDlchEEGxq0ab/u6sg8v/+ZIY4hxmszZ92Y04PBd71Pg0FuVBJFu7HreYAB
rjBtHwrVHvo+j+MrC2Nlu5aIeKHaT2FEPBGYA4RWnK5GjMOhmZ+Hzu9bbxXSCpkeWhr7S4MFg7/c
lYA9liAifqAmL8Y8KmsI5ESBaNTpqUeAb+y1OeZkYieGji/kvXvlKm08eh51Og7xtT1H+pWwY/VJ
aoMuiYLzkd0pYGnquX/vpDBMkvse1QQcNfB3pBxJbPlmgQjDkx7XuX9sl87MlBE3QhtG7yLglt3S
u1HvXZwwd84khoNklOoQR3q6GsDmPPogUck0i5nJkIV6dr3CX/dLi6hfmkV0Y/3VoCfrFrDBcFFp
R4NmQC73cXAL0D+p0yNrIZtrupIkHR/cEDzmajRh6qzMZj6HYkw+dT3LJnqd4FRnqX9uzTqKV3TE
9TWGy4obPiEng46SAPNo5+FTlKW0sXpjTLIND3cExZiG0SZyZY/CJgjiJ6fukd9bKIMB9iPWFd1b
bQWklpVMxg+dYvLJHyQ4ntax5JHSBa3B1OK/rFiXpwvbHM+yHddpdvCNmF16XtqBPWNmDznR05Lm
hKg+CauFiiAntM9p/LTgrs+ta7WvGgp8SYCYepsaLJy557Ng0k8FYmzmz7mYebHQTznH2KTllzFP
O4Yt9gN4pXG9YRttHn2v2gLEqzc9X4P5jlOFHnjBGbrC3LfWx0oYxnycU3cMj04l4CWurbaHYCIs
AZvHdpxfiRTwGBzU6EqiNr5WRpvc0ZNPj0kYPWJZ6J7KQbzpChE/j6D1BOJ/3OTgfs9MSVjnPQZw
p6hp7Y/MLWjKl+kCD45U8MCUr6DfIdXRw5AvN47qiMpLrQDzWCPCXYRS6XYabfLLZ9d+qtKw3TRT
j9FWVnA8XFzYAdp310MV7MT1uQ4M99fScvjzLTuW+OClkR3/GoUqE6uua+NmNxOBWBKbUozADPvC
uMbSNXLpKvj7MyKnFx2EzSFza4CUjJGIvxwybPPIttfajvtX0kGoRdqBsaOj4HEWluS2dlEkthkh
mSwWbpkInP69xkmYh2dj0mwLFZEp783TT0Q3RpgGYVYgHpt5aFATTZc+McMlWGR5lFB4IV5LG+tM
W4u1tPNt1vQ84u+RNr+NPxA73ytuDdkeEetghUCAnISQSJsM/nCCdhSg0WpymAL7ZZtVSOEK1nsh
xUGnknVQegnBmKAawusIZeI6Dxs+OWczwasARPGudfh431PM6ALNPt4IPtiJZ/dtRrk1krLOMhmk
Yyy2cL6XR1+ZZXo3qDqsV2OrsE6MIyrV0pvlSgxG/6l2CnYOyxE8EfbceW/Y/6a7PvNYpytkVWKj
ia1Ol+yOgIoBF6a///3XsmoPkHKX5lQSsWGwfQWC1b4rhThIPU53g6T2reDSbK2Z2e6JgQogE0am
lYv/mBQ/Z22KqHlVNrLEW9tD8b3NcG1UayVnPrJGgxVc3K4t4aDSNyNtdFWmySKnU6Epg4DAd9dH
eNEDJALMrx9io/FefYabUI2EkV+rVkzoPaFXkdw3WsmjomvGgNQs/Wt3dsIetyA0hLIxGIGNqfFl
EF20T0cVTSt+Z6qczAiiJ3tSPBY06NnJu2iwHh3RsT0lKOOKnQhcehzJlC1XlIYIaWIe6oL12Iak
uVaCpeohXu4ogwxu01jxxJU9t9GwOk4NzANM+uBwy4hyKkNmRk+WoZk4cJ0oLR98JzPGB+lPoJrW
mUqTNLwwA418tiqQEAA6w6TT2U4XpPlYH/KQajnZT2qAvGpRboDmxuBuutiRiMLNNmSOM2j1tb2v
0Aji9mK2cypckZ6Rksh1ZqR6y7+x18LAO5X53N5w+7tLE7KyFDI1XiYjyk7GkMQr2eN0cXVYHRJw
7fifyIEqR4YBZdj5m9oEwGsG0ZWr+3jdYTdNQpZ0hziNHY0GayNmq1qJaeqODYnqwLtK61K7LDFQ
yIjRzVHprayCimTwq+KLkblArWQTH6K5qZivd7LZ8AYqzBr1l1p0X0hQvY0mVx15rikMxs68jYbW
vEVsKTcSEILf6+owjV63pTaOHyZ/1LucTXSDepF0Wde9dc3BvQEHX99zt9mXmQ+e2PmqvQs1Agqv
A1yr8rdJVN6MBVMmh0t1a5KK8KE1/PGVoZpzbiRGhrWTmBSQU7cvsc5ufHnnVNaFyq/e2lCUvnh+
7J2c37WulY0YFklxQDxyeMAT8hmNADfEHXmFd57nKCxxo1k2FNqGbNcGO3CP/EguK0i6TDTZr1gN
B9y9Y2dDDnYIM7jpi5KHtEpZbTBO8UTOcknGieFJ9He6UDmCXsruvzmKL6eO706nIY2IYHEv2ujX
wJJ+fyqBYptH7HjtoQVNQNEP9A/W7VL4/vwI/qfTD91QhBoI4jj2uxzcvv+cKE6HMW8GMinqRVEy
BowXu15glnEna4lzWY4u78vhzz/3T0d/PncxJfg+J1OXk+L3n8uRvASoNbWHKS/9t8EgKbnqp3La
qSBl/WqqWl98P13COMAiZH8jKqJv8+PVBWTJqZgXnF9iIe98e+bTfU73xPKbgwJ8T2xfKOxHwCfE
6QWIOUheBr3HNFZwLFkqb9sNWdzfL8A/Pfy/6djBSVoi1v/zEO2hGYf0f9Zvoimz74mkf/zo175d
+IvHXxXwBL3rO2mc/dG2C51feHG8pZu+DNFs/p+vYzTvF5vbjVDBAUH5Xa68Q5vfDU0PNf/X4cB/
0dLHXPPDIxbRBvGYI/B3+gwAzR9eYPjnRS3yrDlMMrAUAdsFtScxT+yLTJ52KAbdcQ0tJryPMoc9
z87q7AzzstlIyEa4RNhoH/M4c579PtV3qPrrB9n78Uc6dxQwVLLtIVCzd2gF0BiSn9AlM9lvNlhn
MBSqCZ8p2VgT+qGUuSLA9tLAKGA1BCJSUjqQVbqyI0Y9S4hoI8XcWhd4KwiPkDlhh9XIohegttoV
Ru/eplZOtwo8M1EAaH62Zmc4J4yDRI5zC2qQDE6K3EICzyanR/s3tiEgsQw2/sOxcpyTmumRRFNm
1gQtdvLVxItGVFYVD5/5FIs9n8xEa014QO+swrZDWB74pd6+1/9TXPuk+/gD6fMZcv1DRrB0sEXZ
Vn3JuOEHCs5FhOmphBopiz/NvocCorBU/9zOBkoDIAf9M536/rlWCFMh6tAWoC9zq8a4fmx7sP4D
zh99BeEm8TbuSGcHKmeAAKSsSivG7NkhKp/TNrwnQ0tvO7/lQiLKI7AYY208rdx8CkiwmduPVhKG
d3GJin1FmoFpbYgYBoYZlarZBQQYQN8IjlNbtbfku0V3Hgju9DoHLXbouX472XTRNdm13X5OU3Wd
jhEomve6FjBd82BZXXhv0Bw45wXwR0JhvENlobusYtD9cVMgXCUl+GRASz0SS9LcFqKTxsPsVnrr
B7l1cnulSODkjLDJ8M73B0gWhFCPoECdOut+BcLQvYqxsZ9bU+OQjahn/TW51UyejAqkz5DiUgmV
ju4nfL4gY93owSZd655wtSnZRpMgYtOTzkc7nvpFz4bTcjOkhnojNjTkYGJF123rBMlu1Ca22Cmv
swOqi2E+0tmwkS/Go3Ftx4ZUa2UH1dYxp5Cs1x7TxnBMvcIj7VG14wW2ildcp84U3bWhYTkrS/j+
h9rS7k3aG6ZK1ti7yYcDXdnMZKDBXHSI2dGEs6yMPGfMtjK4EJwbPITar5RC5EcMkeo4y/tOzP1B
6bViejd2akvXnLQkJMv2eOD8ZgynwW9H81h2FI7PTK0jAuX5F2HQPD4vQZwYD1oBxbWL+CaoKnmV
yaF/TrvqTJhLcl2OVRb9lmPSlzYotapxjVNSmQHYVBgkHzzHzHbZTB/CxAhKAKwudiapTKhiyD8E
6qiessEmjjhK/5e9M9mOG0mb7KvU6T10AIdjWvQGMUeQwUEkJWqDQ4kS5nnG0/f1UGalxMxSVva6
FjX8f6UUE+Bw/8zsWnnNebXetPCFkt6I1jFcKJsaYWHQhck19GTb2ND23N4ancVmsCubBp2bWoW8
Qvo2cD4ljCmAcoVQxhhIvgJHFdl+1mN4T0jy/XruJuUy05MD7Ex6ir3ivlzcqy5pg0OCJ3jlueV0
HGO6/ByQHRvZkR+vy2lH8Fh7tRZWmiwAyBUsO+b5UBlj0r0zrJMzkN333dKGa4rqd0TPrCejUSGx
HrbBMvflDYeUe7DPwh+ahZ+t9Tg+SmpRhoxDrVvZaHAFNR+JVZz0omq/JrNz1hcRPOM1HfcTh7z3
BRu0m2Qo2xUNXQuk8ZYK6j4wt6pmwR/jaN5JeznHtYspis3rKopoOpoN+s2JQbU0XxFcjJumrKj7
WJ7LwIGSnzk3S9VcdyMetUpEwwqXXbOrA1ASCRmU66YJxhu7pWKSBPhnj9V2Rw7f3cTBHGw5cSZ0
YVjtqiTttMd1ByVhGDSF2TVOdOgN7MXCT2Us2nVogFBInblYg9ajNpCWkQ9jUo97PQ+7RzhnHRfG
qO04SH3rGzvbzVEyb3CrGQ+DIYJP9FeDqpmCCPZ7InOmza7QD5hRx3Rv5tI6FRzDtpzx2QBWITDY
ik350YUrvJo0zbnrq8jbxQuPJqj82L0tmXNV2ItDbWYNnYvgTJxs3Dru7qFYBE9ezVTGtPIApinF
1tS64i0t6Tr3F3g7Hyu6srdGP4A9joW7zdvO25UL0+IK6M0Hrwm1TTdAtyzHYjljYypPcz2yPWS2
c2fyP1y39qQREQD6xchUX8Eu6rcUWNjnRgQGpNypS42jNSXhlZfmrueHhVWvsi7unVVKVEKNHOJl
TbvR7FuchmmwMcyzGXDMIhdOtY8G8QDnfEChS+WkdC7i+GtobPNrrdeeOAq1H7jiinod92N10s3m
3g6S8m7C2Xc2E3g+bqco+xmXgSTXOIl2NRmR3As8Whz2pMYk3km+mq3Mv/Y0nK3Z5+bo+10wgmGW
9nwsHJ7YmLxq0Gzkxx/LqB/uIy8Fj4tJZlN51GnUgfikef23OC7Cj/gmoKbOAIFaaT0W0tKuuacI
a5mp8oazzi1zHTyGjdxNZvIpsHt6v2trB8S5w/C2DCvgEB/nYfbWuF/F2nGalzrHSzuY+oE4Z4rX
WlRfQ5CkfpponBhdM9kPnPBK+qxnuVnswLhF9mg2MBzSu8Kwz0WIX5FQbL/JO8FoVyC0d6sxakYC
HUa+nMO5CzZYbV5hcz9Q/8RWiv1FvJiE2cwB0jdNy2tO8qKGjsLiSkRSbWboI+5kQ8MUT7kNfuf4
RaTpgybsUk3Y9E94euJ9GbvOV4Z897iFvgX0vdDWhEagOc8FPLg1tWE4KFLdOXpzsFxVei+BmdfP
AFcq+Nj9EdxgwNpZVRuMQpAOwgHG+DTnB3OoYOJxGEts4zEe5/Qq45r34fgZWwOTBGj1jnZWPdnh
Ra6OZTe9l0vUbun2LPyMGTMz+eW141C06sy+fA8Mg3FBu/BdB7k5r6EdDRsmoZ0/F22+BQXM4V5z
vwSkVg2O2896bZk3QF2yFbPOO7izXFfWl1zkBoSXnrYT2NUnsMyXQ+xXJx9JjRqvLSJRtAboXK0g
R497t8IS0cpKbmJGT9gm7WjHjsW5Z2oSrqNsTLbwFqYbUTgBhsTy2PCjg3jfxZF+juaWthin4hI1
3BA9cRJrMKFM9KrkEcHCvg+UG6IaYwuGlyjK+z5iPp60nP0BDVs28pPkkX6l1a1NxG956sgAqc1m
bRQ3pdOFKzl6ytLyDSfHvha0uUWafhOM7Y1qGUQ1JWzYOn5S5Z+aDNri0k4PY9vfVkZ302nFNbu1
GPDlMnPfYzcBV8zcZuhDuPnc5hYO+2FtgcKgusWR1lWRuO6VndcQ9+zGF7OD502jMRxec5H+L+73
X1o1bOOXtKkzz7y/PvgJnHb80d8PftY79DWbk5VNvkRcbJK/n/wolWBeAqvZkLbK9jF2+P3oZ78j
a470DgfKFPwxzvy/GTZM8x3/qMFEwPSs790W/+Do5+hvLRueITlfcgC0BSFC01FUvh9sDY6ipTcZ
MFYSBGoo7KkSSHY4yDFiaCCHdkMFisjVncg+BPQaywNKgEe79kLGdCVGWzHWF6Kum5KQWQ3UtTRG
VfFb5Lqvoxa95jETegi/8kBPj3EurUweOnbwVMyLpH7O2L1CXjCYHI0J6DdmtxAKYAEzEI8CGHxK
dKz0hUnLkEBr8kcQQFcGVq2X7wK1h+a2Kgu82T7nALfaicyJmg2KgvojJu6sVQpt9VbU6DyAAnjh
sdLZP3StO92Hk4X6o2xoDc3Th4CUh4LwTE5zE4oiLalMbUr3aHtOy8KkGw9ZoXRlIyL0ZxSUbK8q
SfXCTLaw51SqBmCVpxRTIcJmrxum8aBMrC+OmIjdlVq/N4fIfFxGRvsFm7B9a+poCnbeGudQ1Hx+
mm2CJ+zi/NU1mx049Wg3oPlpQnhNmphvoJDUjcVwyJ/NQHkVJrPhH7sMwXIkxpc5VLPqPuQNWMbI
ux0zXo1kBvTyQEGQetOGIGt7E59aprymm5rVM6KmOp1fhIJ+1M2zLeP8VJCHOJspo3V3CAzCS/F0
zVl/gNXjpYQa0GuYkqrvkw50JYFMOWI31zX/n+8/aIb7jFLuOGCs3qtf+CIV8JO27Ud7LmntGCn8
ASKV0qC+pq4vje+wNvARyjlR+zxG0LHvthkam5X1fC9jojGGiCZNDbZnqVmUEziIiXD3rGFfpXkE
j9YmabjN8gU2AMibb1FAoYqvDwUeoWy8Z8thkXGMbBA8AWo8dIPkzhloJ6LXr9ZWlZGLh4LJ9PNF
BASlw4WewucJtsx++ZuWQPDvTAB5b5G6iDod0iNxIf5vxGeuBtG0/LKe2ZHHvMwGcHXB48kch8ks
/X5cfJpA9AgGfMm+M1bdK+1IzAX0rjLO0VhzEzrexA9c4jwSEH9DFJs0qRBWCurZ2Wh7RNQ3eCy4
3gxuy6sSRJrcX1BK6qhmAuU3ed88bBEpctyMyNwhsStUWK4YQi3t68T4PARcofHbDeo6wcKARUKp
Oa7ZYRaxqGJ0jZa/rKt1Hn3QOzbMCFBPh8HDNIk62tAL93S5hC/iyZy25YlQIJYsdZEGNnrqaPZ8
JaMAUzlBB7rNFzbLMoIJvVVpyqfvAltXVmhpVeYqZ4RylHwf9V5uCYgRKG6xElouw+9aZ+HA2Fw/
Lw76U20pKBO5NeNBjmXwpClPiV9x2gSwUTNzyBqHm9MusS0two13WWRxYB7jnI+jM3/4TkOqL84F
IoNcYJrJTd6mA9/PxZdx0fxmfWEFwaBjHpyo9K7GMvMIqtn8hHDiuCTKir2gn9G56a56p43M26Qm
3rjWGo6PBPoXb61nlbO3rUan8FhpkPVE9IuyiYbeu5Trx5wAc2+XFpjWxuOmILLWUA0CM48VKxd0
btzP7UQvUIKHNp7JtZr0btynHsuzW6QgqnIj4++h+Fwe0pSJf9KxZOg6wndnVT3fIILcfcWFHvsi
SuvnVA/qvWe04S7oIvFwMdXZ2N2DrRuhbr9vCU5KhBSWSHPhA09g/RbKgwU/VCZwwgT6slTHsHRQ
wMwiz6IjRtZ4l+jkRXsplCd45FfK4kC+tLFgaTaCmWsKzgYX+Gwv/KxNq0J9o8cdPhUGw/1+Zq5o
0fy6Bl6IHQj6NdeLwSmMPMol28yY0c/t2jjHdPs+5HjzGk5+VRhsBk+JBI5BQO4oEyWGCFKdr2HK
oTGOmMHhLkTWU9deQ1VfciL22Ox7w8FMdbnmpaB+YaV3fOaVoG/S5Ne0jXMfD94TgQTsBExSeQkS
03VHUxFefVozW9Y3BEA4axyUuB69uXVXVe16T1T88kN+X9KS1kDJQezjUiJK1/SHxG0JzdWDHJtN
BbrnVtrcXVmWEm/sR75eE8HhcsflgyufxqKbqFqurSbaXlbWsoyQacfIrZ+M2CyKpzEM5/SDBT6e
07pUq5QxkPqSUWe9MN7D2tTX+Z0R9QIJuXglgukdmkqhx9wahIE/U+lNNSeK6JnRLQsZZxHuYBfi
DZOGCBAfAu4czXuWH5PslBH2bCF8IJ3QOOxy8U45ng36OJ0AO0LTxl52tyRgx/UYOA97XS184lHa
EK5ArTvKQueuSZURimhG3qwjlhhML6MAAkZLh/1aFvlTGRrNERxvD7RypmGCfYjZPKB5UO2sHkSt
XWQPoAOrE88Y9xZ0uB5w7w7mtqmhl9SG0Z0t3SxPLT08q4EOksfYqbHmzEXwqSb7pomyhhHrWaum
c1a6Qy/0CIDQyLVx33XzoY366uQkXpMHt3rEgdzzug8Fh/qqauutBivptpKDn+TOfSBoPvgwI/tr
PCdKmsgPeNJzVlX6prBAgmLBaiTWFVbStbDFUqwcPHsw32qZrKpS5Hvmp8wsY1m5K02m5jYtBFg1
h8Z3vZ/Go5VEabqCN84EBuhSNG9nm1EP3EEthifZ9hDYhRN5J45wy407dc6xTTwec/FEc8CkVZAe
RuNRGgM1r7pd3MSMPI+OCLh6DaROO3LpcnKTSsX9Jo6RAAVPzTRATkfrNH2odNNLJsvkcXbyR5k4
dXaV1a28q9OI7umuHd2VBJ+MhmsO31rsYp8jF2xNO1IgunCRbWrLidcuXJrtrCUeXPp6WM9TR0AS
kjntYJKWgd5sk2u3YU50zfdlvyadW2yXnoYF+hf1TRiPj55HJ2xKCfrOCcZPWOJWVpw4n2nonO8j
i2GUkcFIN1MHeldnNXctzX1sfwrOd1M+fYEu+qAlwBcZwrfXbhwtd5TFW6vS6fNtOWtyF3iDcwUa
iXhA3T7UIBETv7HZGZHCrUvmFzDzUg5hK2uMqk3IvuHItMQ44mbVyDOX7SH1enlVIgNAgp8K6EM1
HBibqCv5R3ejecR9ElYsnyskvaX6Yu2w6yRgYdzwEJjZ8g3FltYv+5A15nwXlubKLMxiL4jz7Fz1
hDDnCigg2ci9lfKDtQzWn1so+OukajyaoiyysTmj7aLQ71MwWlflnHWPYhLa1ZxXFOdorsOfG9m7
fu6GjMllANP4iA+rpr2zKz8mbN+VwyUfYq5vrE+MiFx0HVM763atr3jyOowc5bZ3LCWypzmFTI7z
wuEUA4GycBhM01ZD07RbzeGy8WdnpB9p6fqdHqTRyuLcv2LxD9cLvbK7IIy6w1BYr1UUyo3oDOWH
0jO1WhmHmUatl6DRq3oNKRvQaik27K4bdoLoNus51dNNV0v7IahZUVj5m3wTlwBEgac5cJ9pksuj
bF63gii6RSBfiReoL34Fj9HrWUjQWOt1Z+n3w5hmBgWzWUPe3YG7kdzHzO4ANQIvZfKztANDaDWP
jtRkGhdtRc/ZUFQ05QaMrks1xSYyq7EwNbG9d6lof9LgCrg89gJh+7GagzcMxBs1GXfsprwmxRyv
Y/rMnirw5odFzdI9NVVf1Hy9j1B8vMShgEdN38cQxWGNn0xN5ePvM/r0MrD31OyeweMZWlT7QYu8
/pQ37rWdMoTm4RW8z9X03xuZhfnEcQLmVheBoL2IBXkK4uuo1RcVgVXL25ITVOpCcpEaQg5ugLYv
EkSl1IjpIkwEF5Ei+E2xGC/6hXURM5zvyoa4yBzhd80jtCCaPtMMxlNX9AmV627smpDDibPmpxqf
TL1NS7Zca93Kcb0Sj8XfZfXsQWlMY7dVjC0bEXuQPJtifEPzUVee+FkwUcbIw+SpHtmWk0P/TRX/
j7SPt7YAjs4WB3vBAVpA57nQM344OvdRgNmiixMEFg/PVF6C1vuwSOZaH+WMiXwrc4/dSInzE5ra
mPLw/UFrvv3usPhX0ee3JdzB9v/+nz8XppIEQGjmjYAC4V28MSaMkW2Ui+jCvTVhDMcD2mK26T0j
EGeDkGLIZjOodrEZR+Gpq4KlIIrYBuew6IwHV++Ns8SEO3w3C/yTr4V4hIIf2cw1/tSZWph9UEY0
tu0Lja0fjemobFNcsicdOByvQOOx8+lzxtdrjfT831n6lR3iRzMKXwYvb6t/sQWn2ODngUYxOylV
5zDrrTnjKJQY9VzxxKndPOEHiWZLYxc9umAYnEA7GGr7XchMggnDdSZumGgjEfh62oXRvlMn6Kom
Yfrt4uMeCyVf/+MfEZ+/gX8GkwcW47cds4MXxpqpudm+CAZ4jNh0+1alC4hwN5jK6xUJTxhEU1u/
0Dgw39cds4o64iwfl1Nzn5OL+5t3pGY+P3+FGBJMaSpPApTxy2X3w4WtWbW29OwbgC3CmvQv9vOO
kdRTy4gHifTiMhyFaF8llttDNXC+gMGLM9Cg4ZpZZlupMxjf7K/fmPlXb0z1sFINjNHoT1YYB8d2
kzd1tEdIY4cKqaXMet8bx8aZ2BWB9X1PBacrD3OpjHwTqd/0OEgx4MAfPObxytuu6zOnZXnZFxsd
x1gt5hBFpo/t+8VknwVKaGvUrAeLOXe2lgdMS1Ksjv31zGDw9fuhNM6h4faLmgIUc0WMMVAeeICX
063ax73EBYXFxcI0O/UZQHMC+vXXId76oQhSw6yRtsHcQNre21RQZGh1PGPC3pmRxRooygXvuYvE
xjUz8e4vJn1iKAjqhVAG5SmPeFsEIpf3k2fzbYWmwenEWlDPkkzyX/my+PeJ3tJwcxkPmULZi8Ym
YUrTj/iz92XIBGxFvc8QbsKhbvbLrDJBlqD8CVl2xqfmciB4vXzY/1mQ/saC5GHH+eGy+FMZ8jqG
Fhp/6f5VfvvXiqs9/xy//Jgf/P7nf59G2/B6KTNwGUebzHvFHz4kx3lHcBgnio7biDVURf1/n0ZD
5fWk57kec2dF7PphGu2+A6fGaIa032W+/Y+AvX9+nuFv05luW5yMWH3UJ/9xGD0bBezcedL36VRS
8fstC7WbaUa0x2NUjMU+j/Vjy4HOC/qPBubMxGzXP3x5f/FI9f70UOctmDakOJPPDKpA/e8/rH0l
JsDKdWmuLIGJnAP5cfaqK4pBNkW+DVNR+XoHAsWrgNPLLLiuIPjuHCGLzSieKUUCRrkuOO9d6xBd
sWlsO8qjKsc403ASEMUhpFBhQBo4fujVFznl/EMwYvGLaOmnBL6W+q8zTB4Zz4/tUu5iLDittpkt
by8pWeF8TeMiM98ClVTvyp40Vmuaaz3tV7NZPM2EdhuuiT3FDH4OiofNyynsR8ePk+VOdlieXCXy
u9q1ZSWuz4CvZVJ+JbX+LqNxbTMV1CNrXndne8+GCdU2hAoKbGeTJ4ZPHHwlbYctlcdoHyRomUHQ
y1dNn95PWvCAzq80VSaSXfUJK5C+i7P+NmydU2IUhBf6FSjOVU2hys5eeBugRAgJFcWXfJI6yGUX
lJE+filkuA7tvr1C/LP8jJgO2xZeDNBuat6E5I2+r6T/W1z+ZnFRW9dfri43UfwzHuT7H/htOXH1
dxa7LV0XULZxL6me8z/ELRcOAdsayBM/LyeS3hQHTYzVBPifImH+IW6575CidJ5npuCwyGrzT1AF
xltty6HthWwnlCGTtQ6J7ed7ORi1kGIJy8Lqp1fBWiRLeh8p7JwlJSaCGYcdTSvLtmoYqBjjFBxd
AK/PXqtPj1aB6iTtpP1A1zLgHyzNm18vNW9XGt6d0Pn4vEE0Q/vtLgsqYxMYoyexJMnyxYokDY56
pKhJE5uuOs7mnVeBbmorbHJ/s+nkcPBmj+cS0iZIjCCpQ727iI8/rnP0FaG79XF9gK7/Ma8Dhptj
H3vXqQeBdm1XlnMldLew+Zps5zRJL34E9hR/mpZieXX6ljlNtczmMcyo4EoxkOy6jGVgQxzCvnNI
B80r/HzWIRjz7sqozGor9UoSCIVslUw59kmyXflNJGZub4fkDt4ujp7+SNpr3fcLfheXdEbNCoVb
ZEhs8Ux/buqXzPNR0F3iwa1cKFbI+nu4wgVjGlkoQ5zp0vZCCCha4RdnchhL/YMG6Y3kqfPQ43HM
GEnV7GkcuyrODX0nZB+Uc64pzWE/s9dbpZQw0rLSASxaHPASFNpStVBFRbTKxTR/RIEnJYa5y7iy
xiQg2Tp3Hyi9AcEe6zCNfd2IpgF0k8th30zn7Rhl9m7ywHRrUgCW021R36sZ0h1hMSoXIK2ChCl1
m8Oiozdrl1nsZuxpldwO5sSqGHMrEfN2QwDSdW3jsWeM+2DQ2bIpOmfsDzy8sxA4cNHdT3HvRivD
HCn2xuihb5mJByDRgg6Nj6oIhssbGS7mqZgapqhhGIsR9wgzD+b89EpUiSb31iCEhveWucBoWR+d
ZHY3kWUXtxiFpy3yMD3jPU1rvsQbRgxan4ytDgJs23QQqmcUgR0aC0HASAzbFHOgB9xqzZ3qHQAY
5PcLgVSylmWfHJfETdau1TkvZDar/QJWb+NlVbef44Ylv+N8S6IqEYwGmI5P3Wqoi1aZ7wzKqd3p
SM0M8cAEo6M7RmPlZ44VfZWjPtwYpTFZflw4+Ve20SQoCTuZfm3FOIE9OtxjwH2LZfq209jJmnvv
PdFCMpN9GvfEiZIAqsl7owE7Xvm1U9BiFKC3hqsEj6+Bm69LX4uEXT/lpE2yE3o5vqK15HBtMbuC
DKlA8OjXbe018ctA1Um19wo22Ddt20An6xdgt7qZDB9Vqtm7mi0AtAtxk34VeD19QI5Ra92XIujB
pDUez/4VpmIZb7q+KbQNlq/5mpQu1MxWdzpj0w+ct9/PZjnPezjn5Ja0oFCCQ9Hk4brpye1+Ql0E
VZRSEFdw0LQKhsRjqu9B9Ec8CrBANdEYV+uaCflLW3K2Uwc6LvVJLw+Ieuk9WBS1GDL8pwovLm6S
pXfOoscFTOWox6s16rPNES0HTbDgJa+tNlAHL9l+6GIcfT5Nqbz7KaRmDcvlso/LsWJOaZEJG2iF
9T1rYI4ZjdzI1Bb1k+b3+tR/1pOm16+TuLH0sxcgJmJjrMoXFCPPWiNawOhWS7nHJ2dszEB30yUX
8L/WDYTaxfKUtaYWl6t0NBeK7ieF/cSxJaUxv1h9zyTx6A6xzn+kpIYl19FshJJuHmMZh49FOGUx
PhtaPF/6ucu5dJqlPZUNTr66NXjHDMBKbTtSKZ/4tIXCA3RFdoPATCoYJJ5gG4cvnRlsyJChLLmx
4NxkN42VUVePeaG01i7yzmHCUgS6cOii/ConWp+wJC64swWdtQdEMXc4y5quVaYYVtCvi7ZxPjFs
HHGhxk3qrTLavYx16dqw8BgcuxAfa2d8LumbP0f27OVr6P6lH+BfO4RMfzfpiOOzNbpHiiHsw8Ao
3VKA/fGutzMzW2upDIadi64kfcONc5SGkgJSaSUBxkg9vY7MIWB4jKHvCisWYgwaDobeqLe+WKTG
ORGbBgy5Md0koqRBNCOidiXJpp8ofY6uemfBH9fVTDmn2q2sjTs1tPtoWXfwmD9T/doGsNh5zix8
ZG9eS9yp9ArUuSPI/LctdamlgAQ0dxBkd8Vozqx+g500a9Zx6gBDS24nYHh+m5vth/+dSv8blA1H
M3V2/M/BmIevRfG1bb9+/fEs+tuf+n33aLzjzPgH1vy3naOnv+MAaLI1ZAMJ39hlU/n7QdR+x+BH
t+ErY5nRDcUH+d0WJd/BFIfeC3XOAi7OXu8f2KIYc73dHnGktQ0PzjKIO063b46BztwQ8xut4qBR
eW1UuwGHfDJsAm0cqebI8aH7ajgzXnVKP8jbel4bSlPAuuPs61zGfmAFHISI9RjnVukQGDjTja20
iTC0W2s1NtRAhfb0MScNWa9n0zJfPKVsCKVx9J5F7EHpHk7gvPZFhRJiIs7z7ArXRLXrlaEUE9SA
HhuGruMRMhFUFm9qtxaufVplQHrTFFV+lIjPOKXa/NDTK4BCbW/7lk2W3g36akji8MZQOk4xx/CI
uZkRtFuJ0MMWvfwYGX29EzxZju1FEiL0aX+mpwyhaLqIRjklVteclbvHFF2O2vVFv+/HBoxx5twN
veFdQ7Gq124ehp8IISJb4PKlKqMf1mmMFzVI9GaHMaPYjzExcKVtlVXpHBr2MltbS9mC4Yq9KRzv
GMIHtsopvYUaizkT+41vzKO7YQda+r3S0xr26puxlvpKX6S88pKpPfTtou0DbSFKkkbaMWuhfqai
pnqN1OW6TfTyGu8GQl7taoh6FLs/GES3N4KzzVUIpHInsQJtRW1a/K3tclcNor12Yg3LbS8ebKUf
zqSRNu3IzjRw0vZuSfGr0qqcbW24MmutQoWUSo/sESYx73zS87jdsSlO9v0Qih3zleBpcONyS5O1
/UrnXTpfky1JrkOLusTsIoVOShV182xYx0Su9ig2zZY4eryelY4KU5R5qNJW0VK9z25TjN9CQi/b
hZZ3lygDI2TuG3kn57HNruakeox6I3l0p3J+gV+KmFssln5NB81wcjXMRmWu8yPHHnJmFRItosHG
XVOt6x4DpRSbSjMml/iICQsZWTNlvXf7Mr2bypraWboOb0TeEASuQb/5dLlS8xWTyHH2vQarcdu0
SnlAE0XAXpSWjc19m1zk7WVS9ThK8xYX+btWSjhqPhmExUMeJ4ymg3UWNG6Y4zIIory4a3Bpx/4k
lvyWh/SeuXnqgyCvrxtbvJRZ7QRXNQ6K6FQZ2Qc7bpx7nHI7NpCGdmjjXgZil3UY4h1/8MbC+wKr
oo43YTAvNwt5rNu2F27+xSsI3l/JogdZ2vWPVjWZtw3nFHzjGccLGbQJSNketTArvONYOoKdZtCi
M1aRXeG30fKE8PI8hPtKOmnzKLJRptOaAgLaBWllcUqQGa3lthpJ/EToNyyUfO/5QMtQYCdEyzbU
J+i0jNRjt9KZNJ1rtHfng06OsMb0aM3GXTF5ffCaBHWLDL54PiucH1EACBUTEzdXrpXiJcv7EUlR
Gin4G5Ua1jsv+exowazt3WJgw2eV2aj5pdv38KMvnBbllJbXI63h8DJACKWc4blSdHZKByPq9MEv
asQ2jiTylTBWl+4IVdHd58xsn9eDFjMM64iheRuA0bzkAp8B+46aVZsUhuLTbDNG6PqI0Yu1j2c2
TGU8W+wLUYvyME5Mf4i9oryBsCBKGzxTHZndCY+GpVN8gt8rdCYHA11U2DcTCfqtpcxtup4N6PUW
3zG5qmB+AEcmTg30z8ZPywbtesm9cQc+074uPFkf0tjjvp+sQBHfZbcSPZXGOFajXeEM7q6MmvS2
ENnVEnqG4zeGVV5NkRWdAtBQbHU6GXF2ch1uqiFGoe6LnnpAzrCqj3lnaUWi7lWsDUZox5sGMV/b
Qt7U3zsZbTu2aBdjBelHQ3opijNbqfLeHRz73NmkEdl4CQIKpneakeH8rG6MNb7EcNc1eBr9Zekz
3c/bZf5Sz/VnnlHNWQG3CCurkkO2uK4v9Fp/Hy5GsIVx5D6COm7vJEV7PByK7JABtbopO5dgvzbr
x4FQ/5cFa/PtHBjr1rHDA0tnsMcGoH9MHSNeQxlxnwejnkpAMaLaJ/jZTs7iLNd4o10fFwbY6XFO
SDuYhF3qki1sOG3xvkt/6vQlIV0Q0RKUDKbcJGQcbilcTGD9eLuWdrTHxSm7w2wPPfpSsezoyLZo
QTUIBi4trZZjRgsHxklKr5tJuCfcT4Cdhcm5oMEzNvL6yB3S8oVBUjOkieuWZsVxNSxRupGJF+5s
PsC2wuiHRWGUEUvjIj+amI54FoK6fwGk2l0bzmJ8JV9Wbq2OCsfUCIy93dbmB23i9ShDC9cV/rkt
FKMKREuXnVN9rJ967sNrNJnmFs+YdwV7omBIDLOWpAryqBkN57S0MI6IzN5ny/CpdmV8Ncso+hAQ
XzsHgYFrGXgLOwGKvfzehXde5qZ+bidY7quYO//WSpxpR7Ve8+I6xYqgQro2ifjcNS3+Fl/mrn3I
iaXQ5xqBtkzS8vPIGd6vplzfpADQDxQhfQio1sXSTEoJLiwwF5rLNySDG5d5BgiIItA3klKnayuO
dTborYJGNiHUCM2s1pLQEAAojhEQbXG/9W1ImlJikvM0Ti/tMNng74HcrTB2z7FfhKIDEEHvjY3Y
CkCbv00fXQyO3NTU2q3LAKiWmMg6TLhEmQDoCStBwxEn567CD+G8B3bvQpAAuhSH0UNrz1V897/9
/X+1v0dhZVr6n/f3H+L2Swm8/KfCbaaY6k/9vr+30YYItKPmWC7K0g/waE+8I95gs8dm8HjJvf97
jy+BR+NlkC4zW3mph/z3Hl8KWJWmg/eOOLzu/sM9/s8+Aemqog9iqYI1XRLDeAuTEIYepUyw7JMX
YsK/EA4tA0DtMs8otR13Djrbv7+gv5CW/uoFHeAYZN4tCvuMN9PolE/NyCK3TiaL4vrixSS8RRQc
cso+BEV4/vXr/Tz9/v4BEYf5vnD5UID5RkzzEhIaFHDKk1NG9kvi8QJmkhgPrTX8nRHl51H25aX4
qfmt4RFQ9/kWS8jQKAr71JCnNAdmFzsJuYNu4QFPzTJ8zGXxnhwKNc//BRPkLz4lV5LF1YAe7zlv
6RhjndJsoDXy1IqE+YhbsSFhSKO2TCEy9a+/UoOz5w/OiMsH5Qo0PAF3wbURQ39WFKYya3Miw/I0
lgz0fadq2POMiY7pYegcDPSFiVnyyJEOFX1uogErkKFQSkyPtJWuHPq/fkd//vi2zsVkc+CkpOdP
HqTEINWQUUV6+o4ApF4m3umwV3f/n6+FRozMwyXMhfPmggoTstygmiXVy1DReglJyulyLBCKpvjr
j6W+xz8cKOp7tklFqWYzEkuubilgxQ8qbNxVYHPKXp6GIPrWCsiHvci1v/k1/+q7YxGi9owXY5V6
82PqQyIZtWXyxDwQmoo74BBzQSWsjEV58H/9iQz17bz9SMonJths8RW+nSi4ASemhdj/KRFxysll
4DXpU8C+njUtAQsImy+Yj7hJKem6B3tqUtAKkeJv3safr2AbhR3FTt2q4GzfDDYCQcg6sFN5mtxO
HE061TGdB2StKq3lCq29PN+kqWBbPi+479eXm9eqiFKzgjT7X7+bv/oFqA7GXKB+aRA7P//MaQbQ
M08rbl5FsdR15Iix6ImFVM3foWX/6qXA90BPdni0iLdX1FS5Tdk4tXmKLb5ez1PBLS1TqHLX5pf4
9ef6ealn+ZZS98BcSZ4szp8v3yrqOHHWlXYMgFKSkmAc/FyYJGEWlfpCu2d1+PUrXnwJf1xe6iVR
WjFv2DZXswQp8/NXibtIKknVO+oBXEPpFliY2oaIEXkkgJotKThi7liTIjfBOaZgovnUoaJpBdQ3
Rg7k+hWf/bKCQHokHTQvAl9PAFMTJppB8dSv3zK2ip9uCQoLccObDhcisF8TKfjNzw+wPMEBYcpj
m/0/7s6tuWkla8N/hdr3Sul8uJip+mI7CQECCYcN3LhMYiTZOlknW/r139OSDLYTGDZN1ahGNTez
Hdru1urVq9d633ep8YXa0igmDW3lwteKdcW1Mm5otBxFqzydT9JV1tgzjcFuKeZBempWkWAwxYAw
J3PLLx9aIy4fdsSrNnqiLftKh0wXTNV8pdXnVkeD03zPXGwCODSRDXBJXfHPcsEichrBY6EpCo1d
BCexrJ30heub6MasWEDUJFfNG0JUdG4B1kD1arkCTVCr3WhXWmGJ5DKUQ9TzPIB7EI3COR2hq9Cg
t32y4TtcVrqTxgHrTbLOpAoE6iOE5VUEKRaSdRKTZP7bSwUxZ/t6mwmOQunDg2hyDVhXp768XkWb
T06W6Nl1rIXNneYir6PopQIzCJhW+FlrPF6Z0xo2mLMtJckP5MqxvXJtL9bE8i2lER1+oOZBZtQy
cULXtbWIm7V+n0Fou6o3zuYut1E/s7bOBiy1D5kB/1tb51vP4kDVGkgzirFhk4rYHI05ZWLs4BJ1
JLrG1MPLuQHps6PAKKkO36hDyHmUR++Kwm8/6DSCe+gpkl3XAG2XFw/r2NdFnzWIPW0x14yJSxrr
Q5UJqB4pCeR45gmrHK8gBNEaEuRqpRaQc8SJmnBSc3ujWnHexEG+uvKpEsLocBws24Tg19Attmmd
60AEJuD8d718Lc1goUwhALSbRaoCZ9GCbn+zCTdYzZp2CgvHFhwnOhtlFB1Tt0kmtLRCETET/lKp
nQ2KumaNLiNlFH4MHebW8axTWLTTgP2Xqj4wuljIKgdKLGQVOwjzPHUFsY8rHoyxLr+hJQa2XK8U
IJbwsER1E1lh7lWIJ2miilWWEHUvmohzmSZz4AkmGQmTV60TUeGASWQtEOJBKFjo79C+MqcRMomg
HHxfq1+19Ehxprpvm5+Tuk7euW3YvELXKJpuUBXXzldKpLkXdObLr8MopUsClS9GiXYoMyVtWk3V
Ym6/g3wZbqlciyK8Y62aG5dOmy9iM0gRnFt73iS0CmOysxRzQufI5t2a/pVgdlAluF6r4sKHTVK5
V4vktkTDKKG8WsVLmIvlV9dsyTbpTnXj2Rak4ma3IlFarfFMkzbCcSG2zlW8VJrsI83goA+Q5rLv
aYlAPgI+w8u0QJn3QjVch5RWlYVTjeZOl3VapTfeqoY3AAoz+OwbCgKJ6Me9auzAvtwkzfyFRtVo
c+kWW/sT4pyi6WXWfqanRHptmLHfnO+2Zvs5iTbrGQnWdlJoNa/RnVsIqKy3yedVtnLKaVIHxXSt
5s6lCEbhCOxgi03zPFZmG2JAIUoTX3DVLYVjgntJR7K7al0oz5P1Jnu+ylFcaKyqWc4BtM6guiq3
jZfGH8N1DTe1SUoKySHsEER1z8kZLpwSnSOkTxUIGnEwQZxEu4izlIFc5Ua0qsP9G3OYJWTTA20q
1OvScrLeeEj4nefoy/upePPZ9iWRLr0dDa2xprShps/dfM4XmZE3n5qVHzx306yAqFUEUyQ0lZke
p9X7bG1v0E1OiovKoq1yEqj3kVOkH+Ft0C/b00AHKHNjWkX8DggF8S2nEtyWFvf+0jY3W1RbVN6o
Q0vwl6njJW8g2GVvUMXGqBXw5OWimUMcVfQVW6IQsOtZmpVohvfsYt3YAW/F25YPfi6UySGaae96
TiYVDbh8DmWOmVvtLFIbYbBLQBkIjnQM+bOd6JaSfpprYG06km8nqFoWHuexW1koItNyGeZqp/St
arusuFyHJS4Ib0xglqFmrey4R6EgTQhn1632rs5Mtn4VWJsrc4esFoTrNXR1VLH5aQ4qPtDZk+gT
rDKfeA6ZUXRXU6GVrAUFghAwuNzsa5PVJikSB4mRyCmLWbIyt0tUVMEaWGvF+tuz53DzAq+4gswI
dDDZ+SHd7LVV8KWoy8Uqs4yZZYa+P0GuZ1N8jFrEX94i70ULElcP3JsadbeJHYXrWbDdbq5Wit1e
NK5IrXl+7Jwj+bV9X1t5fGf72Vc9aj/udFN7vQZ7QaEhQr5DJ6s9M6tMf/DLwH9ow3D71q8c3hw7
fjXbILns0bETkbfzOgip2myiwrlGD6ZIp7ttlNGHCNXlBoJ84UOkg9RMZSBtXm2K0rizkdpRzvN4
TZbU5i3QJ5B8wgclqSFKkVKKXu3y3HyNXln0eqOZ1V0cupBFU624N2slmqXk476knl2/KO2sFYRK
PUTT3jUgSEMSOd9W7dY7p/Mm7sKbW/BDXfO62dZf5pmyfbul4/ytVoEuQBXM+rze2vRlz5Gi56xM
IAxtGsO/8cwmfJXvkKJTvK2HbH7tFws9RFInBtg/S0KregFknaIQGMs4v9RweRcKwSyULE3XQeKY
dJ25CKLEeGevs+yqToz2bRYG85dqU7W3ZYDIgkdz+09VBMB0phaFGV7vwt3OgnGpKkiYzel7fmPv
SI5fekFVXHHLVV6uELd9T8cWHfwFlJ8E7KajrmmN425vtpzwX7V6QwP5LKsvdxyEL5JVEUfTDGEF
urZqXC8CnNslJX4NHQMiC2Xi10596+v1luT1ag4MhsJf/mm9K+lNDhbkJVgK3KihNh75O1Qe0ImI
AXWRM0z1V6XTtNZ5422QjnIjx8QhattlqtMY/cJTNu2Fn8FQNs0NPe4iu70qKie8K2Jt877SmuKD
G6HOU+/oKtSuhIgvHTHQXgkC+KbtypnSLtgJKXy2wQPNEDmHSpUmx1CtwmhqslRv6pZ7ShJBB59Y
5A9fg1vcvVfzLWDXsAQMGxob48JVjNw5TxBkv9gUDmXWVA+94rLCdr/Oo2D3d+Ya5T1im87D1i7t
8EIFKIdmF7gFUPJp5KAF5dIQFiLWJpzmAbpfVwCXvlrBzn9TrGKDUw7Q9rWx3cE8T1O0l8j0Am0z
YalT4Ujy1wqSNTNdtefl1PNFZbOFvQ2iNnXQe6nM0n2xrhAhUkyn/ghmAwV3x29Xr1Vqwer5nMbw
rxOI/+U5nZyV2wD2yIQzu9DMqzjbRrvqwy6AdjNgBv9nQLLDRARCHtBbWDa31TJv7pYwectvHa7E
px2d6l36e3+0RxU8PdCz5a9kVykdq2Q0viUPv43V/eKfjREtmFj1sPzXX4bo/i6a39C6pH/+ehYh
cjJ8rLge6AoYUFzxuTfzcPniCw8W6UfL8PMZ9uv587/52Qz6BXr+AJtNFRkkqUWwzTPNNE2HdEa/
BqRwDheBpM6ZDiIEigyquv+V6d+nVVIKM/TD9ChZross6a/M/mSEAxPwzqBpQUHk3t89gFgOZ+/R
QU4DFCPyK93Tf+GITAB6nsiT/coqLJAJSvZkF+b5fSMYcFqYIv3cnlwFQOo0iCI/qpHoE88IN4LK
m5NbBLwB/TmRioIjdmgDLkUYk+yKrlJs6Z7/0j44eX/f3cCglyU3fevMgnos6jn9JE9Wgd5oGpwz
8uRky8UzPhsgAyprA+YZfcnI6ELJ6J6TRWADnGEjsCfJ/IqH1DCrPiJ3wE3zUc/a7pT6J+eieYYr
oEZjDq/6xCkCHzxDPd7w8Ahjm7/TVSHldoLg6gH24tzv3rF4yYf+QFPZKiJVbPcuZ0RvH6SlyFpL
TV8j6uHtijz4ybwt5k3NilVBcG+Mxm8RyEnOnk6vuoVujKfByRomefTyu+WBMsyx27uIse0ASGT9
ruzVBn4rMDY57+mKC4i4nyMVrsNFAHtAxYlCAXXF7un97og2Anq5/GapfQDHDnQDMGpkGLrnxA04
xAsdtlof3exdFC0kZ28Q+OIEbCBevQmwsQ5NwLHOTFuQ3tAs6J7RLQLlWVM2JgQug5iEwMsMQdHJ
RnAIB6BbG2TFR+cGwBvLXpB1Wm54QOq4+j1pBC5+AAQmkAmEbsQzvgNRHFayW0E/s5GocdGI6Wd5
4ghoP8IF2gDMMXjD8a2CCX1XchVMpHYBoMHDH4zhZCtodFS3LS4Q1OrHthcGUJ3cccD00DOgAj+4
ghOHSLLIoWxNCDLWvfAUU/2fXg1M9QzoHSDbDhKHUzixAjwCnyCBTEKpe0a4Fyiqyu4F9QwuvMgL
DdfEx7YA8sqGnPz98MT4RhQfQfMSaQ65HaFzT/JsXTf664DIxx6GCPRqOsNUTBQahy0zNr8ABFGQ
+uVWQeTGuC8Mvr9LCRyuAqIwLtBRD2hWf4b2xjciW8BUXdlIgXCRGxPySfsbAct6uArk0AQXERTt
cKce3xlhoQAlawsO3lEjnewyU/Gcpo901D5AXsML7kOJ/gtHZQveEMr+/u2RoFkFNE1SffALJ7bg
GeTcyR+K4kX3jC+TCPBY1hYMl9jYdHSx8bvnJGr00GkBbs0lezgjxneDEIYquSNIp5Ay0lG2GnLn
p/ECDfpcx0Eib4iaRucXAKq7smeEocKsZsejUNP7hZN4wdM4Q5DZ0REC657xVZkoM/Wv5vf9gqGR
MoCRQhnp6R3hnRlUWdgw321lXFETUC7peqtpnQldavDr3/f94Ulpe2dQaRCPg203TlugIC59RuAd
UW0CLHeyExyb+4NGDWZfb+233ohOSGqkQ/nz93cCd2nXMR0PGH3/jh97RYcyHEHE8PnoTkid9Lds
zGja7AR0zVCaeNofgExAkEJ07xndxYH2ybLTZwsYtkO8PMSCp9cnkWTnYITtMhjB6I5GQcxg/8pd
n+AqkmEnofB0sKiplKNMVhvKz+isgLhGev5UGSgmGY4z1Foxq8PjAAAKkQNtr/ZViNG5AkRVRDdv
KSsQYaKmI44Km6V7Thyi456JG7YlCEHdM75jAT8lHSARAHE7JDT4nio4tAVNQ7zHAoNB49n9lWJc
ARJSmOLOK2ULpoFCEdxQb2/xJ9dHai7w3CA+U5TpnvGdDvQ/k14FUowALIQg6LdZHtqCQzoa4KIO
Ybd/xucdDcJYWVsgxYimuynAV91zagvWGfhMFWsZguXReUegWYIUK7cjSCtxcwJtQwGie47PCCyE
m5XALe2NofvCMQXNAlknuwrUWnWXCstQcD4tPQi/ACVYFfCs7hnfGYEYdv+jfv/qYIDBQWOK9Fq/
IU7BSR4nKdAsuiAMJ2UfoIzJFky2q6wtAFgFikiJBbm67jnZEV2ilcAJnNbY9oIA7PY1gN+3Ai6Q
aG6I3inDW2aWh6eD8Aicxdyuhm03ovdvwJyXjpQsILlkidQhEDq9O1FuoPeGIGsP50ZvcGNaBROy
tuQuoOiCKLWIhQZncHJ36NCqDmlFBAVHtwugb8jeoNkFiKajQyDkzw/NH2gWSiqw+MGods/ors5E
BdJVaBIIwNUpNpEv654TJwBqnx4MUOfUIYT8BwfiL+yUb3ygSRBGDzNB2gmXxVOEoR/9wZ4B8/jz
gf0iKC6C43H0h0KPv//uHgAv/v+/j6DxXaH94MN94b37nuGfDxN8/NVH37Wf1f4/XoXLfJHfB033
QTP8zJtFDJvo/6LFl0W8OBRrZd1Z8++/5F9/Hf3Og+3/HwYu1ifjijS09LhI8qfJ8cAdhF5+4PUi
KRbF/id2TKUOlSo78mQRhV/TPDnuz9LDfqXHTqM0Xzwc9Wro0eTyIyPke1+G91V5uCQ9RlV28Oky
WmwX+fJw5B7/KT3yr7XF+TFb79ul52fWfcGqhw/HVthDF2V//+Uyzf1jS9EIB7iHyI58xYqH4X6c
zrx74L3swM8fFsGRAdKVTiD3pMel0XmShsc7kuoucaj00MlDuDjxIj2gRHrkdHtsFmaHTZAd9sVj
39SX+6UHZoDqft3s17Szi76GLjv0y7QKi0fL3FemZcd+RRO1I+8xVDnlx4XLvkgeDpdjKB3KD10U
i3sI+suyPLLpAfMtPX54H4T+4phr2tf95IcWou5peWTZQzVNfuyiCPlflh35poEq/SdGT6v8dGhR
B5MeOk3KEx8y1JZkR75ZfskXJ9ETMAtRtpEful4cn1vcuEUNQH7g7bOrRZwVQXh8rA/Z9T8x/vUy
L5ZHngrioEha/4nBXy134f3RMTawEv/E4J/SfL3/md39oE8zSw9Nz8ng2WRBs6Pw+DQbyLV/5gum
i/Xp3u8TxLLD/6jLmGR09nodEZEc32rAkYs0pvQvzpf0sd+P073KPjMoO/Ab+mYUTVQvTq4JA9pX
dvi7IH1YPntePDrb+hy37PBv0+oHhjgw/f/MFzw2xCEvKTv8T7uWSFrju+Xu+FZp9LA02d/8vlwE
h4YIQEsk52SH/bDMY062/UDCxKlpirSX9MghN5sT8x7q8LJD/73g3En88nhrQmUQ6GjpwZdF+ezD
Uz++z4dJj/8zSW1J4/u7SZHP8PeL0L3NnkXx81/9VKbpGxfkcf5pLw7z1D87Tq6Jv7iPlov83/8P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of Unit Sold</cx:v>
        </cx:txData>
      </cx:tx>
      <cx:spPr>
        <a:solidFill>
          <a:schemeClr val="accent1">
            <a:lumMod val="20000"/>
            <a:lumOff val="80000"/>
          </a:schemeClr>
        </a:solidFill>
      </cx:spPr>
      <cx:txPr>
        <a:bodyPr spcFirstLastPara="1" vertOverflow="ellipsis" horzOverflow="overflow" wrap="square" lIns="0" tIns="0" rIns="0" bIns="0" anchor="ctr" anchorCtr="1"/>
        <a:lstStyle/>
        <a:p>
          <a:pPr algn="ctr" rtl="0">
            <a:defRPr sz="240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2400" b="1" i="0" u="none" strike="noStrike" baseline="0">
              <a:solidFill>
                <a:schemeClr val="tx1"/>
              </a:solidFill>
              <a:latin typeface="Times New Roman" panose="02020603050405020304" pitchFamily="18" charset="0"/>
              <a:ea typeface="Calibri"/>
              <a:cs typeface="Times New Roman" panose="02020603050405020304" pitchFamily="18" charset="0"/>
            </a:rPr>
            <a:t>Map of Unit Sold</a:t>
          </a:r>
        </a:p>
      </cx:txPr>
    </cx:title>
    <cx:plotArea>
      <cx:plotAreaRegion>
        <cx:series layoutId="regionMap" uniqueId="{C1406E74-12CE-44F1-B613-1DE09E63014C}">
          <cx:tx>
            <cx:txData>
              <cx:v>Unit Sold</cx:v>
            </cx:txData>
          </cx:tx>
          <cx:spPr>
            <a:ln>
              <a:solidFill>
                <a:schemeClr val="accent1">
                  <a:lumMod val="75000"/>
                </a:schemeClr>
              </a:solidFill>
            </a:ln>
          </cx:spPr>
          <cx:dataId val="0"/>
          <cx:layoutPr>
            <cx:geography cultureLanguage="en-US" cultureRegion="GB" attribution="Powered by Bing">
              <cx:geoCache provider="{E9337A44-BEBE-4D9F-B70C-5C5E7DAFC167}">
                <cx:binary>1H3Zctu41u6rpHJ96AaIidj191+1SUkeEjuT4x5uWLbjcCY4T09/PlqyY7Od2Lu2z6mSuqvVFglx
Ad+a1wL0P9fDv67Tm8vqzZClef2v6+H3t2HTFP/67bf6OrzJLuuDLLquTG2+NwfXJvvNfP8eXd/8
9q267KM8+M0mlP92HV5Wzc3w9n//B98W3Jj35vqyiUz+qb2pxs83dZs29S+uPXnpzeW3LMpXUd1U
0XVDf3/77/Ty6jK7fPvmJm+iZjwfi5vf3z666e2b35Zf9Y/HvklBWdN+w1hmHygpuW3b6u2b1OTB
7nPLkQcOJ4zZxNbb191Dzy4zDHwBJbd0XH77Vt3UNWZy+/5g4COy8fn7t2+uTZs382oFWLjf337N
o+bm25svzWVzU799E9XG297gmZn2r19uJ/vb4/X+3/9ZfIDpLz55AMlyrZ679A9EVjfpZX9Z3dyt
zitAog8IcZS0mbhf+YfIKHHApSM5o872urh79haZl1D0NDQ/Ri6wWa33EpuvzWV4tzavgguzmQIw
gty+7McSQyk9kMqBKEl599QtIs/R8TQa21ELJL6e7yUS0BZ18opqS/IDyjlXxCZbGeALLIR9YCvt
cEn1Yyyep+RpNO7GLfD497v9xKOKJpO/IiCMH9ia2bZD+RaQhTm5FQ7JhZZC3goPXcDyPEE/weVu
4BKYv/cUmOQyry9h7V7NwvMD2AmHMLozJ85jUdH2AWeaCiGcrVpbmJN/V89T9DNo7kYusfm8l9ic
mry5fE2h4eoAHpagWvHt0rPH0FCiDyAz1JYM+m3LEFuL8gJSnsbkfuACktP9tCtH8L2i6G5t/nsb
T7HgFM4XYTDhD50uyMeBsBW3CdlitdBfzxPyNB534xZwHB3vpYR4Js9vrpvoum1eDxNOD4QSVEBS
tlKCpX8IjUIIwxxYHnuhuV5IzdPAPBq8QMfbT2E5u+nfnNxU9c34iuCQA8o00YLRLTgLp1jx2ScW
iJB3scxCkb2Mpqchejh2gdDZyX7Kz2UafTdVHr2mZ6YObMGl1FQ/KT70VucpW1G+w+iOO7amxnsR
TU8j9HDsAiHv33uJ0HH+LXpVH4DpAyCjuXPnfi18AORhoNqUhnO9hW+h5F5A0NPY3A9cAHN8tpfA
eCY11eU3c8e8/70vwJwD+M1CkNnoz6+F3aEELgFXDpOA7KFz9hJSnsbkx8gFKN6HvQTl/Ab+QF3f
3Nwt0CugIpCXREqSOLtwZWFwIC+MM1tS9QO1h+C8iKSn0XkwdAHP+X7KzAYiE317RVtjOwdCC0GR
ddm9HrtqDmJNRzFuO2wrUgvJeQFBT0NzP3ABzGY/k8qHN6YKXtUJsBFIwkfmeuemLXSZww6QTmOI
Q3dStQDmBQQ9Dcz9wAUwh3tq/r9dhq9oYjg/YI4myr5zvRa5GUrhPgvNlEOWZv85Qp6G43g7bAHG
8Wovrctxmka5ierXMy4c0QywgEnfZTGRPH4YajoaaWdHMuH8KM08NC4voegnwNzPZYnNfmqwY9O/
ol3h9gFRXArFn06UaXYw5waQutldXxRgnqPmJ5jczmGJx34qrnevnVV2YMm5srVSW0u+MCjagWYj
FGnnnaSgHvBQUp6n52lM7sYtUHn3ZS812DssSXudvGI+hqk5TWk7UuzK9guL4giEk0opRnce2MKu
vISinyBzP5clNn/tJTbvTRvVrxzrkwPtwAGT9/7xY/OiKUo1FBVk50dV86HQvIikp9F5MHQBz/v9
VGinl1H+imElFwgb0QgjHuirh5Zf6gMbYQ2HGdpGNos85rPkPA3LbtgCktP1XkrM6WU1ppf5tztN
/wrBPlIwUGfA5LGgKHmgCEXBWe/QWIQrL6HkZ4DczWGJyX76yH9c1iFa1BqTvx4qKFtySplQDtKS
82tZ67fJgRCINwnfRpvwDR6qsZfR9DQ+D8cuEPpjPxXZ+c3wquV+iu4w5nCHPh3pa33A0NUHv+2H
g/AQnGfJeRqX3bAFJOd/7qcii+p6/rcoojvOfQVdhjKljdLyfei40GmILdEbYyPbvEtcLmKY05cR
9TQ8jwYvQDrdT9/59LKuL6/Dtr5pmtdMAdgHSB0zRVDUvH0tHGiFJj8i0LbhLCKaF9PzE4QeT2eJ
0X7qto/I/9dj2l2+akUTWRpHo6C5S1X+ozCj1IHDHGcOTe8hfKjiXkrV00A9Hr3A6eN+4nR2012+
Zh0ARU0GBwDe9A8EHnrTlEooOwEZ2lVxFh7C8/Q8jc3duAUqZxd7aYbObq6q122bnVtpUOifm5i3
WZtF8QzOAeJTZaP1fHt9YYNeQtHPkLmbyxKbPY11ouswCi5f06tGn6biSitnVzxbGB5kbhTECS73
7voCm9MXUPQ0Nj9GLrA5Pd5LuTmN5qqzaS5fz3njc1VZUzTK7owOFNZDhabRj65R1EQH9N1Dd42a
L6HlZ7DcT2OJy36Wm2cn1LTVa/rUyDJLhc6ZXaBJlvoM9WbkOhW1dzKzyHa+hKKfgXM3lyU2+9mp
MffSHV1mBbIFr7mXibMD6QikO+8MChI1D+UG3rSYd9TA2b43SA9dtReT9TRKi+ELqM6O9lK9zZM6
vRmi61csRGP7BrfhF1C+cwwWOFEiD9AXjU5P5x+u2kuo+Tk8dzNZYnO6t9j8Zarkzgj892kDlD6R
5rT5vBPz9rVABrsBkTQgkLFdKnThFszc8hxFP0dnO3KJzV/7iY2pmvCNd1kZtA28om/A0AbI0KNx
H+ws0qEKTQMOYh0pd7K1ROjFdP0Ep8X4JVreHqO1ukxe149D6hrpUWgxtk0NLJJwyJkifTpvZLvr
YLuT5K07d3a71s9T9Suk7kYvcdrPAsOHMHpFO4TUDsdWG+yIejpxgAZCXGFoIdy1HUAbPvQXnqPm
aVy2oxZ4fNhP7+BDkqJF7VWPCIB+cxjEZpcTWPZBa7QcwDUgRO3KQZCpR5i8gKKf4HI/conNfu66
/VDdBK9aiGPwDRycBcDk09rsthCHjA7a1BeYPEvJTxDZjVvi8XkvbcznEOdIvDmuX7dojSSbtB1b
i93xDHqRyJljHoq857wb+va10GEvpepphB6PXuD0+Xgvcfpi2v83nhvkh6CHwL6rlS58a2cuNKAl
GpvXt0gtPLeX0/U0VsvxC7S+7KfndhGhd/1VCz5zUxu1HY1czxaHpUQ5B3M1SKCT+kmJeglFTyP0
Y+QCm4t/77Ek3XmgWyv9CjEqsgcMAShSOdv1X0RAs1dtM4IEqly0TW0l4Hl6nkbn8egFQl/205/+
I6qvTV5Hr1tZkAh3BJM7p3oR9KDzQKEjRGCjwX2K4aED9yKSnkbowdAFPH/spym6uKkyHANx5029
iuwQJWz8szA+2NYupS21RNbt9rXIXb+AkqcxuR+4QOTifC9V2h83dfPmh55+LZ2G3Z84Fg09bmgz
vH0tdBp8A4mEKTKiuz6rhRf3YrKeBmkxfAHVHxf7CdVocJxd8IrCg+So1hL16t2+j0X9B7VsdCLi
pCiErlsU7569Tef88TxBP4HnbuASmL/2ApjrX56z91CEHt35n54tqJEYQJso9hXe25WHxR90G2CH
CLZP33XxLpyDxfF/PyfraYwWwx/N5P/T2YI/P3fw/kzG1WVzub49zPHB0YO/vno7XZwwuRi6S7o8
aZK2a3f87fe3cNHgPd+fETl/x6NszaNzT5bDbi7r5ve3FiJYhW2LVKJRTrL55JW3b3qo4fkSQ5ej
AN7Ys8hxbIGEr5HPSdPf386buMS8CRVHF4II/M/bN/Uc2eHSvDECR4M5TAgUa7EJ4v4YzY8mHZE0
uV+R3d9v8jb7aKK8qTGag3GK7X3zFPEQxVAzITa6YBVE3ya4fn35GboHt9P/I+wRdtVE3REOvKQr
O4zSdTjl2hNN8+cokyuHdLFbmKlZ5+2gvSSWtTsMY3Li0KTwSOOcO52TnFhpk5wObfq+c3jtKkue
2WXF3JRYuaviTntjywfXafNpw1lGVmVQMDd0Sr0ptBV5WrbaU9r+VPgdWZHQz92YO8malmpwA4pn
WgHpvJjmeCYpySpO6j+7VJ+3IjJuWRjbkyK+klZBVmmG2xM6dZ7pVHVcdNWf1AkLbxIdc+NJWOvM
VxdWTz7HjF51FR4vRfFnanDeSNAwdzAq8lCI/URDp3btHPORxdCsSVX+KWms3aZSudtbmB4W0faG
LCerzlLHVeUcB3nTrP0aS9Npfx00GXOnOPluJ9bgSomlNE5Vr0iJL007LAFPgq+YApaBOMcZugJW
foW7OgIauoJb69C3a7cNbXMU86rYmDRIV7KUuJrwT73TNut5ZMx9x410G7uTLXM3GLEERcqatWjo
9Ckw6SeN3sN1WuORaTCJd4KXIL9n9rotQRArZLIiU/A1qfXg+qp1Vtrk38e8NEclq2xP+GOy6pPR
DlydBtd+alGsgz5HrbpZszwtvJrEsRdmMQBuHMc1pLO9Ktb1ue/4yftSS98rrHTaFBOZjnoHq8dq
PLQX6tih1vktk0Tl6KxGXtarQoEP6Mg+ZZ0TeRXR571DO89O8J+MiE9dBKKCOOHHzKr0hsZtvTJB
Npwo3djrrpi5qMG96BI6i2qarEpT22vVhbEnfTlgmcBYbZoVXibEGfj5+6AT5mK/keOmfXSFrDqw
n/BX7IvB7aiVr/rGqT3VGYzJsEo1LZyVrYrplJS19qq6+vMW7yxwcrdLwVZNj/kGIVhG6QrQl2Xo
ttJJTwgNvkPIwdUS9zohuNNRYBUzy0JQNuPXNMSf0omvGAUhkDzH7YokOmuxXGiNOh8nIN+XkBOl
ev+kd7LpNFSQDq3qP1WCL5QKCDstmMmBNN4uRl5AKHoLtxZJdpWZ3l77RJUnqV2LNffBtGlS+ydj
runnrI4Lzy762O2rsfNYUxSbKbPtdZUYssoqjiUlHWgIwvqdU1vDYSBt+p6VfuSVzWSvEwWhHHv2
Purj3M1bAy7LcXHo8+TUsSGojEAROF2YrpMxSNcEckLSLvrUheLsVrxYPE1HhLb2euCps2qNM7im
jY1LMsDNQ52cBCHJDwfCknVHZzFMHOPdYmtlmL7l5+9l588qBCyQF6X2WI+1ueXySSXTxhSVPqwD
nqzHLNUbycJ01Vtg51sGmDkcIv4p4lN+yEaoMd1Bvvmkp6NbmJu2Z5ADsNGQ2M26i6l/WUTCOhIh
pjpZeFbeUuvI1wzaS0RX0Yj/6WnyPUhAH6JM6BUL0pyxRnt2Tv0TUrX5exWR4UwM4tDp4ysriEbX
Un3+3k/sZJ0qSEQ7EesoEJBTMwn6flSh3igJJsszlr+3ao2n51BfKs6w3RXKgU65Gw38UIdp7RJr
wJfRvvN4zaSnGsJWVSVqt7Tr6riXtbNSeeeshigjR8QItrbSAEoxoFBuPaCzVKIP/db+FKIN7HCi
+XhYNFAmBe86T5SYtt+BhL6lkCJVmKPMgQbLVMq2usnWg72+Fdoukp1nBdY5vjv8KCqwRCX4J3uM
x0PpW44rGjObnR7MVA7FppYR8DMpWYUlyd8Pkg9nrUq+ay6wNCMk4HatpRbJKsnwlS0FrjyXyZoP
Tb2yUH92Uy5KV6WW/9GmU7aSpkwPHb/8Xip8nLXxGkJfuEEEfcKtNNrQqrp2iCXWuUUDz5TqIjPc
rBMr/Gj17ZkyTeyy3glOxmgIYtdK65SuZDuStZ30hrj5YMl2NaXT34lIs87FOWBcrrEBsrbcaari
Kzs2w4oWsRZeROxzESTpqnb6Ij4dg7o9iXoCCBnxA9/1A8rbdUzK2A1N1HwMAy79wJU0DdSmqocu
9sakIeth1FW9nnhYUE+WpXVS+O2l1RjzrdbdNY+Iad2ADcl3p2TWJKElpqn2oP77oyavzEZnyaAL
t7JK5hVxBZmPeWetApiilU0d/1T3ZrI2Kcv7+iyxQ0cd55rX2VEzTo315xjwzgvboEvf+6FmjVtV
KZVeOSZldCY6aY/rwM5963Pewn0IlUTIfe+KPeHZwENa+jXz5h4mpSIS+VD4XQ/9mlRb9sRN1R6p
aBwPqyn8HiUwLix3ztvKMLAVpI5H4PRfPxd57n8+F+ciEFs6BF2oC39Kj9wedVO0R7S/VXaQQRYl
3/LeStyhSL7/+mlIbPzzaUpSOR+LQZDYfTzLqQ8sHk15e5SOYJDZE9CJb60Dqybbee3c7t2Cbl3H
a1OMVRSEu0PY7//833OT4d/bI8J/fDif4f7jLzTIbg9//+VdOOpkjirr5U0zNfffBWJ21M2e96M/
/hEF/MTP354l/5OLj4KARyHPXeQ7e8j27DHfM94/YoBF5PQjCrgdtwsCpDzQcLNxKAP4Ea2xBEyz
DQKwf2bO16NXDG1/OHrOARvvYgBEDgzFyF3UAOB3AQDFRk9mo+6vKfrTNU6j+08CAIbcywMOmp9I
cTA08jO2QjPHbaTxSE5oXOW0T8SNQ/2m1Wu74HDTPFJ00XQhRFskl9yCadjk5ViPfNXYgwgHzzI+
uQryiueWZ+whUSc6FGO7SrSVl0e9ztL6NBVZYY2uSQZRXImkiQezsqRMY+YFSnF6owYztp/TcFDp
peOIwr9mGSvlWSCjEo5qRqMapPACVuFDSEnT56sgFVVSuKYXWfaeqrEEyUGW0fGdDcMXf7fqzmDM
A0h3rP8wSkL+6tEaQbJsrrFLY95Kg+UCRzxcI0WzqA1l6Nz4vcnj8qjJeMqPUt7VlTqa6qCJem+K
ChxYmBI/sv3Nrx8/x4iPnz835jI0tiG/iYM79EKXTTFzaklk9C2mCUvgVxomWOhqbVtlvKmGPqia
VRU2AQ9di1tTkX/sORsRm1A+yZ6dNDLM68Q1Br48PUM5tsS1XxP5WO+hxwRbJXHeCwpP6K6b2fLx
Gg1hZNlhxaxv0qo6Yq+CSQWq3KQObxgMYNVICeNH/AbJ7ntxex6b+blc43QNnDRvo618+dyiHY0y
FnO+BXDgaonIqUjrP0Pu23ng9nHURh9yH79g0bhhaHAevfvrxyNGfwgNHq8QOSNUh3+B0wjUvCwP
wudAdJFFhpB9s1QKh9sTPZHiEoJkNcdmilR6FlnU0FOWlGP7JakJmUIXncUpFuU/pQRbhCRaT3Ai
wlypXZiCUIV+Go+k+sZlD5HbjFRONNmIqm9rvo4cn8u/qxZLULq1RKPx34aMXaXXXWRI0T+DymO7
BG4QNjY145zseZ8m8vULboBtJfGY5P61r6dcVIemLDJ/XFt+VuvxcHSqASzy6/nThSbDMzXBcXaz
oOKkKBypsoBCT7HQRWNdoW9bZdbR0MA1Ct1sMCF+LaPtYz5xL8rq0S7cQdsMCyEiErZfskLGowfX
rsq/6CzMqnxVClPZn7MuyuurX5P52C/hCrvBCY7mwVHVOKgX0rLQJW3vOxUpp+FqqJoKTEDahAAf
MvRMWO5Qsc76UtgIDiA0TW/mt6gI2mfw+cdiYVsZTgliBMVgzjhU2+PFcuDoN2MtzVWeCgs6PIb2
mnq3G0kzincM7m9yWQctDjzPYpFDo1ZFVlFx5Fix1SVuifD0VvOPIUbl0ZR27/iQFCZ7Rq3Mv0Hw
SMDQT4Batg2P2AbCUs7r+UDABtbnhc4ndlX7trSyddzURdp+LKcmKnKvL8cSxFkq63DNjGVmxpWT
TKP1pS8K/7jWVRoHXjZNZHyXhWXe+G6uifQbrxXESj/LTAdT5tlMD1CJthWPND8hk07xrUnk92X5
jJhSNIE/mhDOW0RoryXBsQA4sEwsNAY4My+7vCv+VsKIWHhw2gRY0fdbrSuPTsqCavfHrfZMW45r
7a06Kajv4NLQN0yWGwSez8sQX2pxHJ8OZ0RoSm10S/2DLZIhqTM/NMXfRQUpKtesThx+atOQje9Y
3Y5YDu136XSRhcM4KiSmqr4MPSj8Xn4Oysm3jqqMx9NFZbW1PHMiOTsIA+8QXB8mrZjhMTXTYKGx
U6L7XFRxMl1MqUz6xCVpOhutCKsPgEyuQ3zI4KtOF042DMCOiXjEWz2RoHFWhahZvZGqnbFLhiCC
g1HePl47gTX2rmOGGF9h4DyA8sjKZ9+gKUSWXA61zMtio7uKdl84Q4LzfVUlfuWmaVbZGUJSPxuO
Ag7j+lfu5D6/6AiyQNlaOQH8jK7MDVyUX+uGpdbE6iu0BiLRz5XEMdEL1mD+iBysLtK/J5rVVeAO
NlFF7fYmNukxa8seiuLXT1xqIxzTzgmitdkrhe1ePrGuSB32Gev/YlM7M2Pf8ln92bVKYLxlVwr5
tx+zCUzY221TB6cKigV8+msy5uPHHwkFwy8r2Qq2AsdfIxU9Hyn/UMon1rWlpWV2kfE8Qw62Ma2w
bkwZltBGYVLndF35ykQfu9oJoHGKUJhgHTiN3RkXhzj1aec2dlC+S31HfhlYlTqjW/dUdp8bxyJI
SYlpMO/ARCR0Y8L9qHC5L+ks7CEBH5ouhHdx7MdJM0t+h/26H+ZfgipGlyUVG7rDX894qdcc7Ion
88/f2Len4iImeDzjRPph3pe1+tq1OYETK6rKhhPbTTPf4rdaOD8KaT+AbYdEM7wFza1na8liZmnW
IiPif/EHObO0XUZTVh1Fhc1mFVlONaGbEgnmOjqcxJhA6vw+m31qOiJTeFEpWkKMfj0le6HZHHhA
DswmtBoQRJ/YQlWXLM8mE+f2V6cJGWSrKYKZgMZi7Sy6t3KM/RkjaPPDYRZx6MpZpVRFCUNjhRRu
PB3E/JEpE/xKTqpjxY+iPp3XoRx7I8/8csBdUcjmKY4Bcv2bxFIV2xRO1bEaGce8wHSfmdoiAsDU
NMVZrNgch94pDn/vMVrNkFCVtmb8yoJu1lRNVYK1kNCJzHVDnMTO3bEx5XSh7Hy2j5llKAAZZJYG
43rKJG2CjWZW23+Fl1phOXqF6kN+wroJ2iSPLA0W431azNqthdo8ipB8hVpr4JHggVHjE/yFGIti
KbKAYymaRoVW44m0jSESobZj/LVdn1kVzj8y9CtPeyGjyEhhYw08beEg7CT/cHVpP3E5ytI67zJl
oB227i0SP0OXeIgswyB/Ti0szNH8SI7tcDaBWUIT6DLwIrGB11oM6rxuKTikGXG+RXQI24/14XHB
jUA60jIDKjQpG7HgaefncFmg9LBKfTWkzUeFbKYfb/yGO1AGEMjuc4XSKyxAZkHwmyGHodrBFpR9
jqUcUieHrECKZjiCZJiBsOKI4k2Pse4+E5MZUCKSBLYpkc0cp/56tblmj3UiJj8bASgJHG0KL2gZ
2cAdrFH0GsbzMBxl6rtNmzBkN5EKjM8kklvVuC7DShaOq21bxyEybGVUnpC0ZYNwC3g71rsqyCx+
6mehYl7ZmyG4JlFKjnq/5XKVqNyk33icTtXnzMgMP+E30bT/wDtKhmnlxLkWhVfCf6zbTd8Lpzur
ytAfjCszkiHXTyqqV3leaerFQ9NWvmsGp5yQmMy7ig9eMCQdhKGbqn5M3cESMY832qYt/yLTZuSB
Rwba9u1hofuQ+vDf/KA5bkIFz8xTU9pPE8JasGJxPCSj37plXcRy02kVsJXIrGE676Wxo4uWp4G/
YryxqTciPjWjK4Om1isd2X3iBSINjlCgbVAFIv30ztc5IYe0p6G9QarMCcm6SEzGv46iCxLrqzZk
GM6HZmDNqVU3ufUZFkO130QlZfV1Ul2QG9REDQ3rT3qY0uTQj5Dd2EyGO5lxdWKYHXqqmurSuaJZ
7OTfQrsw3bACq4zljW6bvidekvY1jY8aPy8FqhsJEak89DMrkWeaKitJDjtZ2HUa3oROzhqs8kCZ
U/HTiZkOLD3Rqi7CT+hlayRZ5zkvCnXcaj8K0/e5GJIyWMdd0PTd+174QRRtfJ71rfjs5zYrj2XM
w8DZgFckS9yimwjMelo7Ua9dZBVl2axCv5ri8bgPaiuMDnukw6XxEt1zKNiuiFrxp7FaKepjMEdv
+V7P4LbQs7aA14Uy6cicQX5IbaXw1mw/tKIoxTVsXOF43GRqXl5Nbant7iSWVRHYR3SwLKW8MRZJ
qw6HPKZZ6gqknmEXibAiTCdgAkblcvBHtPGhrBJqEXwY+6Iv1MfYt+I+3aiEWXZxnLSjdroPMmYi
0m6p9ZyTUFUjwuRCBb5vTe84T2uslDWWUNmn0NplKN5ZzK9U+p5GZUTTj3Hcx46/7mMogmBtIuyY
qjyorJmksbNSYq9JEI5RuSJFElfOKm9QLMj/tJHhxvOyONX6axs4ZelVCL2xsrbTRrAgHpXh/CWg
Hy6LW5Z69ul5WGP2XhHSnMlNHPbzijEU2PFm6rCxvuSZmlU+75rAUZ7uGwMGmHL4G4eNrjLcV2yn
GjZiwvKVMc65VLAltY+npSFFkJnTaIaHFjy0xR80HeZ1zrmOkUuyWqsCFFaeOCG/KUsENOWmiiJ4
Wh7qsKMqvcgJRWsBQd6W7UUT522UY72scDKHYTtxOpw6sZpJjoB0MX2R4Cw8geFSeeVbw8xgsrJm
5MVo4bNUZ/PSdB3FrTCxTtmDhg4NoJjjbj5VxVh5hYQbyg2eGAojvySCo+Lj8V4jAeQWKqRYix33
+FOt8ZUqtubJ+ahM4K1swTWVt/NxtZjE/BerRXLKSFRZX3ZLbW1vv1vk7X3IFNjJqbKLDATQ3Aq7
qySSRVQdRjkbMenSnvDLqW5gsyAiXxCAB0a7YguUmboGrIbIu62C45zq0RcuTcJulB901hqsUmdn
KW6xC+TYKg9pDtTR3ISMs9MbZDjJFDKqAlJe6e0KmgISBL22nVNoR4jRvMLksqdHY+vM0TnZQrtl
D+knKdZH8ggj1kKl8+QHOYbg04BW82NCHkp8OJqSqPDrZEW8bU4wUzYv75aRpnZsQSUmOX8Ljaoa
49DexMBddRPOpG8X1Jr6CX+YlBmu1hYReRIfT+iKGYrDYE4ikXUftQYyreNgznzUPfCNOmWXV1QG
OdinFvBYMfkKdVz5oUYue/5Cu5vfeBc4eEtzMotDNomZ/ryVQdh/bdEpEUSbPHDwvWHJaMCOknpU
tHnHtrwSxbVu1OFuyXXcVSBniFiCL4EFMHh4XEQJ7HxHy0mSr/DcYqdbFaXV5JFH6sDHw0Uc4mdq
Vk1aILeZImGAlA1gCttjZYJZnFvYV3yWjK2MnU0CZ3EYT5iu08EcNdyQLPNSzeeyoF8HSBtSTVvc
HzZljTc4jSI9y8oW/x2zHnk7QXqKVFGJXH561iWNj6RAX8V4Og0D013I3B8QBfjjNPN+r6HK483A
ShsaxqnCtHXWaQYTm60HK/d1fSw0TNXwF5FDDH0TpMYkydEunRw3aVjFmzZMEe9ej7zG7uujIg6x
HIfsVmZK46RYsNrvE3+6YKFj+uZriTJ7L4+a7dQHHdRYIlYMU4IZJUGPfgM5EQot11So0uUrOhQz
1yBfNbP4Nn/q1EmPFUD9f55vE0U23iowOO4vI2QfLTdKJ+SVsW0lybWLlMUos1NWoFybr+RI5xi2
E20NvtomWSYq0srftHlZ+fZx4JfoBnKnberNR1iOrGEpeIIUpU8ThL5Zhtgp95oUiQnxLkvkLE8N
7yMk4YPEaaAqmfRH2Lx6hKaJN4hs58VrIzanCmyUNpGLj9M8wHCcpolZ/tXDPfOtk96vqyo60yye
k5ToaoD6UYnPZPOJI401+uvBj60x3Mi+EGm9QuoCWwZchSSQ/JsHjCIkhzHUAH+y+IRZyTybzUYm
/JndKruiYL7tSsaNQSaaRSRi3Uk/CTRAfUqmtre+VHCmkVWY0Boh/4a+BX9ZfTFhBWJO5jn4RW5B
+SO8nLNUKarTcy5Ao3mk+FvqMSzpFR9SmZ5JWRajv+G2qRvrex/RePDXsGgsFW6dIv9teU5KVXWB
jGSfNOckKOMg8HwxsnD43Cv4NuU33UVdaf+FhgWkJg6rpO0y7aGSWycXE29tbtwW1mFAsE+pgU+p
lNAtbcHlWaxtr8OHlupc9ErA/1ztZrLFsixiJIg9HLU1ztO6VTdp2s36T4/BrE3g/c/CG9XZfEd+
m733Y3v+TFBi4Y4RjVV48xmyE9kakftc24hSv4AoB/AW/y97X7ZkJ65t+0VE0Iju8QCrz1zZ25l+
UaSbAiQEQiAh8fV34PSOW/aOqLr3/UQ4qh7sTBYLaWrM0UzodZ1dIHcMG3XblbnY/ubXkgWmRCXK
kQzBX31Q8Fs59epSWaeitAhC5Wf3uknrZSgWvwdhT9xK8/C0jP22y2tv3ejACToR/kcAy+bTuPpY
38SH/nAFb7l9ct5Cafzy60KxynGkjVgq3tNHx9a3DNaXgvVSkwf+UbD4B9E4IiCJ1eB140ZCTipR
hFSiFuNAi2ZMtPek21jinuFsYlhKbVhvMK4hFtdITbd9LP1zw3kDxzlS0Fhvm1yGm8xY9Yvd1mRK
15C3RdxMvRC7hnXYjfB1bJoEeOCt6HHkOPF7yRR47NKEESwv/0J8/dHQg8tBfcAKDlHcIJ//SSs3
MzQE8NXhUzMMCT51WtcWu2EZUGZHj2w7qDMgXprCtOP22f+lu/u9t9sujwnKiAl/vALmT/pdaTt4
y5SCqvoojQwcMD4F+gDspH++1B8EOnaTD48prgXKCv9Ntrb+bwT6kvExo4CS/1kjPrfDUI6SEnKH
EVvb6s6TZnuoumV4wgNRBI/sV3H858/yO4UQ+8gH4s824AFyONZ5+PtnoSYKQd+y+gmv+UQZa+Ng
w+PTBJPqbh0Anf/te/7vCyKSAOIADpAQ5GL+B6/IG+UHnfDp42h7HBQ1jF/zKXUcS+3Xzv7nGww2
2u5vdlrc4Za3/+nMDfGKhT+JTNsxAgtolzz+qhhLs26kvUsiF8d7S6bM7Jmkq3rQS+RYJXS/1fNI
oTR400pwHv3LJ/p9peM7Ryu1jUqHkTiGu/9PWczlvrekLhofu49NtQDXYY9bzSnqepuZFo+gITAr
hVUe4XAAtPCa7YMwGY16Lc2Izn4fi2iI/cKitDj4ieSIf479QYMrLG3oJ8vlQ8+SH2X2n2/iz8eI
B0f8yMfEcVCyAV74/vu6wbk7zqH1zLWZ+FaZ1p9ASE5xrx+cl2mCN4P8v1NdMQQQJI79X4MTtmEk
v18vtUAjmDyvr7+OPVs3sFv5AyrrUKgJ0+7+/64Hyn+LOWNjwDBEfkb//r5Ho4WCiTYtu34cSwDJ
29NIeYd90U/jdmD88wU3ee9vyxQLAvLTNu8LfhSyWc1/v8HFrbZVa8yPae8pHpepEGn0JVHYMP+2
Bf/7Unh0GRQ8vIsMTeafpU7QUDhdJ/XxA4qYGOwI1lE4Cvzvn+/qlxXjbzcGrhCX+vkGwE2YR+D/
9xvzfegyadtMcHyFfjPtwthubgSNWcJ6+Gtae2jo5TDV4FbzQtAV3WIxx/UciAtOa1hwYO/jEszP
TUjAPfj3gsZ1PRwdsEE8XKlteWBdSUNITm/TOAq0QYqFpB93otNrOJf+4CeTqDIVg2q7iWwwRMl9
/qHn8QTNSHRHexGM9pbXjclhmdEmaQNwIgxWjSMajbQVVecxiUfxC6CkHn6sKfgHrABCz3BYJD/L
2EerwRcfpXtpRIjSjdZwgwGLCT0A2gGW5u7ahxr/ABAr0ek1mroNzHkf2EZCHMVu92UWrG3Bp1kE
a9FPKu/bKpFpx3TxH8pjxLHZFL+AzE8EBWVtwfe7jtl2iKejAbOE3oIn8IJmAy4JF+GGFHyoFW1d
dlZgmPQBfH7HupcIsDePrombcyJPLPG9jQyYjALP6j76sHxxUzRWDdcCtCsYmBQqQ8GaORto6emh
XnxRjBhxG4f3+ZjLdNnVIzb3+By73KzDM/SGTdECBoRj7zrME0SE51aCba4rmJBgJ9g3agwCVooA
oPMvh9Zzys5xYpfwSxBbN2dX0GZUPvR5zni4Y/3k+eiE8e4KO5eIc0BL3/WDw7OtFhuuym32WrB9
JaBZEGelI44uNzyf5mktIEcvLbrpPFPQRdvGnw7E7+bla+IL7pqKEgDuvhBpL9RrD+bF00X2Ibn9
qkUj9PA6uckE6jbb902XhBoo+ifOAvG94UTXz9uh87E0up9osE87jpZN5XDEyMIoPxEBKlk9pPgY
IedhsXDP5M8o4kP2JPvc6/aijeu4aOp6eYpdG7PKtQs9tMREx9aP1pNQ1hzBZAyPqUqQg8jj5pq2
c+eDMzbqmWJRH0kdD/Abk7D5ypTsXmu/HSqbBxS9KPIJBzS7oJTCPr5k0v8ycGzHfpHJTbK0skpJ
0+Dp+p7as9SSHRtafbeyDu5WoPJ5lzk/6rBiE/GtkfopDIi8KOLVF2EmRB8mUNDwvtRHM+i8avIl
e0hlM0LXl+33dhpp1TWyLhzp+yqm+XjO1lDsHe2hAvcyJvjVmetLwvp0v+BXnjL0Y1+VHfQhdA39
Pua8O3AbdGvhchbvG+YPT5KAm0fGApmAwouG+mWxa/beeX2MVl4LxBjCdueHs38mft60xeB50Q0B
TbdX84RZnSylDyAPW/iV5ij/HkDqQT8TyODRhKxp99L13i6YxPw4GQLCAaWgmpzV52hSjhexWLKS
pjltstfWhLk7wYGgv00hYcFu0HJGm9OKxhUGb+76kc1xKiqPeuosctgRKhLM7MGaiKNPEsMlnuZg
LGnWDO8+m+SNxVvxLlMSbCuUxpuGWpvlbAFnb/2UmxPYb+/c8qgJqwzV73uwLFEPh3MWNGibpfe2
yHH5MXqeLcM2WN+niQ0hHAUS9kG4j7Fym052BRxTSldyXbg9J7oe68IPZHt1QYpCjJaqNEvURWe8
VaGTZ2VHtQ+lDi+wVtsCTO+neHHffE3plQTYPmbScwVq0W+L2gqTVrEboh1J5/4qG6LenLTAZD7k
7RpJCw4PBC/TtoYB3NMReYcyPRRR2PWHAURBEfpifrBBzx+mxs285PNcv4yNG1+VlSIsRqttSQMl
WcHw+aC4ZuDcsPFss5bEZst9Hk5NV/arYe9MyHVLNolPeHnbWEhpgoccIsJJhiortfLpmbQ9eZ+y
xN4w8P0GsgPRuCidC6q9ER2prm+SzBvaogt4/q48NANVBnzGiphN432yJHyPQp8kZd6u6XEOhuYe
Ph14O5ZGvYRDLw9G2+DApEneVURfFvTJL+so1uwwSuIKNor6h8MXcmjmVOsdYKB7QjIipoUiIxRb
Xs+F3xhzSnIuDyNwaFDU6ZS/5P2cf42sjJ6ZosNXs5r1h8YCrwyyIbcExoKDj5OiGu04PwFfekW8
9ObGUxP/svoDIhddQOHMAp18bZxPcJZZVCSftRn4oJgnxxTCTCmnnh14rNULvF0RPr8Jz4HfR3uW
RNMbeLnxPu8bdQxclz8JodZLPbFxZ1OUXLTBor32xJ/PSpPlHlkJ9ayyjHyLuEFxCEdnrsQJbB5w
WndBNOuLVelyahcbDeBtsv5AE0GQRkjgsATtkZ9WT9EbShv1sIZZ85KBOnkb12x+xoFfH7HZ0ts1
8GZ4mJJ23+U0RkSmC6JyFnlXZavrI6x31e/X2hvuOSj4+9oOcizhDPH3amHjm5w1qdFcr+uNyom+
wKjEwQ6I4bmO1lygZgu7i1KeHQNofgiSreQuM3UEZl553z0awoN242KytgjmCQusW6UalHZ2w+PI
pMikYHBjNxddLunN4sn6HixLd/WI6z91s3rHz9Qgetvg0ySAYJhO2dXmDPbLWAbtOR9k+EV7VC9l
1yz+Law++qUNjRkPTdhFpMybIL0QOqhsn/uiz8+iyWQFHZeshYHeXWX5KlKE9ebcFCKi/XXwoPdf
nDem+K4Tf5kVImUGQk9gVbCcejKKu8gS7yHtcwREEquaYdfkUj2yujViB8nXNRfR8qGtPNXHMCFS
GniH1EzT+uiyXunmsEEPv8pHixcoc3xrw1LzM0dPrroySIFcylhoam7BlrCpjHRQPy/pOrhy8Lvk
BnY9GlRLAIh4mdGIz5/iFt2fQh1Rco4TAKe6h63oaOYkPceh9Xv2vEaOhqZwdvRzfQ5R7PxTRqAI
HEaEWVTVmCnWT7lXcwSxwrrLFRIZtO546ZHcPrURXDNF2JDuYXCBtx4WNJqsRKgr9G+WnNm+DBV4
/Nu0QzmtYJBbqwHM1pmFM2KPQcrPs+fsxO465yX5GuHr730rKvA0gm8uLRnG4m6eCcvmyiUs6UIQ
7NOA/ZBB3ix14EKxI4HumhukzlhSiB40b7nOduyLSDgIP6lm/Ni3JB52NYTCW96CJq2Ybe0xqhGl
qJCkaFJQYkwFJ14rCTkSOTdXhAvU72QO56sX5zYtBaPITaaER6DiwNl9CqSnvpsc0CRS0oWHYaBB
tKtNE2pEFhPbeEMJbR5WtKVIm+TReWRIAcx05tquRCWd8Q8G32sxQhZFaMySXSM7WcT1GNh8x0Ua
pM1OhnaI49vAM4l+gZgr6JGNGXmvjfmyrk39UjfyS53LmBVoE8TTAm/HDqlHdfBxePgoEomC/JWu
l86F3VVFrd6bRuWlHOUqixQ2TVkIEYsn1XcJgliJK3TWEtRXM4tvc03XfTp0UK5qSxHdw7lSBnZa
xmrFYUPu86mJnlIYiFTVGnA9WA9YMAX8cMv3YJD8QY79lO2mNK1vpqEfnvQ4zfVO29rQE1jjOi08
YfOTGNhYhf3Y7flI46ee+8Eun5vhwmns3YbckksoIVoO9QTxOkdbVIUhxRstdKoPqw3DrsD8jk5U
fm7GaSeDZLjCP7jMJ6kWWuTT4tty5DUrSTIZWeSBoEgPwBCpT1OCm9s5kNxPK8WbmJF67cYDg75W
KWzKpVgdV1ec8jj82wTpqJYBX+Aj0EecOu1eI19d6l42n1hbB1/AvNk9TDv5YfBzsU9lyu495qvS
iKR59Xvx0jE4wWo0bvs0pOwNWch5KOJoGN4Qs1JnHUaIDVJlWVa2IEfPVIa46doHw91aU6LZje4Y
2pKzWYL2G2+i9AtHNOuVB9FygywiDApyHE4RKONPIN9DvtU0K4sIya3bhNIIuBXFcVuE5BvhWzPs
erGd2jacvg4m89pdl7QQQkEmD8mpj/t2KCfV2hla0zqALEwXFpRRhzpSJF7L4ttOTuHXpmlmXoQd
PkPBurTJSo7fW4L+wpponIxPItFhWs0NjJwKWIvXZyGH+bNE19aUXEaR/wUH76KK3MsWc/RmnlSz
ZN6xHePwZfMN7IPVcF20zpN3cWzZV20yieMBned+0BRuqIHG0Q2kO3WRDqaSQtWANDd20vIrgpK2
LSfQjKZoTWe/zbPDXsGmRJ+mJVjM7waqlSmgyJldz0x0BkmN5NvS2hVgHrbRH5g+b+hepM18IQ79
W+EBjsxVR0eE9LxRwPPrryb+NE9d95ZKYxH5jKYKcfTRv+olDZ6grmU5XEHAcEUyL013WACqzqh+
/bKzY9MwQLkc0BMuDm+4Rs0SeKWmmxPPIYAsd0oaJAzgSMEiKkkjGka42dcmgZQieMk4QJrabW2s
Kakb2xCYGgHY9bWfdM/vwiFYpgpdBeUoaYjgr7JUga47d/D8kPXkLtERMl08GNvovYNt1OtL42WW
0T0EM279W94MCbKR6LYtkYVeGzHpMsWBG7uqgX6VdYWGm5u4qjeOCn5xGQ0jv5wQJw7kfWfADiHu
Dpt3rvdKy7F9rWtOhrpasFUgoyCNE/WqMHYcknlfA6v1J91oT/w1jQgaxrsG/ifR7+IRWtsT9UNo
LwcJo9TcV8oRz2f3TEuO50A82KWQTtcaGoCBzR23/0N4eerje5xY76pcNjZ+jaEyNU8fZK0nN8Fh
7vKNGg0DauUFg0s26R5+gU0HwT5c0+81ob5NDvBVr9hvY4Do65uWS+M1RZ+B6PLQ2VK2JDgiUI7n
T7oBoZDdzACU9uqz3Hek1AhZjvywQt3C08KRxwYkrzGtwIgq7mbt+kukcXtr0Q5wWUwYGDBFgj5F
cyzbZIf8aNNGZ1/r0Q3wIbUzMA56h3rcS5kx1GPkLitEP+vbEGYuQHeZo2K6vAWIysihnVPhnAQL
a8CktiUsVbpbyK7uLcE8BrnAcZODO+iH7GYF9Mt21OsSChXM0FzqIiBjTnapWyNygO4nPslMdy8e
3DVzEQ4InxVEY+/s4DYR3/2eA2XB/d4ovhuSKW8qo+BT2TLxI8THFbnVny77c97W5h5kqTmCB25v
Bp9GJQ8TfcsC58RORgJmLZNDCJZe98SQHE1PIyBcWkS9dKSw/cL7g5p9uBhtJhek4n3Dv2MAAOUo
rUTQIsE5qqs5Wt3j1HqLBUDwuh0QKDpEymQcH1RCZlFRkdmv3kqtk0VQL2PwmPGWx9WCd0p8Uwj5
q2JiBq1Bv3oG3YhiQbMDnFDTUTcxN99rz26MCxB12Jcrb+o9clqGenuhgwzmnHDM+5L6ZBh2xPnT
MZiG9K0zHQkQ+adhPZQgFNsYHWrqpqvIEl9XoR/r+RXWB9gm4GGFy66Ep2M0AEhBCF8RyK1rjc5b
FGQEDr+1ENxssUQ83aU86c5ePQ2wsusY4Qp466SAdSN0SLZnfZxDkvLm5oDcAh5MamuviOCtO46y
G1mpQZh9XWFYwNqg+YP2/AH3ucp9Ekh77/CwK5LTLN8xeCt+eDAvgTxksr7xUIanL2gul+YB0XC1
oa4obI9AMMlZkRQJdZTIyB0iQ9jjsET0FjbJ+nutAnzz2bJa2NWoBjOyrq0tZOsvL5mN9f2iuga3
gBgb1OFUDKimqUBYgcf5YwD6MK1yNiynAKRFWy3wxnxeIoIcYcwncuwJRkeMi4qfRloP+zns/ddE
TUGRp/AhNqpb4dCfVlcgcuSuyFSGbRXqCVH8outhkM9bk5tTnSi406Z+hR20pgumjSx5t1kj0A2X
sk9duIdCBJ3VjxAsrGoTGZReD3mHtphlCnthVE+Y0FD3brqNtNQ3dRggBO/HtUz3MELI58WmM1zH
c4+7hBsg/UJUk9WFAAC/G70N8U543WBfAFO7tkg4zWFHQeC5qXCgMzivQJfcrwIMQLEmUiY7bmCw
qyJftLt1tPiZOoadDrYRISsTyb+Wqel3IZ1sucyxe0tRLczFIp8tq2402eMUq1njcnE8oiFowQKJ
cLiNOhpesqbjKWxC1IlCBTS/eF4TfnVdy8/Wk9M9vHqshAcsfEcqRvfQGdLclW08MVWmC2ldpRfH
MKZEZTPd6abNOtRfFXUXFoQu3s/JEn/yaCPtFcwVZmfAyCFc0UkRvLU5HA+FgBHjOsBh4u/SJXZo
CvIQqYaR+rHYiYA1zzy2ailxbgLVAZ9XTaTGbPvekrslWkBDR+FAr1knotcRLou6MLp7iyYxvCoE
2Qu8zhPcIxyVMErVBku+U281BrvUwFbWKz0gj1ulEe+ZwLt86WvtnRTDpq5Uy9O7Wc/DeY5HZD1U
ym/AC6RHj/rZJzDGbYplUCdfZbhGGD7hT49GufDE8SqdsGQmWza05gtYZ3pQPOk0ZccpavqkWnMP
wEm0uT30cWi6R6Rl20qB3KoUljopxyjWO8CX4NK7oYE3cAleG+rsa07noJCT9hGdxCgDkXX0L9iK
/YrEZH7JAPcPAaHB1wEO9FdMyHFx4Vl8cbD8vyJzk91aiPwHaWbsuky/w6A830vtO1pk8+AH2Afr
fV57HIgmIOKA80D1aDOmqMpSmFPw0zfLGKrPDGRHlVk0KiOGCq2FbYLhk5d15Ik1ERElAat/krIP
IIXBacmj6JvTYP/VjkvwQeorDiguTAUNHCmmV3S0g5CPikwDie9m1oyo8hNeSQdvkhqRf4ZJwDom
RmgNEByHO+JgpXGHJURWI6yiwbdzc/L1NlnmBCO3m19oa5f4W9yTgR/ZkImZlJQof/YwTCQmi0Lx
4nCzQNOCP4LlQZtgMMg8BitgY+Y7jJPhifLtSTsLFrNIQhvvCemX7EvSY3zPXIySd7ZDHYsbP66A
8+BTqDyX1DUMLQQeK9iRtwEMe+uQhcamgY2dxLCCNnL44Y+eS6cKgiaMertJLo43UCzbmsMtJGu6
mcixBkfIIDWrV398MFE2o4VpI5so9WnIFmpYBSE2Q9+HyFBr2ZWxYdJDNS2YcB3sfBnpafyq+WoC
V+C3yNaVy0AAyYpVNqgMR4qYJMtLMNbbnZCk9vPu0NTWpONn7dVrGBctzTj+Dl74NLEXb57QMF+Y
m2iXlBazBlKz/xd57veACMQ/BKhzZGUhcsKmF/+ZNup99BzMyvybz5Ai+aV6hwmPIT+pSNRwey6Z
6UXpC6LCtEhVhyBS0UFHmco56m36wn4KXf/8uX5Xl/GxMHYtQVwVYz8hHkIr+l0zbGOHaFLdpt/5
ILdsk/gwfgied1iI3gC57F+Eyt81+e2KiHHj29iyw5B8fw7l+psnA6RhNvvIS/wQH1c0H66aKO4V
pPkpbYiGCc741kPko2UQKz8exf9Oc/iXkW4BuOe/LY7/GufwP0iR9NP79PcJEB8/82uUw/bqWcRl
4UOEbxLT1/7vKAcPLzaDkwgjAhCSQfI5zqGE/5rlECUY7wfrIh65HyLSkmIJQkve5rlFESb7BfjX
8PL+GvX2n3kV9x/C9j/Nc0Pm/HdlH7Er/IFVAkFjGJz+K8GJBEhIZKjJKe4ySAgxTBOqn81hReTq
3NVjfFy9AXHnYVncd2hz6U3MCdrcLAiWx2HQsAFN0nvv0g4NZkzy6wrr2XPCQKtgDFqCCQwTSa9N
Z6ZHx0z7LKYYIpg27UnUSfBlkBT2UpaycxYmO0SMx69mYuxovUy1RcsWC6Su5foNTnmvbCmGRpXU
8vAJrgp+xmnaX2gadQcdYW4KgM7tEIcYD9dRFGAmmnNgJrC9rYBpVnhJVIVenZ7hjoVqRDt7N8is
O8guy2/cVGP0FSpb+GA9nUOY5P5t4Fqw0TAAmsIM0bgP06A7BENYvwZ5m18Dj98HFg0ODYNnIO+h
ChLAwn4EsVH4iM/9FTkHRClcUmaB6THgTKgZ4n5AioDBq4GkNcCn6lp9iDtffof8Ne4jhXzF2Kru
gCFY/GUkLEGoryPsIIVlR+jCcOmSBbRZ6oJyDkL9echaCnzSLA/z0K7fcre4V/SE0UMNRfIIhldd
k4jZhzjBlwNHZrsHYacv6IPHryLStgI1ke6l6cwhDThuo7YWo+b6Dnb6BRoVJ/q7l0dFq2JXRrm8
YFjCicCUv9OIB8FvPvTVFNNbwaU4eZl3ApTkFU7y9TOU3fEwjib+qwaiR9c1t2C7yXKAqZ6eQsTn
75FhXsN97jHM9cFx4u2ilekLpCT2qXZt/paOCUKKcM2DVEuWJ2mW8TmnpL1d/cS/XSYfDIEGS/oZ
ma3phmm/eyIDkQeAnDAvFmR4jrHtUlbwLooeVpe2t3VN1r1LU5CknszSR2TmA/Rh85hV7RSZTU72
73OFtYIRf5hEx1bSfdOw+VwpBpIcoZ9Gl2SW3UHIBPRBlravI/IX176W8QOg2Hq0jQNd4JnoEi7x
5ukc6ju4t6dntkY5ZgBO3Ul4+iR7ulGdfZxhAKIM3zBKLbkda8JPCJLII2Md2kEB6m+/kCa+6+Ry
CZuFYDmO6uhhGphu6vm90cApEAV4gCQATd8hPf2IRytOtZMQRJyIT8NIyT7NMILOpX34KSL8G4at
ybr0ahK+pVn/PJho/TRN0qGJ7P2HoUkwGdA28B4jWQbycxuhcG1MEAeYCZeM71C+2H2KuWTAC1GU
fwM+aA692cYJrm33krW+KE3kqZ1vuLiwGg9xiaL2lGiQ1hkM7E9pNM2gTZCpLmYePM9Df6rDJTkP
wK49fG4lvC0CY8g6xh8QIO0eY9odE7fM54Su/QmwERBHag5YmkdvmPvVnlJ4lfcg0cYqnWYQsr1l
j3LyyY8VpFQZcdaUawPdG1wBf4XxxL6kvfQeZCiGEg80hRG64VAY0Rjfe8ruly4ZL6NCN1bm+T6e
mThQ8NK3AKQdJJcHQ6l59TDnBVGtKHhgPlIDPUKhU9ktvrn2vlHfohk9OSV+BT47PYDHszvTBRqz
GtMoe50xlEbCHrJ2LRCkG2AkdvXdOg384NkZDhvn4rRUxiYbPIPTt8ZgDMzFnNATDnobvJibl3p1
hBUdz9HnqRqsvDe1XQE5y7/UcpS3rqfIXQTeKwu5yoq6RpvSdnlaoAL4Za76pMQAws8g3/1T56MB
G3w2FiHjw9cOJvYLHZr8IQaNcZqm2IoCUuP80M4ehyemL2M01e8JLBcH5sfZvQ+DxVxKUNRXkw1+
mVGxdgXSB8kOom3+KcepcV3h1fisMtLeiNV8yRHRPOJEXEu0kOaKAXstltLCbiaWwE/vvPxGaKLu
Z0bHW+YvIzrJtoNaIORuCKZ6H+SgIdewkbt4GqPPfBHhMZlxl4pmw76xLPyBATP6dsHIj3cSjdvh
Apn4tRFd+4IYoOmKpOX5PmJ5fQA1CqrL1UvpBbS5D4J282YDsZt6tE++xlffN/FaOTfL3WTD7JJt
8Lmy3dDcRSlbsNCCBb4qEkOk9/V6cHWkDz24+BPPV/nSafhiML4Ngwzpes9NRHbSYBINQsH+CrrG
6wk0JbtPxsFcA1OH5zyo+Rf0WxiACecc5kviuG2xxS8YcyGP8AsiZclHlb/xJGkr0S/+a0cVPaIy
NSc6h5ULk/h+1cz7JuFjPEvE3PdQcqa7oO27U0w8BALgEH/o3JK91EtG9wHmpj41pgUdaFIILw6K
3z5qUnVVbvzag1/55q8a5V+reUXfb0l9wPiNoFphWyzCybvEvR+CXeshQsDnvc1g8oqg1zBWCN76
D0C6Cmc/Y/WzjgFECqYhYpZ9lM8PYz12x6HBlsYUtJTzYp0UCMGUZuNfiIfxk+masMC0Be+mhaAI
QVbcG9Pz4xzrN7DCdYFaC3ImQ1z0K5+TN2ir7z7Vf6Xd+oYxD499gD4fcSMMXIxGcVLge3bIwz6H
mDR7lk2aPmN+ZvgJgwT7b5iyZD8rih80feJhqbduVvwsa9yFPstxGs186BILgf4WUAtEALhRxDN3
bTjMBHRv29xYhJjAkFid3Y/z6JLXKaF/aXhhM4SQFzw4eIVCufdgeijp4B+QmJLrQaBDvG3l6A1v
EgUU2Cs3yL5Qvh8xA1OcM48rdHkshAAb8UtQu/6M18Smb7GLxy9+Smt2T23TXdImDtQzOL+GHrqV
d2tfQhEE44s5ATH7njV28l7ikdp4FzQIRcNnBO37NKZtVPWej4l4mO/6f9g7r+W4kWyLfhEUMAn3
eAvlWEUr0Uh6QVCUCCCBhPdffxcoqYdmhpq+97UjJtTTaomogknkOWfvtbe909w12A1W9QhWFmc+
nbBI3FF2DHs4i7gwVdud8yfHrY8GP2DKe0hqcdr5Jm0vXSvsVYri4Ja+v7ZnL3KTz9A8Y6AHB94g
2K60JEI0lBlBlBvTeR9H1XnN1TzMLT6aOBnuF7PNofYdbdUIrdsZ+TjRPl22W0AnOoyRVn1MkpM0
3KLZxnVahO0e4ZgIULUnu4Y5XzCF4krNcbOWlRadzAILMdqf8FArMzm0OvIYIwNohobqNA4dptho
zr92lpMFdC6nXVL1Cd29xt8gxAk3dZIVmyEUJajROOVFFpaM/bnM+04vzVWbmWoHxkp/FB3NiKBM
S4bHK5odxndYro531+hd7jYPnXCr1L4JK+YpbZBUWYJ97qk0+aeI+0MRZ1o09N+r4pYgzzcJvU8w
v59/8zebW6dgQ3lNKwZvwG8kn7Yg+Wx6yJ7uIZr/WeL95nLbH3BsGoRRudaCyrcoJn/VcSC7HSw1
bEyIhqUs062/g+V7I5qGPc70jWaxzqfAvvCyJSE0Z4wqFAP7NLfjwJqdcGU60e2zk/KreHyOtXvZ
97BBf3MQH/YLnidkz6+xcm3Ra9hqvXnfpUzTRreh1+72eG1T0W7eP9RLE8rPQ5FWSCdR6NgjXhs/
ChWOuL0sttE9ysaEJvSRpIJwhTxB0RVP2r0yam03zrbgWWLT9P7h35xOD6MPDR6KYtwnxmvmkpnN
nj1g89nLfLg2lXvnMQB4/xCLBeGZ8BytOYewKfF9neuGcfXlFatrber00Kj2tjFcj7Z12/gG1DHT
YN4wVz/ePxh9qbeHEyamReEIWLGo+V8ezooq4Yx+0+wFJeYhSpVRBtCjFXKlUB2yXtwI4FVMnqKq
xb5mFRIhbebP9KZTitZ1U4TJyjUjdOex9NKTbnB9tvdF71fBmGURlV3jw202K6PEWRvjrsRgd2JK
ZQGrHXYRCtvHXKBSWC0Dvlt6tiUNd79T61TLrfMYMOPailML6f003k4yrE8TJxoiWvpuHa+ZWKpr
h4noXTK5IBNUbV0x+7Ev7DZPPzq2BgNd1GrVRW103vU5ikLlh+vC66C26Ta+zm6eT1IvOmML1G8t
pR6Fm30sEvHgzN4VKmYVDNAYDqU+fo16gcdeSWej2fxMBVd6nZZztUsrm25wbqyZegw/6thHvC7j
i3JytHXiF/VGmKrbDMXgnI8jolhfc8KDGVm3LhvJA3LcNgDhUyJj6H9YjuZfAxNJ1pMh5Tnm2+ia
wjgLMIEGKGKQmxeIGEa6u3vqqRCE7xif5Y0ddHG4gu87DUc70uEUDzXW8yAapsg/aT3ZjdukcP3r
ymUYFXuUa6aXuKclvHX9mEMFM7b5iGjoRuSudhenfX2RFwY/xxtH87ow0v6Y1Um31y0Az0ldt4qr
asfHUFX1GSBle4PmJ90q/A8r/AzysiqQtLFPMjb91JnbnpbALb12Ks2+gvwZJ2b3pUv0ChSyPhmn
Ghvx6ySu5g0KFWP1n9WQ5ZzXl6puTkN/sn4qIkVnpXvsRsaZMVrOXuXcC0+yyK7NmaAo6wvvYHta
pUkXoQG3xr1oEv8KV73caVZZnz1pJLtsWpvQyc5e6yQLB/PGik5DtIIrlLDp+S2WxPnhXCZus0WJ
UyjQAC7TRiP6Krs0PuGv3Y19dGBCXa3Hcrgqp/RGUpastF5qO6Hy/tgCr18lyPOYSUXDFSWjsTNx
2O4NAJSolFs6cGVTHSfG5uiikMFfqIn3Bnf0suFHw6dfWWE13aMu0eGua/lpH0nt2NIR21kjU3kn
gyGxlipPt2lYuetKrzhalKJRQpmjWQt3NdyGZTwx0PPCL17aMsL2In8H2GI4jmzEA7dAg+n4Wrxr
ej3k2WfHbgoGZCJEpqzYfq7YCA0HKi3jdKQjsA2l498WRYEfIk1wUbvxvRVad74xA2xuW/1jMk76
3uytry4qV+ZC0SeA8PS/cFCurGQ+0BTpgj5k6zQLrYU71UOKRwAeOLOEplKVV7IKs3Vezd+TyGu8
Vayn08oLo/4k1KJuY2j61Th123Ysor3UEI0Ufjns5pQfG2FZu6kNzVUsT4OGEx9QdWcW1n3TZwvn
jZFqM26rMrKubbv0mcendX6Su31z2Wmldc+67Z0kakB4bCDCHlEKbuK44wrZopzPwyxtzZUVltNN
YXjZKQvSfGKMTHHRhHypiwGauY/2mHKqCBAWI73X41N4/7uYF8BKoW9oKcYRNmTKyM8b5Z1kvXmT
qhgmQGjkQeTVB1F72nqetXAdppp3FoXpjxDxbDCjmXPxON9jViq/yc7qL0p42tAjMp49lgTnIpnk
eAoiNjtxlFnvLTgZ62KYh89P0vQ4qTmy7stpCjKHB2il0S559KWW3RlDpV+H7iyuaMahhcmgyeCM
ZL6L49XauVncbpyc+4v+5/gd37t2kVZ5xmnOg7R25a0d2/kexUqRBVWddYEhRhFIweqReRX92tkV
p5mVDNXKImXgQjWetqdvAvG7ch9cw0IjTiJGtqZRKU886bnXWYPqPLcTxLmmmAK3n5K9mQq48I4f
Y6EvimMxdvbebm37AodUuo+1KPrq2RsFEH+XUV+tmz4ebwxWrjVGHm/LScquLS8yAhvHAL3Als6y
qFDoDErdtVMqvo69E587tTPfNWj0cPQNCc2juj7vjLLdpkpy502u3IsUcVzmcJPx8nzM08ZchVDK
tk4UNie8H4eTHoDXahELu84R/xjSzrWZNd3PfcU/m/w/bfJxJULE+su1+WZUc4Y75P4h7pofQL+e
z2uQ3Sx/8zd72/9AMco+n5kMO3N9mcr8K4CHqQzcbdNjTvJzN/97o29+8DAd/wzFYW/3PIDHIKCR
vFr9XzDvvzOwebuPc6lmLNtgf8qnW8Y5zyaBvsVWIy21cu8l2WNcsHhrONtWiYfk9dnZ+W92+wT8
QNcTlo6g2IT3/fJIWS5yMY8GRzKBWCgdxmdeIEcK4y74+0fiGD6DTdcUaHJeHilqNfzNFMb7dkix
pnX6RdMridZr/rsFzDI99Xhf2YtGmmO9PFBPY4FN2lzupyZ9TLP0MdSSR8k///b34TD2EtKEXfbN
NQKejTUJ2BDWjcEntaECwRDTPkjH5P9w6rhXmZFjknEZuS1VxrPbISqZfBcIufZ9qJDLAgdehYXp
ndZAAt//UstPelWveKCZ4Rwv2E/hvTp3bq88rfWHch8PeEfQ/H2covHW0KZbOpd/CkVYytU3B2PG
vlB8mZy+rr80tCI8m0W591Hd0smH1Ce9ClycltzrXqSCBOICbEqQkO9/y+VWe3NgYdmWz5DfeVPi
ogjrzCzOyz3iVnTvdUXwg6+lt5rk/71/qOWEvTkUfQO8C1isDPdVAUgrtpsSpC57jUSlvepKVJSm
Hn56/yj/9gs9O8qruo8xBSS0jkkSwEj7aNbjba+G/JDX/7dT9+xIr9aLgU1L0RPstIcYNK1hA93P
C2r0v3i89LdfCkoFZm3aKqB6YMxwap/d9UWoYDzRCdiXPeEipd6TlTGV7Xg5CzVt/FBngunXEE3p
ZOx1DJhrmVn+xqpEflgQtQ7iF3ek3om6oC7y4cGNExW4MrROUBgbmAPSxwkO9kk0G/1Z6TY4K8oZ
t5Lpo6MvyoUkGodqo6ekzHS8MfbuWKmrqfbNu9Q1ixM7lOHXXvXTelCjvWcfxWaTmKTdILmfU/h2
UdBMCKNXaT56656B30nbIt3r0izftKabf2o1KQ66Pw8PaBz9ndE6fHbH4ChSFMfBa8htiV2clptJ
ZPo3mcaMxxs+j2b64p7+CROpviUAzI/Ki8ici3W7jP+ZyIWhhJGUkUiFJ9YnNIeYsEoPRziwTJPw
HmkBBAwFhZSFS0m3Je+H0TVAwxSjWJJvHIdXAAJgY9vSnm6DHhYqtU+f7GQ9F0eCF4q1p6pk5/lK
CxAGmHc41+3jGBnya+QV2a0zpGA5G6v8wmjXZG7LDwLCY5RfSiUYl6BVZosdu6XfBpYF7IY5laB1
AGglu20GD/ev1qgrTUvaryGn5hjLqkQALx91g2vaSce8U17ySIs7/NQ6c3GCDIhP3zTFccrMIt3W
mY6yjcZdFl8yWh4/Yi8SJ6zoEFF7BcErQqfHNoDJT2Z2+SGJlqGG6KLkPLJK/0ICG3ukgjfOjUJy
EruM2svUBgLAnm77jBHWAeGydxo7nDIGBXzNjjQx5l5ToKg4rnEP85UihAaMv0ZesQA316EdS9z8
sHvnoJhrJ4MTZ+rlmdH1pb928GCg/is1cjdQNnhBzoZ0Xjl6Xp9i6ZzvPHzDNBVS9Wi6cXHgO05k
o7By0jasQKAa1GqmY1xbecH9Y9f60s8QNsYtP457aqNR+acYU4ma8k0uQYvWwga+UNLgwVOmBUAH
/NuGMmpdCn3WAjol/gZlurdrrbLvqD0GPDUgMKN+h2xJ3vuDqW39nOfIcQsUmYnfZxSXIQin2u8/
z/Wc7uyyaxlwazXCBDR99ryZ6THB+W2ioVs5jLW/zX7ZfDdnni0mVZOxzga7uUH3XX6JpLCP7pSx
hsKwtQF+adbB0RdBKuAtLcCvIg52zPisAq94GMMo39Qjorq0lo/4LX2CrRzrwAcxtkakJoR7TTWs
Y4w/51HqI3HARYeziCvUWbz6OotVLfagNsKRDD8hqu7SNarW+AdGe3ufpw72PCd25lNcbp/LZup3
lioU7hiIh5t58PIDatnHJmTgVWkt9go0JUgNfrRd7a7jZvyUV+aeZuu3DkQkBhPQCB3ChyOvQvcq
7ngojZyPBaimP+vx1W6ilOdcoLpdmYzK7jyjnI+6P27V7GZBhImoDdQAHpmuiExWVptxU7MqjpeY
p/F6IDu/sNhUbiviFjbp0hzp+xIAcyNBEdesbmpAEGQs792SYnRtKnmfNJp3QdiYfZ+NjXdl9a1x
DlzBuJYQBQ5jxx2VsqB+BS/KLCVDGtPnfH27AW+zUuQ4XrR5Nzw0Wk3ZFKEgAgqVeleGgzcHJeQ9
smYPZxvrB8RL9wrxOB6luoZL7cK2okHZeVdhkdanxtCxkj3ttDofqUlG1ttaTpJFDILH2hk4dF0U
wK4bD4A0qqUHKlN0Fxk6BaTG3MHgOJniXFhly6R4sGiaNaq8aBaIVVKYxTHDTM5KXsUdg0uDUZLL
2UnQaq9xRhmbp1V3iJMvbeoZP/SB1QrZQ0ZJORvnadgm59Ieo20/YRFyB3YSK01r7XMZ2dsG9D1N
1CUv0ZpZEdsCYfPsFDcMTP2L2Q3z9ai7gK20ZqAvCAqJhMy63qNJyZlPRmHgIUE9hHOnrpqOtUeL
WD2gFW7ytEcc0TNqZ6TNFDoCF3Nuhab+DVpge+yBBJKK1l14SEv2hMX0O7CE/o50A+2srZMLC/Lb
Z03K5mIa4/YslPNdolvDnZcSikXDPdmJmXiHGY/4Jo8x0+KsDC+zFLFOrdaJFZONGUaBaJMbnufb
utejvekVaB4izGWtbpUIdxscgIzZdyzu3zSbfDHT5aWHU1CcaEBpb6uclRdtgn+rK8+4TqjRSevj
kpY/F1lHNIQMcg0QtljDKnXwfPLexveEirXbK3r89S6nF00gAV1pZnZ0qKenbrWkyKu4RSRdbAOn
0glwdd1feaWboMBfOt40L+l+Z6WVKIT+T13xpw45pv2bRpnqAPxNHQqy8Oik02Y+WEsx3/0s7KFq
L2X+hCpZzbx8spr1T5G8+LEyh2RY6whRaAziNI4PA0yTflyZKuy9g+i7Iqcn2uGMQKrt1x2zZL92
H5tJxt7KQ0rzo7Qd+pNJ5J6Mnkta2/CU3GZVtr5ZbFbkuXluimwZ3GB7mTsuCm4p8GwFsPDlpi3j
WjCj74weobvRfPVSPSU9Ycw+DdJC4IsPk0w6NtciAY869Ycc/c0aBMo34XWwHCWBdZPFqMDWYvTG
PF8sHP2VbUvtzCDlQ66xctBLEua04zk1iamUDQ7VzGv3ZkUM5ViF9ykuG1T+xBOaekEooVsZnxXM
pnPEFTSFxwhjdS5MiLF+Zs3nPK7RQ5S5RofBjRC8zCVbVmaadpKMtu5t3UixvgmH5VtE7E6olmjh
Dyj80WPzhfdpR0cn8Cb7j2D+ZV/7Yh9PZCm1PwplxlRM+V7tsJt5jkTX6Nm+4gW6dsyhP2ujTndh
Z7JPALkOiMLSkHSbM/uK1K9pU9WmfWwRMCcrw/9TofZm0rN8nmXe6NKhoNh9XahFZsQzwOeplXHL
MOVYp6ypg5vc51n3EcqnsX2/xHhTGTJNYiDKkYCO0+d4NXtsRG+raKCJ3VdswvKwY0yX8zrOc6zA
IACKP2XRvNn+Lwd0UcCSXGRZqM5ebv/zmg2OwNPLglIN2opVokC1R0TKWtbqHos2TuwmZj9oe8Pl
02uH5EHDgSUwGNvYyLQAqK19X8xVvxsb3uvvnw/r330+2zCBj7lkCb4pyssxKTRsavQflRKHrm/U
I+JRnqmhRayoVjgQxw2IUB6kWBrteQ+MfsH6lhelwUabruw9W5kcRSxyxMmk8mzIroH6OnX2UZiJ
f5rXsj5N8eJt2r5KSlDvob2PQlZla6Rw3Qh3MRvCx78nUGjGGcsvO08z3KtpwZYSFzNmt3qSyK9P
b8U8R74fDDOpjH84F8ZyLV49HYbNjlLXHYfwmtda+Yj8IsnbC12OI9lvazjY2hG3LW6uz1Xianum
Mv3Kk5DVIU+CEazbw/uX402dzcyaASthT1wSbtNXtydt8AHespHsfertna1FBdLS4U/LwJuOBUeh
UYG9wl2wZa8bMV3S9aEDlGXvCDbPTsTClZcO4z4TfC0OJRIkJ8gS5zECns/vf0Hz7TlmiwIt2QN+
tFDaXpXDeGkR2WZDzKxrABeRYf481cLQ/4pkzj426K6mCx8iwm0uplv0M9WjVtoDYuvejsiGy/Gz
sd7W+Fhg/YJDaInuFSKt9+y//VNJgvj3KiTt70QLGwrXp0//T7/6D/1qngjr2XV+067+n+z+2726
f96o/vlXfhsLxAePLogh/pKk/NWn9rwPgqh3OmR0zwx+5Wb9bSywP+gsnRgHdIv+FrzOvwQplv6B
NZy7mP4HMigcZf8fQQo/ZSFbGiZ3JtqW18+9NEpTNJbQ9kweUaYmckI24ovm+tk5ufy5kLwnSVkO
gygFvztiQe/Nwz0bTT2hmNP2oDCN6xRD4RrjtXehBvK9/rCWvX7Pcazl+SLWhe4gpg4u3/OuE9cC
/jftk/1kFP6F7ixbOnvpfMz6eFk6iqrq/S+H0OTV6sk2hcXLYPhEs5+sp1d7izFt7MpgbrpPpprM
3rAq2lNQVxTjBfAeO/D8gb2xR/9+qxOdC0OCtwo5yNAp8l1l0wqxeyr0VTfmWP1kUu/9YqTpwIZR
/5aDdASK0/i7pw7TMNfJTjmTGcADzw/YJ9VVllL6Zlrd3jz1nxBqo1AMASCFE2WNiIh6W1tRHu+m
CnNjEjVEjLQ0ZkwI0z9Ax823cSrqW7eMznRW383gZnmA90Lfz6aVngnBaDuIpdVdMY5Xj7M1Fxez
NcgbU0+IpmYSviUcOsd2qvqAjfFAuHTIfnOuzJ3X67A1CflBsAgnI2ut5ugabXFelx57fYyG93oW
aXtmcoBPam3YVxMOOzSjfogdQzOLh8YjFNSZ1QhEa447LBsDMkVEyVu9MesvSar5Q7oe49ptsFdP
QzQ0X3gH2FNzSo9Ybt3cxQU+hNzngR4Ti4gKUeXfqOPLL5L8hjvpp+ZHHy9dHAx643+XHoEk7Plq
FyCaORUpTMVk3CIvZ8QOKjb+lsaZR6ZzLrILPes9yET4B09dVKzHCRbCrTfNFG5hUoNSWZBmcgZC
JoB5XIAQ/xiPiY49Rk4fY/jcm8bQ6y+E7/TbYtTbrdc7Gs0cklu+10rFuziPH6Zalmt6W/Yx8j1I
f8Zsx2rTcHLiPMzOqkxh4bBM7coitO9UnwFtr5jDpnBgel1b01EI9ZVWQJR2EvsEkbvAk5c3G2tK
0lNdRt33qHHab6kxyWwzR7OTb7Q28Q+cgoa8EOeharNgAB5ynmc6oAc3+65bbMmcVBxDDQV/mkY3
foNTtQqxW2DWwBsJfQaL7pCjaBCo18PEWblle5RaLegUthHAWd2T97BtQ/6w+9UKO2sdF84Ew8up
PoZDZp46cXNpj8NgrNjci4Pf8/SMOHBJ3mSkLI3+x6hcjU2J1p6lZj5/Q18wBVxZ+1sJ8e0CyzJA
27ltP1Z2y8u+9T4CL082nT1/1nCjnJszWgFzmptzzZ3nzeBjXclzqjA0VP12UuIqH9SdazGv2ScI
73uBlraPp4ccITrD475b2hcdOMxsNXmlKZFAy36dRioFhm92UxpMWUWbyRuyaTzJfJ1E0yAGCKXT
DsGyeZs2A4EHdO869gWciKJadxPuqmtBLEHUZniQRq8frt2pjTe+gbB3bQNHARUVAq5d2ZXurPzW
y/PdQFPC/TxqggAYaMgmTBiPrew6ybTJ2zaySSqB4KolDSAd5uhjn9pLVEyZ9NG5U4HKWtEAy4fL
CKYM28/SqZr46IdaD4aOIAD7i1lCGoOYS8B3jJ6JuM1b2Q2ava2gRLrf3THmQsUtWSaHdCLesv6U
KqioWJz9Jv2i2WX6yV/atrWeswwXyrX3vd5mt244aQt/3Qyn1UCn/gDelXz1Ye5pLFK/+ju7teDF
mGF1aoy06k2lUbqRHkTHR82+cW0yZJWrplp+2w2d8NM00bdyiCL3VrmRs1PC0XxSZLA5V50ATEID
TZxgOaFnPNIbbVWH1lpVIQwL8DjFsRICDha6SdqNTlPg11j6YkunO290j7p5ihGmL9s3mGQqqFot
/zQ3hDit7FzrsPn3g7oaLVH+QOvnnfJBkmibmgwFyslX85o0iyze1ISfncAT9C8yO3HuM9rxMZkw
PVFqjUvnfMCgFaQkZeQBCXH8N1traRp79NctnUlKlkqHSKdZFZ8iFVNiUJZ31OVFSjA9ybHrf3aB
eZu00x92gcyh2Wb8Z9ECSSdFff+9eL4N/Pl3fm0D4ap9YEaPvsC2llBujy3CL7kC6oAPJKAKNiFI
WbEX/GsbKAxMpJQM7C18Q/xUM//2l5I9TmY1Mt/fAoi/tQ18VZvonsvySWXEIJd0cgbVLzdNOgYG
ndQk7UjzspI+Ph3kut3nuvdFXh+krlza4Cmlfix3OLZ4iZxafqag8ioMN267sotJlEjrwJOk1lmu
IfYGdwbqJNIlhBGenmbXpbIdw13qJXaSnNrR0OP8mPndsNuT2cGxbqDSDNUcraJOdWN8avQKwAT8
Rc/VVjG2qgBYGx6SA+WdBS/TGrJkgjwR9voX82lYWjgtyLhPZCWyR9x4IhrcK1wTXexfJEm7GSCs
MC9RHgzlwO5yMKZZV8/EmbsTyymRYkXllT83iP/UTn94agxdcJ/956eG2omwx+fPzM+/8fuZMdH4
MHgny9hFc+IsxcnPZwbFywch6C7xuCB1gD7wV+XkGh+Q9ywSFQQqi/yG5/bXI2Pzn2yEQmR0cntQ
8Ii/88gsnoBnLZPl4xgE1EB1R+4m2PS9KufhKExKoen7EetzKR/ZgYUW3kHmaCAw2laa061cJPDb
ZrIyWrgNSQEPY5iV5GkV3GbmttRQomIHA/OaEl8c6uB8vCxF+lbrishiRn6lMzvMMED6McOzegDM
kOE6iFCA8rrGvDBcGHhMZvRSG25i+kuLUwtxtbcWiPqQ/88dVr+d1URA3lYjG1BACNmwCEu3eQ/7
NwmmJg4J8312If9NwfeqoSQWPQ1qJBo6hoNsi47OywWlaBwDKPds/yD6qfd54iIXcA0wGYuCwo8A
rACoxtOmHiunTqZrJEdLTrLJ/oLvkxtDNN68/5Fe9V/4SPgiDBrKePgdVuLXvR9XmiPpjnX0HVMe
qTylgN1xmMk5A9kRa07C0JBlLjYwIMeQtiArjWUKrVQvydwEYrrkl7o47+WBLTAC0c0cRnO3nrOR
S7Fp2zmmjqqdxW7tzGnlnM9zavDHWCGpD9EKN9AM/1B7vuya4QDkJLNe0ycgddzhWXh5msMYsZKG
GIF5FiCTT8AEteKjysJivnz/7L10eiwHsngxAPqwF20Wx3t5oImdiT87Y/gdDAIqtE2ZhalA/arz
hI94KcXF0BT2AilH/U9eaUkESP+R/ekfFU4vi+2nT4Ke2tINGxsPXIbllDxTlSA5nZiaSuc7g/Xa
ObfLScJ2YQTJKOZAFTPbzh9O8nKv/qs5uhyRxYSuOY0SZEAsSS+PaOK8xA5mm99HI2oS8cOkQI2x
a5Yd90JUVMvXzian6/zN+yf9VWNhOTKaDPwgjo3OlWfq1VmXZFGmQ2+q700mbOXuEz/MbzIYrxUJ
WwQdohkZ/TnU1WmRMIAj+a2Pyd2WjVvS3sQzG45oCmSo/CspHRd/XQzeIDtN+6iGONANglzo/fsf
+s0tyQ4Ht8KTKhMB5PIKeH59NCPSoJq61kOGYIpEyWoql+jc3puXkMK/eyxufGf5H1pP3hSvti2E
Kzag79PmAbBN580r6WakwYYINrgl3j/Um5vAJuHGx5XDnaCjNHi1oBl+6pkEd+cPOaZSTi4Rhyl5
4cakEZdZKKewoNn1BdP9949rvD2fJLc7dFjYCgoG368OHGqGPpa1rX2bbc0w58CH5tZBr/OYlwGM
tTKQqnsek9S9B7OOVWJd1XWNbYcgVbO/TkjZgwhFnO/cfsOuyebOQqswHW01CYb3739arvSrh4UP
6Nr6cuF95LX0Ql9efnZ1Za26uvgWewk0IGjpUztfNpCbuT7zRPXb7/ymJJyXMM6E+6PJgTRRmTvT
xGLppyKaHriWSj46jc6Z4fUnlui+3hCFfPy5AJOmwOqCfTPCoBv5MLaCXrkw21d91jZcnbxuHV7D
uWX0XJFYhcsSrTVxzAFNpiqoEuKyHb/M07KFAAk6h5wLU0qLRV6fkyVbzxSVzR1bxUOyNA6FVD+c
oTMSA21G2MyX3NC+/Rm5BE8cgirJZ8Qr7ueAGyEFfgYqVkqkYs6Yzbdza7n9NYwN4qUbye+QxwgC
lVMSx07BNTPjERoqHqY4SXHpgF5cCFoeP4O5LJYgyIYTIDLiBhYbMX/SMZKQP5KQrKWcnd0z/r9q
QfTxMpuqcYmMbmoh0RXJyOfQvzPlLNKCi7UWTaVzbkHYrb5guAUFGQomVGeZyD0YXUYz5scY4FV3
6EARcy+NYI85dUmfkNLt9aTLp3ib2uWdSQyVySJSerQUTbi3eUlS3q8vYMt2idbL0Uo7cq1TYnBC
bT3n9mtQ9bFg/oosrJrQIdskcctJyaBZ4lZ//4wKW3W9sRKCCeKAW64AAWjFs8056KyEFJD9WMYs
xJNV8J2in2dVpOnAmbO9suMPDEMbp8zH6w69hxH7OoeyNJdd21SGS/RJObkVX4+la7ldCr/lrWUR
EchNI0NHqo95axcutEBrcSGuQEKbPFM90SHcNREJjFwza9T5gVj+jNDdthEqE+ugiTGZHio19pzD
gpn/ojdhvTfCT17GKE6uZ7fzsuGEoVS/hA/O+bJ3k4trilwOh90iX0L6pUMCKZmhOTG1CDj4xK7Z
swps6tmig74pzHC5f2ukk/wbvZvK6g9+0wt+SjEVgkehk5bHv2lR67IaA2pt+UgT357fHFDi8Q/h
Q4JzAsalPIKTV5EotrZmEFt7ii6LjydV4i37NsqtNDlvFvTW56QT/EuA4n1hvknhL+e4AjcuH7tx
WBLiZ89d7rmMLaDYUwGSuQx01llu0WVr3V+XXs6vFc4cHmAXzzYZ6Mzr2WWgDOM5n+ppXhaPOGUj
hsK3Xh5p0qD5oTWxS1wJu2HfCJ+xNKz+GqUe1d0mLlxUXft+1BupzhbkJz+wqpuaz0c3tlvuaitJ
FnobsAdEMqOXwS1cS/3aj4kVxsDvCXKUArJYYjlvHZ02I6KX0tq2mPrhhHBvZzHASb2cL+0J3LoZ
YHwyHbHxFc0+0iyfou0dG+FejR+qzYB4OMQjJBdkTCchMAaJ5pfVKuknxKpLSl6PVAKVAlXtWKMz
anBtNo02wOpu8CcjVW+4NpXwksKGeGXkfJkcw3pUfPJpXgmI+k3hjx6d1YTY+Q0LMcvNprUiCU4x
KrvC939nLYam08b70JLd4qbzUpZZ52EebI2APxbbie8MaT6d6TrV8RjH0WlaxJ3hnrc4VJebJ0ER
w53YDpBRtiAylvtS78aGeyi0Eojgx2Jmeo9izey72jifbTJYUSXmnKW1SrkegGt0zeiqcwh4Jkuu
zKuOq5QbmGRj0B5q4Gf5lb6sgt0CVWDVSQhk7bd6Ww78SUoY+E2rtg6XdSnV+2VI0MplRwhsLWJ5
KsXocP7aGO7wec9Z5FkwzLbhhuqr2kL2wNWvyPH0IM8LIATNzAePgUtxaGEQacQshZYt7/qpdHnL
wxYsefIg4ywv2bbtKm7H0bFRE/BSrifWh8mLNXEx6hPJ19C0lS0Qqrc5X8kr6gIHHZo3jk+CWzo9
oLKjGvlVh7DqLyeHMDcLmVfKjKRCOBjLwdJOOjnjv6APbkXYrYY83AjSUKpPiJj48knBy3/C2jm4
fGLgJhpnqSAhngdbdqD2bLwo3XIGf93WKhmW/zYJQHhmgHJv2Tg7hbYs96gGeWnhGtA5x5ZL1uSw
Ytcb6TyfWpTw5AovtF3okyQ+lOdmwrK7bnxQiNrKnY2JtNF8yOpPuhqz6xcx9k5e9ritir4rH8o3
WfakliTVV4YVzgwY4t/H2IPiBGYCT7illWrZQ5mjS/hTpH3GaxV2f9sbQcU1+kOkvUCnCpKqxPzd
fnkRbC8rkY7ays/MKSQr/j/n2/tE2Or1NsSUUxzpU8Mbc9r0bMBiUG6fJ91HktY1Lz6ndQ8NTWtv
ZYk3effgjd0l/sE1yfl5J/WexFIjb1ct9JQkiEPL1i5Lpq3ipkMLLIudjlCsrDY+9M3xemyJNsW6
iQr4o9BEM6MH5q5e2bXj1Dez20d5wbzOcetyB1IDhepK793SWfvjnKW7MGnluCUoHI0/4b+FZcYB
gcNN5X0zFHEK32OTtKzxf9k7j+W4kbRd38qJs0cHvFmcTRXKsehFUSI3CFl4m8iEufr/SUp9RqLm
Z8fsZ9MTGlEsFJD47GsQXELJlS2j50gg30HXBhttIj2ahzFpei+MJRIslX9IaoTqryMrMMryoPyO
sjb7loUN4HcL5F4JHzS2PMy7of05o2Ok14PNlyluf1bf5lIlvnU/pXWLXMrU5jqhom5Ud977afG6
zo27ZBqQ125NM6VGwb7EoxpLkCnq9ni16loT2zy2JIfBmZVOKxGBhJe7h61NriWB8zpkuBwQGmo4
aISS3ACqk+yLpZpSxJMchEHD89qnBiWpl/WK1MOmTpuvj40Hvv+Amhm/cy89pIOBhItSdw5BYa1c
7eKqmk2u7Ovc/+g1Atb5AS+MoIT7a4zMGjrZe4RJTwgq+7BkJWAfXNujCga7qKtoJOU6YlmBEAJB
D7itlrxCEhjMIcYB/uocYWpUlESg1R1iSi1rky9KXRIyb8IcatABsa5scvQEcoDSBNjiyA1CaVln
TqBcM1c6pKD+7YMM1qBd3ykElPg7NIFnfplZtAlhRngt4n8HwJw6TpbQ+PkRu7AirqhBfcUaPkUD
3nz5IcKxYH20AVb7nyc8cdu9bxdBA023UKRFcC66lmq6QJcsWTTqewQexh+t79IQSxnF+OwgIbwh
HzI3YMmYzNzbyBw8bj8xXNvmtS/jHl/UOkv9zGAuGoEKOIKpJxZ+hIhhs7GcxOBGdqlbRO1hyXHP
+F5JgxtLmCn0FUhhIJB//PtOrD2v0EZ2zkpFGjQZv7FlxYafTWk1S4hYv4HlbL7NTeqAe6+eE+9j
hehxefHjMZIwLeuR9k+OD5CnZr6xUzQWzwgp7ACp5SYt1ZTdrqj3J9GTKgMP3xUo0Wk9wYTwfPWw
BgCeMpbCnR4+DQOyjdmpMxtdVJgj+30wlvaie+LQ7zksNfM6a97mE3YAY+yWdkvhjJEf6VK1kGZh
43SpUOHtOmZ2m1/6SWByPcvq6vfAQXGfr6pKikzYvq5+RRAY0AOvBm6K2CUKWYFPBQg+ysOe5TaO
MYlEwfLQ2wGGPXH6I7viLZWSNFGcolDdOk5HFeg7KMNrKx19HhOwd1TWJneg+J6sQcMf+P/1T1OV
IHw8VWFAurQyrgtJVUSvuBZWX6ku5p1OX+2P16Mc2Rk/VHJqeaiDIPDVeDg6Kn1G9DkFcOHhmRPw
VvechWqbL9QExd4dXH12q8aOmqt6slI1xmklQgtB7rFGJA1+Aw6BOUpgquazmhXziwezUyAqCmHp
0jpSLS1fGkT58AkKQg4gV5SyGwkuy+RiETdZYwmS2LM5Z7Vp6yYQ0Ts6NhPHIR6IcCPKSxpPnjOu
D+tydiab/gnQ0DIDjLSdvvykMmvmpiQ/Kh+RmopaQ7QhalCHfAbaBtL8R0ccrk1EYTCnqUn31aRw
i3C3oGfB08LAwO2Lo2S/3pqGMs2tk3UZ7QimNqkwjqHfOfLBXysH1JwxWdx/NrO66Q58tNgZicyW
bvLR2tWFfNq1nI9EJClPbawZ6OIQGBprBHJSIUW3hyvZsv2mCCEGrFZPz3vqg66ZhO4fOE6+x8cz
2ktWHSo7YrJ/7AJvZg0OrYmjDxPdYhO/lMDdv/x49RoFOA6jPqOOMJRc+rYSfTwqZE04GFgQcplG
AlWJIxmY4dTcmO48Nz03ZNUdNyzCkRs54Q/EKw7GJe2ufEAOFK/LVKSHJGtmeQeAfcU2UOIReAyB
oIiBxGa4bkoTiHdDsPersuXXRO44aFJK3+hK1G5sovh2+tE1ziWyZNmpL5RFkKLglz4OHhPReYfo
ue4CfzQWVbLqi26hHi0prHt/0UDScKXjdZE75KDTJIGD2U5Zg8LWLrekvnTZzGTC3YwIwjjujLlx
y6ugYzjCD64LJ2qxSx2wRh6jkW2BMOX5i9+MWNkMZE5TfnKg6fMLlx+RI5qFLnRrC2p9+Q8zrn8z
MwLohr0rC52ANeirmRGieIhjR9X0eU5G3WeqzKgyLwaUjLbNRiBcxyN9e1D1eqrGmApSpQc90cUG
jcLp9zHVghtnaI5AXjx/0tubH0ejCg09q/xPP0oj/GxUNlgYafzb7x9lZ2m3KqYTn7F+0vGp9V1H
URQSrIldb3/WyzTw11m1xZg6sBwPTWIH9MzrMSVuaqLS6u2fZ6eWNDIS71hOoje6Ga9hBticXAh1
haAhG9cDMCURLQ+rbTfa9N1MIfRmI6Ll1bHnR2T+ufto8MPQJVLgCXICCJ2JP719+X88FYdpt+VG
qODRjtum/vtfZvvzkNQjG1vvEx50M9dBgtJtIcmVFurtj/rjzMHnRSULYCJrdDd8PTqmjMrthgLq
U5SFjlyOyYKTwyMat/oV8ZN0+scj93qFAjLQCkA2e3wmtu+vEc5DL5CwYFfwqXMRgl0pQnKmiECS
dYKwI52zkshPiXhy4c/fKjswhxuiHbKwb3/317eZranngc3Xa1LPwrv999s8NeOspih1nplJ0Dou
WcaUKgQlRwR8+5Ne32XbY8/PIhZ1sIAN0uvhdUlhiIReYT1L/JvLK6R4dWueF65Dks9sXTW+/YG/
0ypY0ACWYOzMktdjw8f46PevNhbhSjBZhucBqwpO0OAkOswRFKExbZOhr2YQSnm6ZNE2KOEbLru3
L+CFuPHrG0ip5diohXlBAKriD020BWILTLSgee4zc4HEyC5rLXdMPbKowIpIly1qyHRpjHiFjt8/
h+KGN+qRV+2PYKNO04+bUwPd5B4x+l94i1s3cugW1ipsSAminNoQVxlnBLC0QUhlJFrjyKGTJQpP
LTSXLDF58TcO0YlaZAwkwyML3BbiKDCUmgJudZnb4ylntRxiIYhXMB8jAJ8RLOB5BnQxgMZ0Ogd9
RG0TCEen+K6Dflxtgx8DekFpT9TEbVgXTTgKvlR8tqWL5aTACoOpDRRR7j/EpoHJpK1mpYcsTclY
9u3b/8eBA9cPUgYUDRIIfx5tSWeRGea6PLUZvK/hmHajboEQrtUVwM+R9dsfqd+W3x44oRY+DTsa
NB6Qwnu1oGHntGjXsekpQimdJyjzyC+vEM2zS+PaFCZXsHGrSNJEzVaii0KjqvXVvH0Zr785uoKu
SeTU6GfeuZf19y+xs/H7ZuJZZk9ly/jzIq9RBHtvQ30fLm0xXr/9Ya8jCFBuMM9MinwHir/r2b+/
ZhBJ0jzrhHhWfVesj14R6GNRFJ2urN7+KPvVK81vD8FxoykUsHnDpe5VdZBOs1lVDXpLjRjNME6k
5Y/pPmWMSqeL9DzZATWNteZ/AgY2nMsZ4YhHmjUPDeWOsS4jGFoevb/vcBimDrVWVxfqeUqHkgUE
gS9ZC9OPsdZs6DFAOGox2JMKfT0mBsPITyvDcvhyBrYW7jFNDb0pAp+k4zUNQTn3J5x48qXaN62Z
uldv34RX95t7EBFXkHxnA6nFSl7dA89LxwgW6/xe1oXOzEnLqgKk4tTSOb/9Uc6r86yfKcHLB3Dh
kxahR/3+bKe2Y6ZquclDiGaJ/izpMTotVa9LfUmoJwT92L1XgHS4C83c6Cnpzz8NSuoJgTFhd/3R
cwM9z6QX7Ih0do0LyXQyykIa66XgVcU9Ne/qcjosjqRh2pVNQnucwz6mLfm5+GNbpJdIRlXYvDtr
aK78nWpr/cBX2IzeR+NlEx/8GE0oiwnoGBva5IX1o0XVgkuoIvCjrTDkerD8c4XGG8nZLdh5kPeS
hCkH7B+rhor8D/k2/P3x4QuCJwgUCwBLqBWZ3uvH1/MNwI53yRfM+YKPBUa1mFaxHj36Zdi5zPgz
fPjcOTov6AUlcecmDbTYsnpUaQ7cugllw9I0he4PkFds/Gzs3yf0r+IWWrfK4Lkr0MlRcYfSnvlF
da7oNv5gIGHALse/UV7SnjMzF1dkpGylW89QbzNE4XxY2SOriwT7YW/TAU52Y6aGCKmsxkhzUAHo
3YpouHXJSuXerQznKlgGFY/d0u/YiVePGdCEi6qy2RIU3cg4r0XUu9iOVvUMDsA7L3ic5bgY9qYV
o+wXPNjk509d1loeZnF+xggjFeKANWLzMAWOfMwdBxZmaBpuA8ff655KGYmvldEN7yASC8oi4ILF
LIs9a4IFXWj2RfMWDG9ubCTyFhdV0+7GCRfhDWjF4oMMfZ+peQL9f5yG9gHTAkZirqWNBCG9bDEn
uHPHxfxsL6N4ttBSe59JT26z2a/PZSDyHRoF+fntl+yPA0H5pdFpVCrsg/4o06UnohbKRf21b/A0
APHblQgBODin/kP0fCn4/5WdOHr0U7bNPh64KHnqdW8123VpY8KVYdrecpQcmyi6aekDchgTFZYK
EJrvc+wcYEVUHsL0jury6oB1jY9Q+ggaCgybfzP4Q3TR4NP8njQkKB9kNT7WNTndHpu629ij5d6Z
qmi+19IJLxHrD+6UvdgfooL2DUFY9BO3aZneODUSFhuk/nyGGiUrKmTetPpLtHwttKRy0csBgQfP
/IRDlLNd6av+oxLh5Y683H3KNM0BfA1lQt2iDCDdNF95V+Zb9DOacudX7YiU1WD6799+0L8H0x8f
FgBS1CWW1v59lSiT1aWsHqLmq28GNfis2XwAjW6LTV2XV8p1JL132tZ3rGdBer/92a9AeHy4LgMo
gzgAWJTYr0sCBBXF7EJF+epKfcqy3MkOSMZWx3mdP+FpiOkaekOxhIqMC/Fg+EeQ8XCF3r4MTyen
345goMGaGg9iARzzXxMfrTJBXYeB8ddUsjhgnDaUeJnBfotxP1jHWLn1fAzqccZ61ujqewb49bFl
bnWlOh/lRehAxs1qpe7RwUWd/YTmTGJGisFiaVzlSxNcYv5yaPA1fWAGWt20SClRsbIYW7brOLN2
wWcr2QZdFNxTNiKgoqU9Fr9AayHoYHszKT7madvd1N5YjXGbCPl5qTIJHtku74wGyg/6Jta0d+wR
RoIz5OnDVEXoxGS9yRfIZgR31ZiyAgiKHvOKgJz4zvWM8DLPFlfLNKKGwdLBm//h/dbJ+PW9xR+F
dt+nm/1DKw1tYtZrCMh/7XPXu8bjsXjscuxsYmQezWtr0jyLtx+n9TvwlVMV0GaButXQdCB4r7Hi
QN2rAWWc4lvRIQPB2AwKXyIX48ygstiziBiJ9F46fO0cs3rM03m8zPPIvDNU5Oz/4Vr+zdGiEgXT
CyQLV5/X0c2xJ0CW81R+AycP8wOeXfEZHMHCXqppvmm1v6+rkNoO2/i8KMRvwScqtKn/4TL+zS0J
NciVFxylLrrP30smsDiiFsi4fEtg5snYF9ly668yqy5zFDv3Jtj2h35o5B7FmWTXRcn8hDSNQoRL
rNbDP1zMvzkSiF4xveRwAox7jQldazmpFie7bym093dYpIh7GwmGOGB0eCbFyGtZ9eNF5zb1qZod
62pE2J4hbjXOSOdmIZDXZlKXuSGd72Cze28T9nn57u2rfBHO/v3g0iQQfO2Q5+Zbr2Gcw1QjHZPy
kNKZ1RATlzZ5RvQPY/AeQd1Nj2Uvs6m61epGHlPeuMh8j/uV5jETrijasqquMzRjYDzlI857DO1Z
fjSGyK5KPxfH3nHma19m6Sn1gtTdoLVsTxuxWLDntSCfxDAxbLdwa7zuYHCg90U5GldwMRQ/MAXG
5ctjXOaJQqTw8m6fTtRd29aCMlezoKcXcGqIW1VfNYCBJmR4cFetHj3FUIEqUrxDKKM5ZXXlDJsh
qDGtQW7NWrc+89pbJ8obluVAPHEkmNkIjj6KJ1v8aburqUMCfNPmnQ8iOrRb6wSsCANE9JHtD2hg
5x/hGI7f3dzGRxyFMThLbz8d64+0hZMd8HlecTDTNJWvDrSqsReNeld+Y+rdp+/Jbp5AhsVFH0SY
6tr2VclOSaw+KjOD137PVjPA/AOTk+ngBK149KIqvTSDqXxvD7gUbyVZYI8cQsXLkBbB1u1Z9/64
6v/yLB6W7tv/+7+fvtYoM+eCJuXL+CtrArkE/YD+d6LFh29i/D+P+YDqW/4b3+Lnv/xJuAiCv1gU
+kQx5PSpGHRn+JOkFGKDQBVDb/gvJtLfmqrYLbBV5V2G3g2GTI/S/yYpBX+R8X2o7LSs7gtP4z/Q
VGVu+FuyY1jPzJaZA5M1i3Lij2liugBpaoo0O4k6kOcWP2WwU3Ynzg48zbhywUttSgnBVlgGdu5k
YxMXD+zhrelYZoNR7DA5DvbDGA3vopCfiRBMfszDEQ/NyNA61zLS6sTo0Eu8kUrWIpl3Emwehz06
kMm6BRw1wbYMvcrDeI0SWUVLGXs4vh1BX100wBTUZlhSKBl1mL63GhElG0XFsmUA9zGamDALYAro
dIvlPX3suuUrLftcGcDJ2K7epVNrXbDcJm0jOo/6A5bgaouqdH/v4TZ/yT+xOmBvAY7srXGXJ10B
QXcupiPgv/ZqnSiQZuGYH9ZhUOfCMZcHZK+d/TKI7NaOBB51gN00ggXt451d40KUW0W1B9SrQAlP
S/0uzTxvbztzty0Efx2YvXXGbfV9W+ILk4KhuQrdBZZyNW4NoFnsqVqiIMD48V3ZFcFt0lqI/iNY
S2DzB9fat+y2mICx+4sjmaDeFCh3Z3fK2vgseGKuuYwdgd0rihiI2BtBgHes80GWaM3i6XQZuIt9
YIJ7k4YrG1h7Md0qDhgfb10PjzU0h1b3cjQGlWwEqACW3Cte7PV4jJh0v3eRZCqwtF6tnaHAz7iF
VkUaROPxPDx5uYbIuBXmU455aSz5LjvEwB4TlucX0TS8X0qM5KPFbJ7pkZcLFKoCnNrCLPZKlNOt
0YurIk3vhQuXLFYg369CXG+vqyarudUVAKxNV7f+TSqFf1s6yIMbWaCeMH2y71hPFjvQG/Plsnbf
Rhtqw6bRAJekz1O98BcXM9yZofCdLdul+bLCQ3lT4V4Yy8ZI7ixn/IjZOM5eY1CeMh/xgfM0Qki/
m1kn9J+GNBXPwFvk95w1450PFAaDt955V4JmZkLSyEswCL2/HVXNLZu6eriStvk8za68Njrb2NmT
+Y064TmYJrCItdf06GO7clPljnkDDcISMZCR8ClEzelhNWS7LZCE3PlIwcstlYisj6YrvWKf+G1T
UfpP03OWrq0ZW9iZ48pl9ALyOJbuyMov9s4LRlDADar2d0grQqE3M/Oy69FRgi20JHeqs28nz3pa
RfRkDqRw1oq7AXQCGrQ4G0VbN8j64aAEJ8ZMbf+Dl4QPadJ9M20Jt5hZbbcbqCaPXqVUeJNVbgfz
KgTairvRMSXm3PMb0k3giOxa9PkZdtp0AlRVk499F2dzmaLeeSUisaaHMJmHdCuH7qmmcZH3AxLj
XJLYo2+f3Cp2HigflN3VAnUrFsqf99KMDovrZKcSk9/+DqXEsD7KxKoxjZNLcS4dsyiRqkNIC2hk
610Jz0l2gdNm1BGJteu7EdJ9QDVndZgSMUGgVhrXc2Oi0ZOOIoNdWaFA4aPm6CULkkLmMu0xYkfB
cq7Kj0xGIUwX/XTGa2LvNphGdOg0yk0oXCb4Q+HdZW1d7jq/VBt/gtiMlBmC8OA7LorSYUUgZXdQ
TAC2yqrTq0l5E3cAZOJDD6vq5I3hcDXj2fw4pXEmq7NE2zKuK4FqOw1WuJupmRCPPPtYY9vJ7MeA
hOwT8Pt15/FT58oz2yurcvoc6X4DV9EeppwZexK+yQnNxpBINfR3KK45D2g7Yz/g45WYUSFOW9ba
yyExkjbYRlVZPq1FJNGRCDDgQBRkQ4B4RnIfNScls3lD/znsYSjAll7VdbWmy3d8txR/C9A781KQ
cEHeycOciC8uBgUxngkR4qQ+viKtbcpTUi9gnlrtgFLJZxKLv58oRI/N2uMVCQfLYMfXTROoErrV
L3ZDttnRW4lLaH/RXqXWu5QO/kj/ZJ5zM+iwLAmLQxXQT2XrcBRdaG7Y94agHdA0AOurjsDOzZO5
BNY2iXC08CcXshlVNi6XeJeTsaH5d6Z9KQMrOs9NkO9w/L4HTskkUKTBQVeWIXO3XHuayXaz4EKD
oTuxd8JbL2aM0Z/6yKqZ5eMYGZuzczvgd2O0sw08jFf0KuuQR8pNIMZlhRwk7NwoxsvVumAJkuwn
2Z/nuu535joLfGiHeZvW3bQrqqq7hMKPvoF0s9OwRp9DgFyU5sPXPsIeQpbTZ2S45M60FmsnJenG
GrJTiLYRNKVKw27Da2Ul9yP6/tdObYP6lMq7o5Gv94MhrtOluJemMO6mrLhFPyK8wCTN5m2srtOg
XvezX0akxpzJ0sZXwt97qxjAPkUpEwUlx+3gzst7t1xeFAgm976XeepfrMW4yKtFmGm7s8mcw8bO
ZwcEhukwSt244H9MHBbC1dxlCQ3wuzo3I+Mjy64ZugTTpzXOPaZkmGs2Aa7rJaZl7i4YLWs5dl7+
zgsGPdRWYKNZ6FXutSqtgWPlWXjzoeHXbkxrqL8tLUYnGywK+xub9U4Wd2j4fnA6OX+oAXNeBGNh
nWXfiEO/GNMLG2b2t9ZSqgvTLydCf9VwD1Q24mFirjuL6flRAwg/LUUIdLeVxYWCQwXbwA7q+3CV
SJqatYhZFezgVU77BWu4r70tjYMYJ+9WwA8AIdgDVhtG5BrrhvAKIowbVC7MMjMzTR/dJenANtZg
eLoSOcCoZu2bD6urYnP1JCBNaU0bshsT+hZBrvMAXSPbjfbQWVhyLDIK2RUrE8AjuW0TLhn+niJA
3xNrvOxiAe+HmyQay/JkZos8V1lpnAwwMhR+iVYSBmYQ3ViegcJXO659vi898NRtiGFSnDnSR6aj
N5+EV2RWPBdmAVV86O+LqJjEJqJdptmLvIOARrcfmGwdVzRsFD67szI3oLsDsQmGZfxQwayPE5yh
LgG+1h5SxPPycXVyd+8L7+CMiew3+TpK/FCayeHf5wmNnqOOQKkntTFyke6c2aivXWZSqa6A+mpb
s288ublrfkgSBk20rEm2TRmulvtucRvFcUGVFv7C+JHgve6wAfLPbWR9drUP4wJJq97wRJMev1G8
mjbRUAKoGGWxbAbp2dsRweVu6/pZfdOwvrS2fpnJ3ehlV6iOdftoqsfLSQbeyc/CTts9ht6dgELD
LttrqoPb+MMu4qFdhICLVYwRwfJ1xlv2OaLmfm8vfnBOXChL9OUquBQmpVmcpFYaXdWmh2jmEnwc
a0d8WBKtvJZ67r4y1nRrIxR5GhBkGbYYTPtPGhXIDiLskIaF4UkusaMr1JOWbzZmO9uxz61PxNP8
Ip8Ma7f0rv9RAWJZ0A2ug2RvIKgRxth12jgo1sN+aUbnXlqtswP4g33iEpS70s2jQzRjCYXsiDqD
fJ6u8Zme7nGpH/QwZN4WHlovbdllnxa2TFiutq27t/J2hAxkdcMOhgPqvS2WgQ57pJ2BsPDeVkyf
AH3Nl53I1+uwX7t3kBYCD1FuwH7taImHqDGrj6mFAhKaLkV0gcxqcpGjxX3Btqjfg1DozyaQTexd
xglxoq492avJB4AIwJvH7XZMPy1qf9PfeV4itwidZiiGVHWzR0/POyC+2Zxmk1q8A2D10A6Vszfw
8xxBTt/k6cDWpqjVdQFC6kyQUDEvIC9LoLQJC5HPKQeQ5Ebf7fBQ8RExt3DgLdXSo94ieNfhmJ0Z
OCYQucyeAmqsvmSl761HrGemXd5L/7sa2+mrX89ZuGXDNF8p256d/TS47Y9p4H/7/3/o/xme6SXG
/97/n781o/xSLr8ODX7+o79l6iykFgBCeUimAWSg8f678Y/+gscB8ZtBEGgW4MT/X2rBif5is8Bw
yMQaz9fLzX81/v5fjPvRWmT5ZPlwS/z/RGrhFQWWvh9QGNHOY7zK+O2PPYbDfhZ4QZJeUACM+CYi
qnoHGnfdOzR4OH0GEcnrc2FM86lDt4eUQoi/p5Ubj8zd1MHprf5gjjmQ1l9u4+2PceVvunY23/GX
+bu+NL4c0rWm7dvAE16DumbhLYQGDJcD5XXtTRSV5k2I1jHXYCQeZBvZvsst6BW7nAw2pk6Ek7mi
lZoJzV8RbbLuBGvCftjBQcTBcO0gNixZTw53M2E91Vk2Emgr1a37FWGwMK4gH5oYMXmhMGL2skZ4
nMpkjaHhNWMWW9UERSVuyQLD+2xR6REpOTA4aO1W/X2YCHTDqUFpgY2yiS7CAWns1l6K3Twwow5l
NshdBPT/FilW+T5qKdynoa/pJCqbzkIyD/yMU7l5j4B4++Lm1xXbHFU1khvrDWuvEjurLkanrUrm
Gsg44xfsoKLVi7hEmm2PTMsj6u7GYcjX4QK9VesgpSO+5GY23ES1N8cAgrHIbS+61hcPAXbMt1Y0
L+jOoIhNLlT4oimM/IK1R/g5Kvzr3nWWyybN9kZelOy5iO/3hkuH6BRCZ9e2jXXBQMMBb5gqypuu
0Bc17tCeieZtADRsN+VqvkyDFdvotLoZaE5pC6ImgG7rW+meUsn9PAjsbqIuE5sZDMi6BQuR+/dm
WHb3Km+cLSVqfeupNchQ6Ris8sppKuG8L3SUnS0jv1nXfkdNZO97HYsXHZU11PY060hd6ZjdvYRv
a/BRgdYxfdXRfca5bBfAe9o4OvbPOgu4Oh9YOjNw13va1HLASI+8kVoOsm1A4y6yl7SS6AzT6VzT
6qzTvySgEte0d+herNeOzk+OzlQIdPh7V2evmtJ3M+iMVi1q2NkvaY777u7pbEh+eABln0qdER2b
Ap/ZA5Q2nS+ZSk3Xke2qszcJuat0XnV7rINHY8VzcsodvhD5N9OZWL7k5EGnZ/ZJpGoc5Ujbq87g
oGHcrTFXBhToiLQcTdYnO2WvVr8k/j5NrsAwuDFWiMPRfakQgL77T+KlbkiCzDrZyi8GXNScBSv5
MWiWg2pt1NlAr9IB2X0doOYe9RUFthMtcZUyRYKOkxgP3ixYJbkQzE7wWZh9dV7r7Wbu40kF68Dq
1qqyy7T0mzPwCO6eqyeDrip2eKJn+2qxPUQRw8T9An2RaWFeTcPDCk/tMqJQ5PatPfAwr0j2cPwS
BvyoJuLrEPZos1VuoiA/VQ6mY9j43AWNmXuHoGz9UzkO76NsWj8Hap13ySTcEzPFFgY4emJxZxnt
NZFwekKbLhw2XegvJqorK91qmQ9ltE2nZlo2CKAEz00SRDL2+mHGhc+yQkVD1bmMOSCrbWrWjIgf
KnCnlwvlhL2JFqVObeq3XiwIIvW2SMLqxmuZ7m1Unto3QEBoMQZF0b42GSLpSyOqG5cX4zBh3YCi
MmBEYz8Iq1NxN6xA+wkH5zqLKqAhSVU/JmPT3+fSGdvdXNnOVdJP/SVCOq2IA6c3b3KQ7g8BnU8V
WzJ3Y7Pl733OKNMfa8ku6J+Gq8nOstvcZufQYdPHeGDEoHrBupQOtES7rSX4eqIsvxQpam2b3IW6
zw5n8G8FuC3jY+cAFdrO6APe284U5jvmSiyO0g7ww9416+gbdOv+Yqmt6SkN8RlUi6XuLbSdj3Pb
xavhG8x9ZZsdTZuuZTP2mXvOIoUC5aSGdxjOrcUGF4vsjvG7/aFFCe8+WObaOgra3FvXdbsO5OZY
wpMKMvFMawmHwQUv4B0GLcyI3nz5CcnI3tp41qyuxhDFiU1qTR66KzQGFb3XmN0Y82gwlFaCj6vS
UX0nvkf3kZFN+z7wxTN+KHxEGpl4XxCbIa85xWko7XkHpLvfERvmUxGUyUdVKov/cOhwbeUlR0KP
zsJkkgegByObyKQPpzbug0sQGxFjs8XONNjT6i8iQKbJSY29PI8gcF4e29EIszOEM6A30uFLKivY
Ybn1hTH1FE+hC9Sun53H3Bq7U9EFwS2AZItPrb/YvYg4iF7p3MxGd1ng2Qf2CyfHJUy+zKLFEEjW
G/xlmTdYtRGHZtPtoPwV1wvE/YPbAh/arOts3zS86O5mysPp2mPWubVtacd1tuDgOfCfHODRM4jV
/m5gBH4Gv4zVq+iy5gmInvqinEowpMMjfqDaP+i65HNllO0XTilNjbsEOaGjCFS4w3oouxStYptI
Oh3OTtjPYgP+m1mmxbLY3bEzX1yshwb24stg5PBjkGt69IFIN7ve78vPLiIv5W6JGmdGjhyKVlwI
Y2GsVI1I94dZMEECh6p76EpWCFupTORQRVY+MgnicWWfEPVVN4bplvcLu+AS7tmBeh9iiOMOwYqU
YeZciXxiaM6O1r5JysY9UWK1zwuO7PtRGnXcjibPKzGLBW8ZmGnPjoePhGHm6qttAZ0x/cTVSXSo
r8JeWJeCcMZbJJYVOQNlqw11l43wK8pyHBBAsZ/Qp38ShuXT8qCTvcVYobsowsQINrx1hrtxlplW
V1ZwnHeoYdb3Ezj167Yoljv2U/m7uVKmw5IdKaDNUDHplELcp9FEskb76Srz2iyeW16xyxzhZQ++
qhBiy6SIla1Xu+kONyEVw5oPvkzF3DOJ6ju2NqsRXQRoc+sC07OHXV2gUL9Y6+huhmlYTyEKOjBd
W+lfjsxQXHYKlbQ3s7EGEP+KQl32yLJ2jNFh2zPLQ/FvS3kyfIDMuBh3ynFr9yBJ+ne8tUw8TM5A
Ahe38i8UHMlk60LB6Y8li6Q5xk84S0itLvVXWznhu3m23LjtAwMd2WLxz+FQEmizyIGc2/pVcTVk
zF0QAwjq66IJ58fBjvp7y5mC5z5hrNj6aLZjLVMaX1wrMS5CvBwQHxbDjIxlWpvOJrNAom/6IJOH
vO6sW1jdWX0RdnnE8iLovtOruvm2MlPz1IVFZeJqpIyNYIxixrPsM2c8++Fit/6PIvu/bd0/tXU2
to6/9CN/aI8fvrWsdH9b6MKZ0f/m767O/AsLCXwHA7CnwLR/Xeh6f/lo4QEN0jqVr8TH/9XHmUjm
AS0CtopuiRfa/0kbh+3Dq2aJFhPBrghmNB0lo3W93/0Foh7ZLWVRG1ZHiDBPE0J3eL2ULQNs8yNU
nHcDAuGNKfuPYW19XCZcIGSw7MWsLtirhLvV6O2TM9XLSeB4rjXivFOEExu50WTMaPQNe6xo+L4k
irVCFgBFDYV5aaRV9wwU2Pwf9s5sOW7k2tqv8r8AOoDEfFvzwCqSRYoidYOgSBHznEACePrzobr9
H4nu0wrf2xF2d1gUawCQuXPvtb510dAjbhG2duTkqmlZeXG8wew7EB3lXpI+9u7UFK9ST+ZHpPSK
34an2MSRyZhKiBV+zeagy2Z2J97iJkEwKy25SLJh37TudG+3gU1CinLpu6rukQAIeJIsZfsIqTz1
pHGvJpNuogy/OlYeUw+rbOvmWXSSemwwq+U96YBx7wynbdY0Les75FeoT7OnbkB4YQ4ThkZEMLnb
v9I55fBl9moFJHD4Hhd+eEyVNS1MfwJMAHF4a7dKZ9jV0PUvxnn9y4izMM13bPvmxurYTGLmgAsC
414F2IglwIgDJOx8k8cEayUTLPJJQpzhqsJ5cItLXrcbedVWabfBXI90Wj3sKtNXAKFL4+JXInuW
nIO/2tQ8OeXrZMj8khI3wYiEkyYwKHqTRIdmp4ZFUq0FdPBlTUz5czeV8X1qRtbebNHhmyb+xUUV
UjbVzEwfOHuTqZGOk7vQchtbB3inGxBO8bkpM/WMCK599wHDPw25iZ22JB975ZQusW69Dydbpda+
JtnmnjkmqMXMpOWYid7eSdOrXtw4wfrLpp09FWlhH+0M4DAqN+NsFehaFpORlSnImqq5cWvhreh3
GXx5voC0G3UI4FtREYDUzol9jDaLQ61NdHxrHFX0fbOU8BOjhMZO4B65dvihNkK5yTdX9Boa2zno
jAFK8JSIrHzwTMK9hjwuH4y0NM6mM5RHix3yJhyG5FuFZzAm0NyFJRynRMTkBJ6tmUUMd6NNclQn
U8YZXchUqI1xGE0UFztTKkRUNmfxVVN71mutm9kT4GT9e9O55l4zzY72MrKTXTgznhoKeJgKeHz7
YSS1DjOC8diXNplskl/pgrTuVliyxzsRcmvazFXTnU1UXLKox3C8cAjlPc5TiQtO7PIIFtBJlyaH
lHXlZfxCQw5Rvb7ylMeeJIBB5tVLxPO3jZGRQHUeyDcMMMeBC4+AQ5O2QjZPbbXvMZBYhABm9QNQ
z3AXdCg2r+8sCZLK2/TAubD+Ipa8D+fyNLYbkhTNIPLurYF7kNzyHE5nhE6D0fdjm1hqCW2cnMl4
/uDSzMcL2S3yi8sI6yPLgkTs7f5Pj1U5rnWASttEWcm3652W2JJXm0KfOD2DM9/xypH24BLdqmrW
OEdhAth/qrMni3S9r6qgwoMzbbn3DdPFfZkSrmcMmJOaRiKjZo8FE4O8Y9MBqD5o8EQBSgS04jNa
8e9yTigqdJQEnuGMR5I+xIWizLuoeoYdcUeiv/Lt4Jsv5hwhGxr04poQoPUer+iO6PezMNIernk6
EyfHhzqs/W2ZSX99vVq5giKNM468wjYNCuhMsveWZcI3N0LVvDHq1goWjjcXT07Ir+9mR7IL/nKu
rAmP8NABNER+i7qMad5P57aIzn093kFpeOxr4hB6u/xWxB7iGGdc+t5JyO5WV+FdBFAK1Ei0g5Tx
YSv/iM8N3Z9G0rtwL+hZNmYfbRlYPIVNS93I+PHGcfiFVWATIqQtRDUi5RNFeZHsYySUmWW3BdXm
XKwq+dLiQDw79J1BMnghg9yKEtwtrGWcj2d0xis1MAMLyoNZuMGdIbXh1hhEsvFKpopU705EVkOa
LDwf4cpYpTmICcJg+z4DAEQCYrTSGuO9CEmFq8WPusDdWwPjPibTDAUQOfo9Yb81htwVDFHwiiBs
6DvzVtDIeNFC8Qxv541xbM7xuc03iBklGpOiX2s54/qkRTW9EBx2l5XjEHdrWtayB0n1nvf2En49
Ve0UtRt4dg9F0lUH3023JuQ1eB4TFzh2jM1QE/eUILQhjsj4QmtAYNOv9+kw5nsCO8ydYhFe6UQL
0OhAY8Lg6FCFE+ijsnyp9c5CjVTqN2Oqu4eGG39LCcpUvg9edIOgOOSTi84YP8yxulSx5/6IhRvv
LFXr31xHw2+Vpo+0oJLXcdQgqCR9u4jN2lvqXdEuGJzJGRxtwZSYJtYDs892YTKZnHIxeC7JRBUk
ONZ5+x6NMljrMOrOpD2oam2GfQyQXQq6j8AXujUHjuKmNJxzxpp/z23VzOcT4w7huLVWJISWyxxq
5y4t0mpltRpTNENUP1pk3muoTPsxB8VrVtVrl5ViVXutj3epf9ZBECz1kt3eF7W91ZzuDSbwCzXv
Vh/r4IsyqnHB4bjnfKdSfJq2dmos+0swFhC/eAwXSVyEz7ArWs5c5kqiuLxRXheuKRK8d1y6/QWs
o/ElHeu5hsBJsAQyMx4U7kV70YvA42DbJ1+SOd3Vaq38Rxu4yQ/ZNBkZDbm7KMI2WFGP9xv2dLWh
k3bA/2+ux0nqZzdIynv0fsMqjGoqK5N8CVU13rnqK/WtgJzzTQnDPDvSKpc2FdaiceJpRSMG8H8u
485dRoVdk8eVe/4sYg1v+kGmxqEVgcEhBB3omdNGt/HCOtd5JMIn6QzarQMPAki3GGouYknkRRNq
6x73141rNxZ3TMGREH5qJRbWxGEPoGN5Lgk8P0A7DVBB2fk6aOvgya9jeVGgyJI1gCHUttIvtLMM
PXtPpZBuDb2s1/GQBUsCR0trHTXDR5EL+Mj4876oJla7KnLrrxB7QBqxFq7CaQ77cFULZQAIsu5O
YG+owvK+1w56yQJWGaLelQG614oJNz2vMdiUseHxtrIaEU/23W0zb9E2gbpNHU0/NUHRbDKzbMCc
0AHu6MovqRlOQwlJRNO2JL45y8ybXpKmoV2UgKrAtlQ3y8lIjUWMkWqTWzrDtya1toDTTmQVjNuG
dOYF4iVzgz6mv5tSary0R4wFV8S7HVWdPdRJq3YA+rQXU/pn2kXtD3LkKECcUW58QDEbztIVh/ea
83ITx6uumXjEMasscKUxJ7HLW4AaHSNCRtStruwnsxq2gxrCVWtODyNpWuchFgbcCU6SY2FsHRW3
y8xo1jT2wh/4LJhys+X18DbWPWhqmtTDcIjpCCIOaoO9qoObOKwZGtj2yuU8ukfmNhyDxIPns0oA
6hhQnaaLn7K6Gke3g8fcr5NqtlJv0xz0xj3G2XrFIzyHZPCB58gM/5qfETLD14HTX4M1XOSUw364
Jm7Y1/SN5JrEMc6hHMM1n8P+M6yDfRsjGAJI+tjtNdEjSj3VWwvnmvXBbvh1IP1D04kBya+BIFan
HsiIRj0xEhdCqk65SXrbOkmyRGrG/eupci6xD9ImmaS8RHP0SObbyS1UE/t7OweTJHNEidEa8qTm
2JKY/JImRPembIGssifcBJmtdbCuiSc22Sf+HIKigC1cQkqVNd43czWSlcJEcKbudMmrmoNU4mum
CubJQ64RsxImjLrSuiVis4+HZTDHsVRzMMsgrXhLLuEjnBMkUKS3TCaFNnFE765AioAsuzk7Biad
0nqLQMuugHz6h/GaCJNc02HCsZHfdUvJd6bTyY2aY2QECoSdSSrAvkn8B73vfBoJ1DIkz/Qy3U/X
PJoJ+dCNFTfafTXH1WRIc05tlL9xAKUhVYqaXBslJ/s4FoQHxaTe1HP8jdTq/N1l9MWaBctkg5Wp
3zRQhV4oX5y1oE13kYE/LamBLuYcsWNe03aMOXhHt/x65c5hPMMcy8Ncrjti8yxupmtqTz3K7DYt
ambyWE6j73SlSfgJ5rCf3IjYCvRrBhBHQ0ZdGH68dy+cU4L60DZoV4ceany3epnmOKHpmizUX1OG
HExfJCjpqngsKPrXtjF5x6AkuLZlYVx7xrSPx6DAjswhi0Do9ByHnXoxIACsnNqly2oT97ZskoSG
PMhTbqGQooSxJu7NIvblIxyNJgzWsqyLySwXVM8SjRfEoAlnJ2JapJF1239EbZ7vXFPGu6ZW1W7Q
ih/pMJHmMgYux8f2Jm3om1Zh412cXO/vwkhWFzPxJ2Z1NdUtoYALe9btAR2NV4nvBQfe2BcOfsHK
9aNyoyW5t8/Ii2n+K+ZnCv/7qBEbo+Y/NX2Wr1n8UTafhPx//q2/2j6I4/8w8OXTZxGAPpib//9x
PqiTPyzdJubRgiqOIxQn0790/CSUGC6Obx3UOVDDOW7hXzp+8YeNs8lCSAhdErTCf5Q598lAZutz
nolgAgmABQGWsD61gSQ3bFV33XBGDOWvezqd1aI0mTgQ2az6e5708ZAM/dxbJvL2RZZW/yW1WiaP
rV/UX3/69v5mhG/8ihe4vhu4CRhBXUtnnO/M3q6fmlI4HuG/Rh2mlrowiBKfcOp1bulgzES5gq1P
Wd2L21ccapvcwwBUJw3tg2BqXWtJwmvx7kup3/I7om4lssz4gjbHM7aA8IMf4MGN4TemN0FD72fN
wfz9WQ4KRjx4Njavz7ZOazZpOf4ozya2So4z4Bi/9OgxANO6Ixr9fhyMhPk40UfTbPpaULab27xv
CGRv+lK+RzTEDfaMioGejEta9HmEN9ht7DRcQ92L7vBcH/LWjxi/6br/1Eb1MaW0GpAma84ppkeQ
b//5Ovz7ZXCxBODBApEDXv36oX+6DHTIQ6VVWXsuWMyfyhCYEg4Lwa1RFd1wB5vPf6gCI3v+55f9
ZCnRXQMzieea2D6Z8xLG+OvV5yQZWlUbFmcknMaZdNfuXIDzir0gevrnV+Lx+eWqza/k6zRcgQ0x
4ZgTgH6+zyr0cQgWovLsVQS+1gop1jaQNMwXjNPXOu2paYldA0taAtU0/91N86tTEiI7DCod8A9k
HYcEos8v77pmHIUFXSi3Tu3XHOjva0qoUba1p7xdO2Svz5O9JNqqrFYCjWLp/pCZ3+6JKbduBscE
Nm/io01plBX5F7OpBGFtHjq8SiPSV9em3GWgXlqw9Ey8j79zpP37hYICwrKByVJYM1Dh169Pdzq7
QOFGdnUX5K/IHlvCtbVUFvO8aCzCA9Hu6ffQ86ubYaojELPWEC+F0bsfkpqtXI5RiO0MpOSPuDHd
d9qUkfsbZzlkks8XeY6/mGMpZrf9jEj59V06jRfrTSTNU2LVVeCjPPSjiaprMP0N7eRu2Qw11gZU
+x3k98hdNkaxhSBXbXEiCHR7TLuqDEgkdkwVflVJXu7HVspFZdfVF2ihdMawEsNMTJD0x9JMFOVK
W5xVpbW39B3JhQ0Jq15oE7lrTFijfGc7MruIJLwLx3mOmHVufSbl6VESosYYrRdzSvkoWBusboJK
rLzkBvya94KE1jpEjmfcTOHQ+8gPIysnCmuM9xoQ3XyhRuTNtOG11ZQMb2BD5EOnay4Dz1y6JJjV
3d4KhHisI0MBjHU1A+VulAbffVNv+gXTLu1bl7uoFypMAPDWq72BNOY9xvfNc2/m6QOJFwOVSm2F
hyZouuXI97CdZWm3tcoHAOFNvTGMwejXGTq2cNmrkMD4XmCzzWEVrTrCvaNACzGcEEizY6sRalno
ycx4cbPnIdejowDyyHRe2tvOTzSxaZ18evWcslm3+gAFu0+9cKMNg/4Kk1Z9tGFVUS8KqXccu0Uf
bgaZlDwcSq3HsO+8TVMG0Yqky3xX8KMoia2GjMA+711OLkkCJzpgWAkdg46+JTm1gnAq8m3jpGtC
ykf9XuHpxwlIhYw8E3r7hh6u324H0x1unHSasuC+UzUIysUYAxpv3pk1CzG9tEob3DxC68tSXr4J
sNUS82kncW3oZ5nKPB0OPm3Ube+DZt/nnAarxbXxjIHE3KMEIFar4xoEjBqIWeFy5Z4HrzVgPySs
U9Vr5OShvgTxaAS3uN+Zie7S0VXRilgFX2KalSZ3lMIF1qplx164cbQoCW6Zf5rEEhOvRXinYaY0
uoosbnz8s2xewXroY4dAPR/F9WIMdLpzePZzohJ9wqk3KnMzGvkg8NONXYT5tPSY/zPBFqnVLXPM
fdkC10/YouXQco4TYex9aF3vxjpiEYFK0PI672yjGaaENV0JRXVZwDScxl2rs7pF6wpEwdxv6Kd6
4+MPizdjRlL9Tm/bvFraYszipTvYIwOnuI5RPziW+AqvgJodNlOar/ivrt1mic6MtpNF8TXJcz/f
mw2q2HWKju8yddJEbwHO2ThGKmrdgha3iOQ2aPqqeGAzNg9JOIl001W8g3UpUSVxXECKNoNPK3XK
EcEHTMWLqlkFBiDSxrTtbBUGZtit3KLncsZuS31STIk5/YAE6DsrrBZZvsIkGdV7AzA8unM3dZYi
RbC/iss4WE1dkNrghJrKv0sClVhLAO7JhDUkIRSOgFfUzlUQ2rxd3604AEdTyVyLmKZ16lsRoxp+
bmH4xG1y+4RmTWcjnv0vxBOBYhvLUVsAZPbE2WCuxAHE6y3NfBwzDvRnp/JHmMB+LU9EsrElhQiv
+QvYBfi2AiKZihdmMEV0qMc8Gzatsqf4aJCx8Ghh2nu1hwBuimdw83I6HFxzTQoQvfmcGVm+wkuU
tksAk6Ax4/olY64ocLck/UOLBPx71UTmrndJ5F6jpKMvyoiS32NnJXTrAk3TeRoq9IstLvRHWsP8
hHI0euTSGN1h3Ys84XA1CKH2hRsSyRVrrv9U6PV8cyZJ3W7drOUgP4yWpOFZK65NpAreWIlJzTiy
g/lPJhGQ+RpdUdqsiA8fyr3EOCruEuT26UV4hY86ywJ1dZL03Sg+o3G4s7FvDOtS5bx0WU5Yl4C9
yGmrp+784ee3rlifeF/Ioc6WXfApOlpqhCcQpECQTNrz6FQZHNL7onF55JuOqiDkz1hTwbpEtzWE
nRmVWkU6lxtwXHfKNbhfi5gx7bAZwP7RYqTpPS8aPExLPhELyOAbc50MGOYpEMgRvT6m6e9Fdsp9
MYbOq4LVAVe7IQHXlIPeHkPK3ORYVkWaPHjsFtu20I0zzqD6xUJ6W0Pzj2JxKL3Q744BWZ/9amzc
WlHgjua2Enyt9PDq8S3NUvtu6Fq93NX62KdflZOH7S4PtPxjnPBjMhirSW3gHECGegyYica5k/tf
NT1g8qmqEC0Hjev12KjogvKxPfp5mth4nBoRsuzZFttRJPynJtH6cJ2JgscEf67p762iNOofOQvy
eKCJybOh5hV7ndga3+jQT/2aTUbVR6PpBLReP5M9Oy3qS0rvOvnW+GAiNNIujMPkSyYKeJ3GWW5o
uP0+VoJfhVgsmj3DoRPuKy4LU9vUd6Bd9L08DaObPdBbr3HYtjugKgw4J0UGLTZKFEfbCipteSqc
wbrRpG6V66gu8v4YwgwnWcVu8+iRSqR91/2ZFsPS2fZoiNrZC6N6r2YXGOuHLKyN+NkoJ9PrmYxq
6filgsbu88taIMIR+PbwoAWV+k70o9YvM7d10j38D+N+aLVg2jYdwtN1jMNoWsCrS8y7Ic0m+5w7
FVphuka6A7M7QlOELE2hzI1oF62VV8R0LyeXwbnXtmCDBpOwjj4jC3U74a3grVpD6K7GYNRbOl44
nb8qBEaPCcokuLVN7D9xr+ftXeEXBgusqHwmPHnkML3uXoTXKQ+tWdq7X2xRMABXMNesE2mRXn+p
mVEASA65o9dMf7maHBzG4SY2ZUrsc1NF5p0AU+fsg6H0+VzDoIWntNEqtYJ5xppBNdbJEzNF3n8D
kHnTRl4aMXjS9T2zTZ575pBujDE8cv9kx/1XP/Mb/QwnyZkq8n/bIi5R+f7j/6EWeS3ef7ZG/PUX
/+qmkCiJqmY+k6JdEZ6v44D4yxzBH4F7oXtgzMn2LkeWn3opgjYM3RR8Fr8Et5LpatCZoYoxsVv8
J3qaP8mH/8tQmeHFtGOIleU98L7MzxDjuiFhOff9cgfoCYj/GJECk5IORwIQ0/ZY2M+KecYJdlqM
CL96zkJb2+vKPYuyA8SUU4uvKoZJ94QyF3cZ2kM7AOw4y0eSTWkpj7qAqrAxGFhadJ1RitIs9lr3
XIG0X4jBuEsGBcffzE+Oyk6mpjjSVgGcPdtnADJb4aiHF/3sN9W7+JzzPS7phqNRKMqaABQPS6Qt
oJfqE941/c4xWiB3jSJvkZgnO+Whs0biimT80WZJusqxyK/d0ju75rBVMZ7ZKiw+/LQ44V+94PjE
khl3G0ukJ1Iy71DKHfVwdtYm2mKI4texkiUquunNlumBmOW30nWe67HdlFmQLZs8Mr8G9exR9JyF
0lu8gtAf4MR5Z0Oaz2mfvbo6E3o9ROzepKf5GyA5mrTNNPtIKnID2lAmGzOjnjFzpCYoi5iKqP4x
NNXFK/Bk0oEK91DB31RArAPrHCzJ8TinW+ynjApTU6zfWG5gG8QH4jAFEIrh0YnGi6qs58hMDxi5
X9kuXksWTTdCvrxwLDj3fCAkjh+lHO+sjGs1mhKfQVUvNOsac8l+i6QbXgY52aLkixIRjpTARhXo
z1DEOCXbutOYXcsqBm0AQHFhRflrh5oJsyMpvBKz63J+rQoi3loDE69a/U4KtcU4fWSyjpKw14+V
ywQE1fCHCdWc1nd8StPhiNmbBJrSB8kY8wlLa3yaAiCoBIxkaGlMRgUtL0SrPVlFvjXdEN6AHY5o
NaumYrGHR2yDq2EsOL5FxGkEZfxaQDFmBx7evHI6co6dbfxNfE5rkECD/t2rzVtfxTgbkZKNQu7w
nDa7eiAwoYb3FVeEcjTmLsy5RpoOAzuV0Ma6bjo65YhXEsUGuVaGyUCdO4H8PLmoRU4ueqs/FaHx
5puKOf0cGiHD7MAm/UiG+qM1ZID8E2ILnJLYrXx4NAMjQnkpUXIIJKUT56GlYcSEZs3fO7EcZ9+3
nunkJxsHiFdFibFB3/uIupgYI7zMC2U6z7HbjDsSOKcFLcUzcIbqWxKgkHAT4EiNFvRMyLjtsiEM
luwo9pLcjn5Xu2N/qEu7h5niePuh17TbNBqzNW5EjJ9aNW70KOsPHA3aJfJ68405/TdsH86NgX4/
5K4p49paYR6tSDPIOTC4pPG9Bm7ZaEjjBcktnFCLJ8idT/nAZHw1Wa3P2FjEyyEKkFCl3xpz7Jfp
kIGjR/fBpGxVyRHTpDXgu20g0iAegaSAJnWG8NGeyLToriipUJRmPZVESi7bzrbXPeXpUIzNW1EI
zt5aEq0zakPPRaVRTdRBeZzTg0W7jIjDJoKg4PafEvFWGiXR6DWcQiQBS2cQ2Jbdkus2JwF1E7ch
ehpUrMLybi3dxfQvuOnG1H12NefcUV7ug7754Hx0tJz0N10j9o+fG4Os4jQ9weTMzWeXJsX85z91
PuPEsToU5+XO6kEimeRJLRn3n2O7Pk24BX7TSPvUR7u+GkY/6JO0uw3vyuX66dV8S3VELbrFDoAs
hy4jPTAng25n/pZ7/6kXNr8SQml0o2hSgR9+hp4q1x3MJKjKnZDpqx+wGs7LcWIosvJa2PJ7/k3/
TZvzs8L0+poQxQARAUbgn79+l6FZYKRpoaeOGJnXqNIeS/i/Sw3fudJsstL4vFk2HZuW1e2n2uFv
Bgnm3Nv7dTfm8/qYAekoExfyGQJXpaGaktErdm3emKukzL078vUYvLb6MSnJbKGf8qaQs25S1SO1
pF2xggxJbgYZFpEDH7CYjl3Ys+ua9s73c+bIHfYrTx2Vg3zHc8Sco8O9WiZU8c0mRzUy5OGTTsIQ
UwDrTJQg6XwlyWG2XVYvIST6peWxPPzzJ/2bW8icvY42ngDd/jc7pshiPy+FVewi0W6sUr/T/eku
n5Cd/eZ1/u4btej4Ulp5FrfSfIf9fK8qwxv4Q+5VP7P27YDK0YitNWdluE+Oj2bLgymP4eM+68c7
V+r5fRSyh1pT+FHPAU5zqQLKHBumGI6h1gacZLpHzXfOZtNvoeYSXF/F+TIMI2dbD2J4DunzbPNQ
oIOaqa+d3rSXIh2ehmYW5onYOsjY4zjikD5mFfFHENtEIqTZnH7ildtBI6iGVBMv7DYgx9m8K3MX
jYDrooJ4RzR9HKYHsLJQqkU33bljDedB8Lt9j0aJDXbdRRP4my/yb1YYsouZRSErgpD/mXg6ubgo
aLcUnAaNazkxsLKhunHo+Ji7f75on4ZT16eewSOtcVI1fOYNv14znPvY162x2Nlpf4ETc0BR9ZsF
8/okfXrS5lmAZc3/6wvv02vEESjqTNeLXen31aaNB0hQwfQ2r/TxBAmUOMBDKqydr4kzwSLR2i2y
gzYEX2m+fvccQFeCaRhZ6wmtn4RNPPJZnaoxPxlG+DE5yly7QZzuMgYZC4LL1AKzYnuTxc6696ov
HkJErIJeuLeQ0S4zm7oF8Ltc4syqNvQJIO77pB11QyUXuog/7IJbEIbiqR/SQ2qj1yCKkwIV+MVg
GyCM52F/r8tLWYhobZnT72jDf/PE/oXJZB22LFv8elFgpEnUJ3mxMzIOCgwFiKOSKMmElvKZI76B
mHJrlY3eObcdqP20njnc57cSQLaHK2itOdArVYBtRZLsvuoi/VkllYnRCqpJ2jvnmX+z7AL7HPki
WdkNK1FVIm51k/GJWKO3qdXpTGLeMakOfeSRy0YbtmmkI0Xma6rozG/NTG39Sl1C20Er3nB/WhUL
X+vAcvaxMgGBIU5H2NOTXzX9bxDrf/OQsGfM/8Ehy3nv03ekwhoCpuqLHa2GFSUOIxjF27Ho8gdV
+JsrYnwegs/PCQM5et4EcGBt//xMzpZlhqBdsWsEjV4k/+XKC5ID8pEd/J0YwRy35MSABfUfyxTu
1uc4zE4AwKZFV4KQKwvQ9Hit6rXvTDk6cxie5I19b1PjBs3vbUa2Gs1zqn2km+bKrNq3PJkuQzYe
c7iMi/k2C830NVBzlaoEoiX9VHewLoeSSVQs1z1pGhvJJb0eLydroFls84OQRA6OhmY5qVS/qYIO
RC9JYfvBG+6uh6CggLWuaI0cik49xpKDpJeGAMFqjnr2pB4bGeqL0fIXPhFRIjXuai0+EAAGUd/t
kP6kxHfxL1rO/4Obgxuy6vqNYTXten6M2sE+Y7R4JCyFAwR9UJ4nWERZTbWkB8lpqJmTuRU/3UCH
rxN7poQH9Y1vD2+NlCvV8QUnWXyKTc4s/kApbmXWcxL1F8X4dGmW9q4v8oPWJ4eJZLMFGi2OPzI7
cCje5gE7SxzOtDmeDkfR1jHsb/TJikNq2Oe+7Vf4osm84mA0TE28ReNXHpFrnDNpPYsm/t1+fPXN
fFoPqXXQgGBj4Y76TOvMaJTVyCzyXeuOb8DTLhiYz9dGIHK7ZDXXX9ejNpm/xOn5VHrXZ76AOj+q
lojrhL9W5+aKZnRCBLe/8npmpIywwhqDpFes/YGInMxAad3HKWLf0IrXNeC9NxJc/FPV+NFqCtkX
5RT5N+R2UuW75llorDEAlJ56k3JLb8xqzqWlPxxK5N4elXXIwZD9MEJouoRMp/Zu0j1KxneLRshL
w+Bi6eMWYXJ6sewOrVRGyxs7s7mq1YSBWD0Sbk+YrMGswS7HN6dFs9xU8uJyOtilMZGvbCIcMrtH
rBR3czUv3X/tr//tsP2uw0adyzL5f3fYTnGLhKiJf+mu/fmX/uquef4fhCLgUBO/ckd8+w/KhzmC
4ue2GqhRVlJHF66HwI0G2v9KlJw/cL6hruAHdA8UtvWftNbsq+7jp0dK910Xy5yOesqDKgTg49cd
szFQmzLIig4TnV4QSlnosApbSSDGReVY/YtO2+CsUWdf4moszpMCz1B7uW4s0Yomayw6+kMi02lc
N2JIbyNPJunC0QoIEm6zHXwmfZKY+EXOyK5e2d7gEfIWMEtbBKmiexPZ0bEnueRGD2k/LkqR3VRR
k96RvuFtc0SIzNMDnM0wwySFJVzJtkuda8DQPmXSeurQ+K2mqcUIY3ajbBa58sTRHUr1LcV+ka4G
F36SifJpy9BbsuCVwYU6EXwKVKph3+nfgRSWr26aeacpNYNriSvX/ACDjRlmiIHFuVVkbYbsXz6G
0Cgo9T2YRmuXNkJ7Q+JSf8BX91FkFt6+DPIG2rMI6mU0+0txxXVb5qENZaKlwAsyTOLMnYz50kzE
j0RHMZ7YTFcqMrJpYzE4OocYj45tNWlvxdXPalSlODNdKfZjXD/3/gC9SwmHusLrv0SVlA++L4ec
PMCp+U7wePjcEC9Lb9IGZYyDJOmwXNCw77xin82Ds4XQ42Yf2X7qsvKRUVrT8uyWwlJfHRAwfMlF
9j2LJXDRKZZsSXH8NukdoG+9uYVfZR/SRlZoFabpWAWgWwvbbTfu4LWCTkc8sgyOnWi4nmH6zLi0
jghjqDt+W661G9Ga2XE03GDZlLnDBx2QcrRG0N0Ysa3tEluPtgNszceysKKvqYxhPSmyoMRi5Ni3
zh07MVZwZ3QaHYIROwOWId3XCDtOneVPiLFLfbbwG32wiSYUbURGMy1RGHVWGYaLcGH7g4IWKrpm
WQ1mgYeIQOxtlUTFXexAr7fq0b3BJzat7GnEZ9N4+amSWnIjNNMAugXyQpube+7IelyFT+ilKeN8
LGnf60FB20wr22EkSvOoBMK9m6qJoU2PBBi3Jvq7Kbf9+zAA2oEVfF1Feb8EYrNyGvscZxjwC8Sx
e71h1KgS8nZWfduNsMii4ThN0oG86csCak0SPGu5E2qHoCZAbu2DUXmvaeiiutFVd+knVQbrfkyN
F4nWoViGBI/fG11Rf8NMSoUDp+s1bTgkLuExjJdWuZm3s8yUWRibUrljcMhULDcH/JMI32eKhWE+
McmLjjUqme+dU+tkyVrctEtCkbMdbWrvWwKj/gQkZ9T3hHL6j2h1KYbHxA3APNCFy1bErpYbLyry
VwIT/C9NbH3XdFWtnKoxUT454w+7aoBvtahZCgKtg+I5CUnOWWZNInGBkK3wgmmcAmV0k2qP21au
cq1H4yspH24iMRB3L5t7o2WwwZHEk+tGx9kBMsRae9n/sHdeS5Ib2Zb9lWvzjjIIhxq7M2YTOjIi
taqsF1iWghbuUA58/Sxkk+xkdjd5+c4XWpGszAhEAO5+ztl77WYG8s1+OQ99u9EYIzYC+cV2Hjt5
gR3Rv3DN1qeBl2QBn4PAVd73rGj09/y1ETbmfoD5coev0UXVbIIhMsIuElvhK/PFzhN6n4LFdLBN
gHLkc6bZ3icS7hhPjryis4HdNqydZd9PxWJMLbPnPM3ktJJ030cWswjqZqyrYB0YY/NlIMwa/IsR
AHs3Q1qVrjm116JVxrfa9UvFp5QNNxNERBYXDiar2shCtWKaMuwgUcgv3jiNP5gGjy+TqKxLB9Af
R5ixDTDzuLQG12HkyOtkCqN8E9gNTZZkxM5rGxyCLbO5j/O24WQbjicIIem6LEBmIv2+EM1EKERV
FbcoKIsNIT7RMUM2s60tIffaLB/iyu33rYITmtJqwYWkUoW1NZ+qNV1bbytNPX+fnUGX28GCPVo7
fbk162SwV4UZZGTLW0xWTgKfA0Y9ocYmfZ5xOtP48um4mp+DKfcwNiTKsbruc9/jf7iOdIRTDmDS
tZUhqUFSoVB9F+adZ/nxDcui3vtBPh+HeHxyRVXdyTAI7nqrjWxA2ln0NCqv+uwYKqD56lfjRTLF
+VNQkdYMJonHKkib6sbsdXlDGSp3bVy66y7NxVXI3HVdD7PNLFzFwCbY7da6nHCs2mG/k4EvM1Tr
JeiC0OTtermxA5Sd8MEwvFoIEbZYWVj/QCzw9mfd2RB0KkohRfP2XgTKO2ZpPj7EvREgFhii5Icz
GxMN7rgvFwtBfZ7MKbqCZ9XcY/TyjzEX/o20+ZmAa+Ui0cO+pCM5f8kFBRClijEfYqKjdxlcYvBN
Xb8l/7TfkiTMetSn1nyyu9lfzN14ysbsRha9WrnSdq4jQmcFi2we3Y1zdKy9zL5Uuo7rdTULn2et
r2/i2acw4PN8ULW2zmEG8JXlwt9n5LBcM4YenC2aEvcWq3vyPcK2cUi1gZNYSQ3KxDW76WJC/HBr
54oqdQrD42D17ZOK6vJmsNzhwPPk4Yrra0XLyQesjXFmQH83TaDGswrpQE+XAqmZyUi6zRwURjSQ
tombmodMFuK6J/fscvZDfWzZGJkK2uMVrORvZp2G35jT2TU0HVd+TvsigTId5ccWzMq+chIDbOfA
UsPtt4wwROG4SFtNHx5Ylt9EIUeQxvdHyg3LeyFgOri2JybrHXKyajUCGlucy4h8tkrZdn1fTeFn
wjpR6AxJkDQnibDQIhU6IHF+KMfwJTWi/N61wlbeeAQrtgfi66SxmknudUFGWdI82x5u3X0TWihz
VkBy0mbNxs8nX9vzdK9kvNGhE0w7J/H8XRN6i+Ot8iKKksXFTjjziSjfFlZzZyS0zhw3fSUEoapQ
vBBfv1XjrGKP6GktZ48ukkY7vq9R1pj9BbesTcXsDxW6oVcZzS8ce/VznhvVt2zQ9lPY9f4DLK/m
Qsr0QVY+8RGOLI++bJu13w/l2q/1nVfMLyyApD4kr1nnvfj92H916pYThMBQvGpdZOohVY/nB8WN
tIrtKErjzJdjrwL4q8cq7+RPZ14479AfYYSO0gkQkfZpccD/3N0iO6b/iPs4AVKlwjh+CDwa0OVs
z7fJzHlnBcnRLY3VW0nwd/X0J9UTXA76dP+5ePp/APDq6vd4j7cf+dXmYVI7UaLAsPXRgwqX9vkv
wgSkB58CS3gm46Q3yQKF0i/SBMdfCiXzra5ZxAw27+FXm4f1ybEDsB0+0xPiU4O/UkLZH9GIJikI
vC+2COiNvL2PUcSl9NtW597I2bUptERxO3ZgiFdk8tYmWq8hsEGJSb+b+31ulwBEn7uAYHpCAJuy
fbBL0c1qhUzLtKEFZKoZszUPkWyC+9TD5Ogxrs4q8q7XDcD6aiecEclzVYXTARTkyJCVmD0avUfV
k7eJ5RgCb9U1l1UxZaD6mTRzhAua6uxGmb4gTWYw2US86XISUfSQObIh8Mz7bMBw2o/14MdrE6s4
fj74UyUkhJIQOizKcPAeEuyyFRTEngU6ZO4f88SBJhsdiZCoUDNOdY/Oxd2cD+6r2dh49YmtGy5h
HqKZQgBKqJQaFkVU6MRmsa/0gFdvUEWwQVKfHtGwSZ8pcTfAP57MdC8NjNlksk4dzW685KQjMlFI
SpEfGsL8dmwn9GV9o+IXQ3+P9LocouHadqPqpRsn6270kmrYM2/tNknb4qWMm8nWyBemGbBwqUi8
kcPnDjv/UzQjklirWIIFI6lbkwipXC5UoA+3P0dFJs+jaxXI2AFVCisftl7cSIvTlzqPdU1cBdDz
ER82cfIrNmmIwlHrP4WISc72m66ZPGA0zglNZ0S8i/TZoGI1byV6aPtNGe0sImn4c+ilh+Wcm76p
qN03RTWDVdTVSNXhsaCxPshFfK3fdNgQVsbtuIizmeig00YDQDdXvem3OV6MP+nym6+zC+Axd3ka
qWhTDOM4NV7LxSO1w1qNKLzWzb1VqeSUo6T/XC/i8cgcrHHdGHF3KAaEbhtb+ddlOSE4X6Tn2Dx8
uV7cq9w0b+p0osHkDhqnRiGnwmu9yNjlImjvF2l78qZyrxfBO+w/GFIu7PzvJkLhY7dQKLpFJE/o
bfSFpwHlfJVZ4deoHNDTT2035Pu4k/ZDVKT9ccQNvrMLIv9WYRW194EYvuHoNTbDItaP3nT7PAHp
sYaCUK6nN2V/vIj8S48kRwJPoDjgzyFDYZlJugRUWRj9kXS3b36BFueAKwp1JQni/AqHjCwKGU9P
pDmUh+jNdWDgmWUgv5gRhsWWMNW6upIuZkY2kMW3YA8AsCHxBRuLlsGjF0vCJ4ywOlZhGj93sljg
Zl1U3OWLKaKd4QgOHce4OuA+9CPyJ1yRm7duIjEEvHkrqIdpLQduZEWnBjrVCoxHc43wL9y1nln8
YO47AbZvazQJEnCOnkLoGN23DDU0wuhxXLvUHIcMQCPufftVj9OzWyhQzXlMQl442L7KN5JYs7hA
7CxpXXioX1CT87LkwPTT3/7H//of+R8Xfw8mrP+8LT5PsHKq+H1L8Zef+W1fFJ/YFalT2d3YehZZ
3G/7osX/QmzBoJ6J8vvWoov70STQzhPwrkzOer9ti8L8xFCI2Sl9RQ6pGM/+yr74YT4KKRjxH5I9
OqcCrLKzjOrezbSjfqSVE8nxqi+/xxSHSfH13afxb3QIH410H1/ggwRCaacoG80LwKtbJUG56sPX
dLhKQ7aH73/8Um9zw/dd0gCX6KJjdDiDuKgaF9PZu4uZcLIXbiGsy8wtJjNrVqWBz46yg9lXLt0v
babjgGzliEzwPftea8z4h9wprS5MB655+b2WdeDHAOZEwrkEH0Rs7tFQ9D8AMQJGPfcKSoc4mV4z
H4s2zCL1EGTmdPKEUUcPE9tGZqfuRUv+wU2GMIIFETgkNTHgdXZhB1gJy42Hqm41Dg6sAbcoZZLf
y9AGLoWarRr8esObIKSAvd9uqZjsC2U16SN+FiIFIgn9YoZjPO5o1RZOefI7Ziqu9kC6W7k7fjFq
k5M/DD2UyR0BQ6bvCueaWq6ZTxn+L+OeKORUVFtniKOQcrbLs05HSxMsbfdv38jfZ+k/O0s7jA/e
3bz/wso7vI6v6e/mEOhKlh/5ddFwOTEvdgWa/YxkXe/douGZn2zhEetoMaTjr/zTM23bn4hXJQ0T
0Y8Qizr4t1XDCj6FTDYAg+NqXQ7hf8kz/cFYuJh3A5dnjB4zFmzkvh+WDZP++py5sX3ftk0DqQPT
5rQaLA7967kow3MjYnWbpIX61vjLgZQkjDuQLKSi0oNs1kUaAKNstVcxIC3GjeFZ6457cUk8aF5a
0+T3YOLnkUEVluI70Q1o3MZ1jnWiEcsL2942Fhgy2yAzF7LFuAG1Pe0hy+Z3i9PoEMakYSSW0f+o
Zprtq0SMAhJtmlxrbF4FkJhufA05Zb76TjKlkGj42NZJPNCFVrmad3DD5IU7Gc1XjlDZaxeP0w0N
MWtj43x6mRSBEGFDdC8osbn7MajYgvqELChmD7hFv3OLOYcuBb0X+3Fh5eWbd/fLv1lX36J6/7nY
vX0FHuMovlWT2sb66KAtZyFgurfe/awwe7hO724bWyu62xDWEe7ZcjmZ2mV4w9HKPlejzaWR0lS7
6zQ3h/2ckBDp+259DOd+QNvnJld2L+rvBEoaz5V027tkibB00wxxCPDiBMsM/DNMA8E+TlQD59Sp
r4NAPXYcEg9uM579eLQf7MTe48v6nklP/slmEv5+N+GikTsuNzBl4SIc+RdRGwr3ODLxpom6jF6s
5duPOdN/ZnfTN4ZvqiPJxeoIYJ7JEH1rmy2gm3ctDI5L3SPCbXLI55B7R30dVyiRx9px76OJP0nH
tn/YTW2hzLLH66T3rLMTS4xNQfQEws7ehymAuZwwUrJJCvOQVmO1Twxl7PPB8TZTrbrtbJbc005n
Didzdr5XXn8elW0dOqQoB7raiCIA1W9SPeVbjXhha8Jm27npS4H940KIevxGA89hQuyM3xooF0d/
KtRBdTRlowSMTzP0uy4d9R0PZX7lD6zfRZunh9z5TuMsU8QMKw+0fQa4JABksk4Rb6JheBM5+1m4
N2cF3S1FJO5Xlb7TFd/SqqvS7BK1uTxPQWE/T13V/Agw/6pVNdLmpKoMgUrPvrWrKM8OoW7SUwFm
4PLN+cWgZLjETMXF2Q7F7VYmc3aYVJKF6xlM8J2Rdvq6JWTo7EBx3aVzMB+oAXg2jXwGPzu2z6QL
yK8hidxnIVS4NuELXv3xA/NhzeI0ENDIsuAIIajhuww/mKHZYKMoHnwD3rs533YhIfYGZdcTE7Vg
o/yetLZwuXeYJn2DEz6v265lMCDGKfmeNTUiZ8+OLmRnymdfimZTJIW5xz/6WYeCw3jvlY+g6kNY
asrFKDs41b7guz/XhASszA7nZOtScMH0su80cn0Bn5pLnXpjuhRJRK6JZUy7AbnUsqAiU1Nu01lb
tzPs7WJw43fqQV+pvJ5v327bJpPhOl1aBEq61pnhY/SzLgK67UbZknRutc8Vw8gr0IsqwzuZEFAL
nyr9Wpn5XiKYLte9DnvkYX3v7eEB5P42D5LgOjAlgME//vjfMBD/XK+Wj5+TWQAgwqPJgw53ebTf
Hc5GiVwjnlV0h6nLM2CO+dZqUtK4z+aQK6AriRRatsZDNqVAql3dhM0lavZE7wMzZXtxeAYZ8RUy
ugjyoXlF5qU42gGSiaFjqeiF7gAXs5AyjzLtjd1fvwCxbK9kfyzmlqW/9f4CqjlvlYVr/67w5m6r
M2TvsonjnfSiguFOxTrDQZr1wvZYYqrENbZeUDWvZD+5J2v0op88ew4L81S/Otq3zt6I/i6x0ZTt
ZBFED4UvFzckSPBg9cfv/W0//vDhU0j4aLvQdqO9+fDe4W4uOVeje1cjXKep3bbRT+7mKDioVhVP
Fv7Uy0y3+rqgpbXvyoArsOk4H4MmHS7QDqfrMbTVsXBHRakujYcOl+I+HEWHcg6Z1jW5V+nZt7n+
saRlvurasf05sE3wFTE2bKORVKx5DlDey1nf9GLMq70/+Ax2MxfbzYKJxBcePduJlUFmN4ILrJE2
Q0WC7MitiHdNkegXRhR49sYhOjK8VksgBeO3zrb1DytG6IySUuDyaxvb2s5OE5JpkH+1oI5CFq/k
ysmb5lgIOIEMbtWRM4G+eXv0OAjH31VkJHSLMO7d9FAHL2at7DugUwBGy8wZ8EfI5LvZtPMuo1H2
wp03/BBFuawgy0fD3PSiT6v5UpjLLFvQ5IE+iHJxssv8gXJjjplXe+lnBonfnBqUAoIOfcxHu10z
WRjWhgCulWggcC4Yy6vMmtlL/vhG4JDIXfq7OyGkODLpprJmL8fBD9wP1uqyb/NB3tEN6pj+mDxg
q7e1uRi13E+RJC4eREFK6F8S7ziKNa8eoyXGDqxJWyZnR/KXfArFrLiQyPxGom3NNF8PRpaWqziu
dh0OZx5Xyze/TuSvP7L8d19tEGk/+tQXxgbReulvcBzWKa3FCj1V1blbAqlp9tE5dYoVgRNRsSss
BBwrpAj9IYgNvSGV1Md3XD5CKbUc3mVL4qHBdCaUnnELP24aEUSY/Xfpsq1wfy153LI+ECTR7gVP
LSlQtGpX5vK9NmPaPdMQPrhGDopW2+m8DZ3p2WqaauPUyF94PxiU2owHIowFN2tmt2LtITT+5vii
3CiCvS5qKzMPGHnxhwOMk/sZ2F6NESsS4brp8+SJfSB9ag0SB1dzMzoBOdrMkVvArLBhc+nFh4Rz
Cw1Rh9Vg1SZN8t2g+r8zABFxwGFQd2EGmq0Kw8xGMaInFzjpuy3U2tLkcnOWvKJu+aDaUfHnqOt5
DKbEniNkiK0giHgmfSImjfMYQd4XCGkz52viRGiFY8tr8pPRYdaSxI7cxuB3jO0Mwe5rWaCXWHcS
OdvCCDbXRjVb55iZDIO+OgeaSjP1ZAhcfmvXcpzFg5sG3E/9fJtVYQSF1s/0neJseaBpShpD287z
T9vLg2PQz8a26MucJjw4zBgt3jxuxQDUI2i9lBRNBQ9sVAZ3YSo5Za50rGCXIK1EIB+ZGzyvxU9G
dncAxxDYuxxbo9WY+9W6GPPyygc6cWMjK12zGcB+a8Npvn17kP6ubP+kskV/xorxn9thmx8Fpa36
8b4f9o+f+aWy9elsiXBRhbIdeQuB/bd2GP8LnKDnvpHA/jEK+nVKFH5i1GLTKnP+UfJSDv86JQo+
CWFZaPw9136T4f2Vdpj1dgp8tz6yNrpo9qgzLBTRDKQ+9JDyDJStNXPcnbwp+cxAolrkLg6DCz2T
Nad9VXa7BoowRFbiWRAFrOnSQQamLIG/mKI/mZ3Z+hylRNetqgqwBW7z8YfuOPQE/PI1QAfkpnF3
UwUGA/S++CLQMGwcWta7KoarMjlmvFU6pHHFh5geotJ1Ee+N1Vnrbr4qQD3TXMYDcGAkG4l1lJXq
gpNvvkGJrVcGWXerjuRIZP+eOmnJ4c8rWVUN7Wb7kTdHUpLymqM/IwSpDdXd8XgKiOEpkiBpfE6L
0niIZYXeXbLy9PSmoJE0OA2DtkHt0KJw1e3tQAIniycXGXGlVmLfCsrvXUgS7GZyHQOqBXFoZpz/
RC2UYtoMMbtWJmcnTC7zjvq02cmZV0dGcus5ehHkd5c80c6qt+1b2KYP0dBfWhFBqYmu7iEAWmc9
NqTI5ORNYkRa/lGecRKcBcdwIrbtNYh3fZFP8ZfQi46eBCYGY/4Wz80XCQUeyE19rzNjfsmLytw0
TpIA2G/6XQ+cgaM00dV++EDA1RacLV20yFveglx5Lr86JAxm78++eQ3b1ICflNf3cRsWTwSKiycA
ANWehK1mDUXZ2cFzIE2r61B/mOVPZMA3mFTmQySMi05M8rUWlnpomKCtkhQoxdppGJAj6rkBa3aI
ghk+hdvJ64kT1GeRBw9em9b7WiPfttopPnsRZ3XEENaBvQ8cYhE8FnNjSGT042MsyKYTZY02CgRI
eQuuuP9mmFJVax/a+m2Hxe4Kqj5ux9FONFtSIudtkVT3Dl7OraMYLm3s2rlrgXHvWlRdlA0JhAie
HOyyQ8rmzyFrKLUM90o6DPPjxrJWcUomS0ZuA2DWwauvbEv3pzgm4WDHWu4+ArJIT6L0zC+CC9+0
E2dHalY7ZaADCmJnBTCVVg56tNMIeLg71pnpUnsi2f5pVO5s7AO4YNHPKfTHy8JW+ASXGn5b+ClU
IaugDEBdcf/3Qv8/AT/Sd/xjXMFTStrHB+7jLz/0z6WeRiW/x17YAPYyqfh18hE4nzyoaXDT8AlA
hFzmG/9c64XrYugzTYdS8UOOI78N+oyPaMS2be8v5Tj61lL1vF/rOWT5Dqg5j9HLUqB+MG4tN2lN
xKl1CIKpYpAGXH+t6KKixZnkOcV3pavoywQlnYQpMuUfzZ4zkTCd+gS9rr9yao9ekhrg8/iM+kh+
d4MbVGgNArxqUcWCjkV1GRxl1LGQIE2m2pevJk+MSjeUZPEj6sDqye4wAzTlkosw2Ib6zli8PtVJ
HJ7FpN3Xf9B7tN26r05DsbmyPRE+dV5tQE/19WNOMaF/kIsR+tlFinj5innvVqFxC2KdnYhwb4K9
N0TVA3YSgACr2OhxZ3Y2o1ROq8aDIeg0wNYC8c6wklgkqTiKskKIjQ/P9spSulgs1wGB5QWqbWa8
AR9LbdsH3IHxOWtQPSD3RvtD/7mmZkMutUPnhGqyJTaqnKtTPAJxcYNZYMYS+WeVYTNyrYjhOieC
dRE54xN5eNNdWTP/Pop2cVc0ZYM8i8wLUs+J4jCxi790bQExGvPlY2K2rN5pVqAcJb3ef2ralJBA
H9Q3yk41M97XWYTwLwoXF6Y/i86+lm+4FIOV7OEtfaJvRIJ7rhibFxGL4Ayk1HrQo7N8yrnFZ5GQ
YfwQvqGYJnu0HuKUFLhV0bj8+s4pTJKaiM69aik/+rVPx6hF31bRBAvcgY02oDkNh0BJQGEj6jdg
O3DMUUnzx8LKoDJFjUfTlhKav0fBwc+4Dlbvc1PpBmnWXJZrl7H2U0bDbznqesG5g1aFWDqJYX3F
2g2fgjqHc/SGqrR6o4NMExA3yq0prAfbcrmMsifQYvTrfsH/hc7RSTr3tdEFQChAUIqmt27nU1hN
vD6JcvXJji2gTJmYuSD2GX4Pum1kZ/lM1LURTLyB0ZI63vox1qVFz9G8kAxBAyOOBuhjCFadjERE
3JebAH6pfRXhH4ggDsP0OHbNgLoEtmf3nVBxsjGAqQOf08uvTWoJdKvIMqBNtVFhYMKosIR4iKBa
ME3M2hhtzXgBV6DJ+ATVqPkvM6Dio/BK0FR6wYfObde8eCgw18JouIiot82bIB2889sreqDr9Y7I
E+c4FkiCVnKw+XwzyFsIS3PgWBxF0YKL0R7oOChLvJrTEkYhYjJQPFM1L9K24PxIwj8gmGWuuEW/
H25zRyb1MXVS/F6R1zvOWtoL1i52Ci5rKsmvSKLCexZdNhlPb++SyLQ+PhQTCYBrx3J5s27jcZcx
vbSuQlWQC1jkLXFhLV5Q8Em47Ob7Do9+Dihk+UqxvC+fSYZ6/qqbwvoUYuA7Tarm38MpxXQXhDF9
XIMabY/ImxsCdkK6B0/OCuUj8oTPZFrTLpVN8XMmvRAuhofsBYc6MTCrGIRsibp6GOuTb5W6XycN
6V7az7uRusyeDzD3YZCMWO4GwHAv4Ax6Z20SCxRwn1alhcwZFGYXEAnduAiaXduQyGltSBZ9WcXO
elKYoz3Tj04Z8tEnvkxv6VZSCQOU6KiVVdu8dKJvox2FuL4fuIuJPwnKHUaBJdA+dm/7tGu/ZSj/
aaCz6TwVYaHvA48+p28rbmxbjYqL4QM4e6YwuLoyp9k+kybTrrtRFQ76pmrhhuGnmw8aouZhBJ76
TTYZGDfGW0C6RDQuCPyWDJ84zggIggSVYXhIoiflE/Hj9Zw6ecFyvB4tF7X5wBxra3TYdqE4WCHs
J9EcHZ062MeCJFnjt49vK6up7oqhpj0x5AU5mn6e2DgHZn8H5mH6IfzSuYgAzxyyIbC+Q5d8c3Vr
f2eyBJ4lZo4fDpaGB/p707Ep0a8SiRSt69R4hDajnhJbtBtSNZbEgTBI95NlAF7RRnG2dAVyPdTV
zgzKaVvF5vwjRUrNEzASLxi4pAOhc/InscIw7rzgiWlPhPggKUI7YR37GfRM6dpAycZRQYNDDk3R
E83+2Y3lFVr08gfNqERsZ2RoxUojgb+oOh1cFaNxRzwiSY8mLQS1zoOBxL4iZzW/nYWTHAcz3KM/
17t5cDgwyry5hBdRM97uo5tqUKwmEzYD0MH9nVUhBo9HJE5d2M7xHv2ac27yyrQfo8apn8akUPek
Ed8kLt0vdLJQIePWugNb6N9XBN2CItVdcC1h2R8wjTdbk6HgZxQ15C5GwcMc294zLiabY7hLqoI7
VjVln4Ud6DBQrfHgjwea1jTVG/umbReRHT13d1uYiYnyDOg7zbXOvG0TvDHa9s1tkSl0aQysCK0g
4LTZFqNJWQI9c/wSNbos1pbo3Wxnln1fHiZZFP3asASZBo4kX0ab3YNd5cFLaocmM5/UMa/7DDkS
3MfmOHgOd/XoZF802/tpLPr+qrPNL6MK5CVNzAnd+6gbb+2jPDqDKMw2gwjt+wlr82mivX2bW173
cxBafZnCuJavujOL4TalORMjP5459VOIrRupPpNzG90mCTFUyPwjqjJLn4eOHl3RcqTxPXXBrNC4
Vqrztq0NNAk/SPkDf7M+yyVFI3In+zZLu+ElSL1oE4NBuwmb0L3W/Rj7Kzp5mDxR0jRXPtrqSxMb
TbVJgLveipwYWJ8ohC0fFyg84emLpi2rL2nfiTWen8cI1uhFbqqnji2RsBfu0zYzXyw7PmZj1p6N
yRWfxzEmghrMo1pbUWtt6QQnp5aMy2snqHEr+eoAkY3AQt9GRm4C/aWUbCDXjUknuMLAWtuJICYX
BE2PqmMyrjyE+nszTc4Y3YCOFNZzlAmfTF2vxE1ai3WFJXnj6YIM2WbgPrAbkkK0F7JThARox/SK
wUqwhe+Wdope2Xbj3Aax8G6CUHX3NTYqNnrSfbiepFvns94ZfjdcEtiB9rCPHz1TWqdKGenGcnSD
qWhydyGU1vs0qwcAXRw/dnZlpTQ/iwyMkqmNVd95Lor0NkluQAk5uxwG9IOp1HCaWsd8NhQ/OBB1
dMkKNOABQN6+6crwdhl57kFjg+jubNGcnHKmxeyWWM5I3x23fV2lZFDRuL3oSXm9ZWxlblTEgAFX
97nO4+nRbAt85G7ZPyV98hkjLaI81wo4UOghfhwasor9VlMx0xG88JpSH7QZQ+UGsbLzeo/voVPZ
6K1K7IjwWP0eJsmEgJAnoezydYPIcQeNi92RQLV4Jcm62zejCJ6akAsfGq3uCabxdy2WtmzLdkiK
SdamG1mE+SqIiCghfvkuiTxCglRG3PMM3/WEuUw4KzOZ+pNWot6NzCIc5jmhvvRLnQS0qd2BWXjv
/SSqaoRr5bnzgZiRAmmELw+hAjZbLEcrVMYEiA/YqWZh0WoqyszbpoZstmSzpGt4sf3l2Fj2JpqK
bg3mctjk2EZPeVYOV3MbNM4j+xsEEgLl6EqVIcaXDIQr8VnYQiE/xd5dERrOvHYNfEfY6TkWVKP4
mlu2Ge9CryJfnIiiFN+AlV/HbLLxUOhzlbftdnrLJs9oBty2HAMu7aJpWHknJ2acgVcTSEzGGUuE
L/ESdz4DbUV+RQa6zPvpjDHDvZJVIrE7SWnQp3L7CzK1upO2EIUAUyRU3e3ah2QsLyRIyiaY9QZR
lCRZvm6/eayWaC6lurAGN9qrOHjioDbu/Bbmoq/EbYYiilC5Ic/zXQaEprhoE+giuzSc52k1CkUq
fF1UxGaUtjffEZXefNV5SYI8S14xAHUvyVasej4QJ5rPec9w9Ns06PbGoHd8bSQY57dxk7r916Br
Hpp+qnJ/pdIeoPQeq6RjgFqE2ZI4/l1tFc+NU+jkVBXSj85OZb6iK2aY6XKQAygGhzonjXhhQSED
CPIs8e+WoZ35nJb8SY0oUKropm5awI5oVYAJr1FXPM8JeUjCUUHs34CEkTfsfmhx2UHHP6GmLKK8
94Ux9D4X17LlgAtEK+99sBsTXttPdsy51ldKHEeHStRNE/thnnyCDZWV/kMn9k3/7/hH/W/ELO6i
F/r9CwqHkZSNCNJkwP2m7Hs3HKaLOkEyautDRfzwuUs4upMsDBOejLylF9WT/oIg5AocUe8clSIU
Z1q3lpGUaP2IvNwZPNhbT1ZCXb+hZkvDm/G92lb4NCREytFg4gAoSFPg2FZ6UEVj0wkp6FH13zOw
Rfcuda4OKWjql46R5CuQsrG7byEntrBzLGskK8uDd/Blpp4gNZKhDKSeCE1SSsAu1BFWjIfSd5oX
Mn/a79wy1c9gHmiqITNqVx3xN+Wa0XLzYpZC63NMbcQYvGTrXvmWEd3ORtu3uzCjcNgHca0OE39R
XYu6sby9SixQA60V1C9vtXDpSetPBBIfpKB0vn3XQzaChhKVzb8Ao3JOyJHXQqp1p6VeRvezRE9Y
JOwe300E/s23vdw9v/+yeaEFRx3Q+3Dsj3cX7jhhyIIXQkHBV9wEALK7SvL98OyJ1zbFVUVtuGiZ
ZnbZl7/66oHpBCFWfoGuFg0b7+7drdYYGJpN/MkHlTX2gzci/oCfPXF+RGiDdIpX9TqfIsAYS8q2
P35x68P4lQ+ZQBPbhLFmLSkPH699zEB+15GqDy2aTqi2I1LTSz9HLl9lGB02wvK4+EFMcA9jGF6M
xqqewq+KfVLohLYe/m5v/k/am/S2Qr75/zzIuky/JWn8Wr0fZP3yQ7+0NwP7k4D3RPPDdkOaVO80
mqFJrA34njeNpOmSWPxbe1MEn5gsQaDzQsdjmV34er+MsmCxLmnEJNoI6xeC6//979+toe2Hf/+v
qi9v6hRzzv/5Xx+TZBiGMXZlQYXkx9JIM/X3N7rUBi7SouUI2Aj2TlKiylQfFMGs+ygxK46hdYIY
6ZwhiRsfU03Wum6mBDtnGzbuq58OFSkM6Kgdkr3dzJsxFVSAabJTbMNZWYURboSVJJ/kF9nw7y7l
/Vtf3tm7BcLmyWQdWiB9AVIh++M7D9p+LCIUlifcR/rOSgBfukvo7DT45tVoTDTn3n21/2ZFcoiO
/viSTPyg5NF5ZvzIZ/b7D8tASt0YfR2fPC88151vZGt4rCy8mRCMw1e5NOTBUqze4QhXS697ASXg
EHo97ALM8VZ9jPx0aUMNPp8KXs2lLdPR1+VwQ++gXlJjEszVD4VNrtZeLC3eDJaC2tJlp42EPZeV
RypJloBLOhgJvyNWqZPhDfqu+P/sndl23Eh2Rb8IvTBEYHjNkZmcB4kUX7Ckkoh5DCAwfL03WG1b
StLkqn72g3uV3S4iMQVu3HvOPnPjb+g2ye+MI2kMpc0i0AniEOQ3DhTo7QNek/9GwbvckWZddKrv
Sb1AXTa5if3QWg4PweCw5LZOQQNAUAVu5662rlr6hzRImd+A0kgCnOHW8sshB+Ttpokj+8FCNQlH
+hXlr9q0+WYsyPfIHfgZSCd8pkbSpl2pSUXEGYVQ5hp9Ar8oYBJIuJ4Vj18QqcWYNhvDppmYxpY6
Zxfk2VczgBFSGbzJrZ/QD8LV71pa3Yyu6O0ZgIb03dyW9oPhwFZ9rNlbGs+O3XHlEvQbEfbZaqwO
7fIZWet2aQiGrsGh83oRSyDC4NfZqDiKNUkspl4ZZkqkUEgYINSqtqS+EIOztP4IW/7+2v/rJ6Kb
db/kKgWD1RabJnFvY3eJxDEVqcLbZBLcBVd0nXqCnq/rM4Hyk57vax9WJg6XJTFIrtmMTPHmexQT
3FZN3YO6FLUIHJfllnjLxSFMknV/oEVxjksYgXGSd8ai8afKjmE43hq+iUQnHXl5nQhR+AZbrtVt
VTvxEuaBxa9sXW/wyNu0c9pTXrTJJS7fFZ2L6cHt7A4wTDB6WI9Dge1Q9tX3KO3k5QTC5KuhPcD8
us5vCAyNviPTSc7IeBT+Go+z972MMk01a5I+QFRCRUwEklsIwvRH45R2L5SBMJuO9uiSxiQrsgYI
ClfdLXIa0qQl1HY8cq3H5R2Swm2vzW6Uzg4hpFHmZJ82jkWKOFDIGUQlT6T9FzEq3LvEqcXwMqUT
1Rj/WKQvNQTmu2SpsVJ3ARNXEc+IwlZBL3Jp0dPQ4fbkmcGu2QgH7m02IEVnSEoFwZXh5fLSkpcy
gwNHG5oWiXoiIn28w2fOi2DggB8BaYAh3KPurc6lvUwQwlHR3dUprVZgO6jFHNmcwRfGLMh2gUtP
o5OjuCOK2xWtA0YPJGNzXZAy0KzuJaytMs7s9oGcFMP4avTe3FzgyzDam2kM+CXgslh+52KYgi+J
MIvsLtRpezYWDA3WoXacw6wFC8Q8FVzLFq0OJFtzmaYEr3MNsCXtGVh4imDBqhIf64ahzd+N7AwA
5LirjID32NXLS4GFkr/y94CjFJX9gFCSPg368th9GnO/t6/TMGCh8On/V395zmBdxe4yFPLzpRwC
p5+OZ6B6WgICrHaIGOr0UffTwVOTPbasEBZJZSEd5OuqQEDoI90hRWXr5ZGBtfR1pILXJj2qxuOe
d3lrXaVEsI2Pfh822S/plbbNGHtiis4eXNv2dcH3Z25Wdp9GAO1LRv42ieoupPrYdpD2S8uDBm0k
kfmcjDOQmSTyr0rHDJ6k7umAzta9h9NxWLOp7r8s2R9QExgd8WCotdNH8cHJg3DjhDAWV0WioSfC
jpGb2CvkmaEGLMOVSBsjeYxi+s87UUsXlUdVL5GJeV0d6to3vyqJN9ApzGcmFjjTSzKSwWfg4omH
0T+zMjv6kROS+2uMnHBVWm153eXuRT+0zbTN8na8JR8+epaOLrfIPcSmKpVz5zdh+WyBvaZPYwJS
9uDRICX22psgmrK1V2cLr3PO8sukjvIvdqo8AtJVt5uXPE1Dj+O6bBEegyWor3U+FxdS6H7bw4+5
ZVkH2Yz8916L/GZAg5YyzFdi10zNuDLTqtxrwliQOLj5l6EQKtq1pMhcIO60NijX5mNuBNnOd0RC
IBKxmyTZAixKtFM98NGpn0pJ+3OTzqrcEUNVPcauu1zaIglQfZGssmYEs4iqRwflgC4IjfHUC9yR
dpP3QpzZcxqRs2PbVzIi224Tm3AraR5TDmwUckm4C0W1R6WOCDAl5/bgxaO9i6R1m4ZVvTdH8u9a
zvEpzfBq85XS7qGcQqKZpsLrr5pOhPdBHbso62ZCfKCwrg2UIf5umlz3yoi7Boa3JG+nLKfDYFjB
Ye4yIpVU2yI4Jaqk6af0LC6V+6ATPf80zTw9R1IEzbdsg3zzcYXyp/EBZRMhY5iBPKYNAbuWU/Zs
UxWOn+Z1eBy7uiUvGjy8OYBbWL1qh1ITTjoBHu0nfYCTLeHrUSUDegbKls2wfqmaftsrQTGNvXiQ
wbFBDfgtEQkLQ93ZTME+PruT7f/rcVyYa1iKbEhq5kn1pePK7RXInKPIlrAgfBys2cv8kywdlp5/
fjDPNC0up8VG8NRDQksdITpF4NHP4bVXFZNlvMUoSZcWwseHelvIgi9AZUAtjp6MXe+f16+JAq82
RtM9Ou5kXZXLDFYCFFkrH16vIjjgk6fkneMtXjE06ijXYN6eiNfoDvDa5oVEusw46u9PUBkzIVoz
4aIaUcnE5f34HE9289w7Tg73Ix8V5PFvivWpiERHPxr9mFtSXXmvo1oWVL7AJQlA4Upg33bIZNf8
s2mkfD4+/gFvH1IQDZLrTNOCgNFT1yde68Yc88w99n3SnkFacA6jxaDyPzgKJO2AuEJJu3G5DL+9
CnloD2WYKPcYIa07wzLK9NSHtPvPj8KGEnE2mX0L7e/Po7iElTVo6txj0KCycxlDre2x/g8eExiH
JEzS6fHZbp48JlnD7LdOKnm0QwRlxGfyUOhpINBnCtEydDXhQJ90+N6uX6zprGGcFugNDvvniRGS
HE5D7oojPln3yUJNc5zNRQNAsn2wLX0wZytomTwiH1/QtysLrRZSEazXPM03b0RgD2R51NI+Zj1v
d0g++HlHUjkJgegoPj7UO6fIwwHrnRoc0/bpYklCYsuhCvs4tjFSjkVE8TrdzwUPDCFW/mZcnpqP
D/re+dHJopOGbhWtlf3nddVmAuAI29OR5IGW7qlwAAf68Z6Nzqdv+iv6/899+RLrIjGKeySGvn3T
Yr/18QuYx7lVgc8AqZAAdD0zvyNcu72qUkb9q3CiTCaGhV0FtZa6Yk4xhjthKMHmopLf88hWP60Y
wQyZeWUe3/iZSxT4x5fl7UIYEESDE5YVCcnOKfa7TOSQTJAHjwRkcKAkTOpv6WjwvdSp4FFLA8r6
jw9pvV2H6KDyVvF5Xvyxb2D/Of2SkG8c6hiDWhem2CIRQrL7028B3CGZCJfnPU1IEuvz5pvWcsnq
S4LxrlF2k++bqCfKiSop2XeTRSrYxz/wvWvCSsmzYkEQJfr1z0fFbBiJaOyfx2L2KbpNmT5bkeEc
Vb6AFYfG/KyN8+bZdBEY8zbQyuERpev55wGbRC1F/zQftQhp65qk3BHjWPKYjsxb/mkJwcHoG2Hn
dwmvePNs+jMzcBLYp+OIdfAmLbPgwmRaxVDIrNkufnwp39zq5WAYny0TWRfL2clbV2SGVZOjNR1d
AmvIt3/VhPEiskv8+ECvdpw/XjmX5XIpHogc4JN+WhkxyUtGt/YGKog2Vjcmezg0AL7qsi8hah51
XqeaTsirdo0IR0glee057arJl89g1Yx35NDSJzAGNktMTGbi4RnqnJmGSyuLrpezM/Ol+zEwqJv3
gx1NNx3Chqr4pwuxK5cIWhqmgcTBe1oKJbDAa69Q6mhDEd+86t8KMnL3kTn946qLQy0BJp6gYQs8
6uS5A+Ztd3qM22ML5OdAkh/n31RNsEVpssQkjJ/2D5ev1293SfBZQ5DKq8+gX4KzWp6X34qDci4c
q2mlOLrNKH6hatXHVpAb/doQcT1FV6eZc/mlGrERf/KEnD4iJCnYhIG5CMMQV1IJLSrX3w4u8rBL
UFanR0J8smLemKnvZrgISD127PUwhv4P5rmZ2OhKWejBltFS6SDuJQllEai+yi7NvqCLiAOUJapp
vWVjAUgZhZ3Hc9QyMEv3PX+fVIvJgFZVDYkkzyDKUhqXvlPdylSRjbQ8XhASqR4g/Fr1UbcToy/b
VbgiCR/s1yrM6PtlrzrBpNHo63ws49mlNA0y50wrK24Hug2IhjpjP4rEvakQKs37ymN0She7JBDY
a2wTfGJqlmvlyT7A298iLcvwm6yR7czDppqamQ30nBwHn7wloXMJy7O34gYrQd8k6ClXlYmY7bsz
p2XFO/OqxOxrK7d+oo8hRC81Ut4XjM5LMxQxVHxDjDn/7JEzVR2IUqLpvYzu4zNXA7Jbl83Mf/uq
QXwtPnUGxWuHL4yPTVPzrsUloJEXuuXJsM6sCNk87lewq4fIN8a7GnNJfOMUyPkusqjR3a1yFDfE
rj3e7soq6uyumk2+F23fWeRhmuC7MtP2LyLXrbI7r7bUz1GZtMBQ/Mj5l0NAgsAXbC2tqFeV32gm
/IucOgmlAz/3voYIh2rJTsWF5mpqOho9vbkk6xBGwvLi8PRB6FxBUacRjjbMhaDkLCG4vRuH1o95
cMpDM6a9cU8qE4duFnHoJoBYRQsnzh1lX+OWl92dlRgIQzIel/gGrwt0B9JKh3qNwUsctEb6h3el
08Z6rksyCl2bJVzOEU9Qif7TXdke4WoX+Dat4RCjWQv5rlo6uSIwnJ4WBg6gwCPgF3tlJ3he4Leg
1XiwSnIf9n4iecBKMupBMyct34bXOoCePU/fHDERPYvdir4ZbiVnOg9phMDsnKdqfAm6Obxhhjve
/N2Ck3nPj3FipnACHdH3BEt+uFW9GmqAE8trhac25wnlnRk8J/W/l8zvW5rzk/UAdytOsGvgxF/b
nWAZb13JU9T4LjszJqFcV1stPXOUFP2PKalIMxgT+vB/j2bwLH1n2rwUEpGgtvMrT8AFS5dObEt7
nsxbtj8jNiBku8vnz3N7mowxvSuEeB7ziFVmJiNJen5GxGkRIHHcF7XBpAHlKRdWhFqQBhzYUXKr
XsexFtLxFt+tTejMjNj3uSfN1sBS40lyYP0KDP+lHHPrwU1TApL7Fk/hL99gkrFN/cYWt5NV0wWO
J2pjTD3WgORmJRkDxNUqpl3BswIOBPpcLDrHe6Qwz9Auy7arMBvlxG4jUQzDeUlHMHLy19CA0q2f
cpqSOzpoM8o3kYrwWJjmSKuNDnnn0yCbe1JU/v7i/7/f7xO/n0WJQ3Xzf89Jd3nVJj+//z4m/fe/
899jUvNf/AlTwsFn5C/5Qv6vC8T7F3t/VwZU6Pg82Fr8z5jUgYxFKiXEBX6AaXsOn9R/j0lt8a9l
JkgBZrLborz/R7GVp59uKlT4R8KScilWzcWj8vvXMxpGc/brqj+zbfrYDBAC3kNhkxsheidAmiHb
8iJzMXZvgpiN42/X6p3B40mJzBeb4ti3uD5Ld8i2T7bFTcM0SMMP3g+9rbfeVLhbK7HzzeQlxSf7
k3cPBQQTN6JgInyqPECNzzyzkN0e51myp4k7rByF5hT4ZvMfnBWXkgE3pJalgP3zms7WmNWTEN0+
H8dkP+KL3ixzi3U3ev0nWhIG6b9XXq8XcNnNUPnzULxpmIya3KBccgGDJAxoYti3ZYvUbtTuJipD
CJ0VRsQmDNH/mainPr57S1n3W9n374M7lH88xUz7T84TC3YYOnXX7Y1KuCsrHeNtCVL7k77C2xsn
YQbZHvsNFyLc6b5SRb6jdBP2+zYQbsuzWQJakWPj6W26CL0/OamTNgYnxRSSdwtvgc1jIpaT/q2c
hLNpO7HV9ftoctG6Zu0vz7FfECQVWOyKczdE2PdPLyPgU7bqdIUstlSnltswztDxO1W/Z08K4pAP
AzcrqLYfH+Vk+/t6XrZg+wGDBG6ts1zm385LgMQvMzY5eyfR0AkM44IEtusJYgbjNL4aHx/tvav4
+9FOHg12clETUS/sfT1YK9JBV5GG6VbjxVpVkFOR+GU/Pj7k6Ubg9Qx9j82vQ/eaB/JkKZvizMV4
xWtnxa5ANybyr5HZY4OtZv8MbQM1VnPnAd5cw9NWP93O9I8wtc56AhSQywd624824sPBq/8aRySN
Ew37lR12DYypia9+HK0tBj+fLEynjZPldxMb7JkW1u9lCHDyxPkqcu2q4zVKhl5Q5hs4+VfjKPXW
MBxcwcpi6uBXw8bh6m3tfBTP5uwB6bB8BOEMD9dRHQXXoHmjT94F+fYN56exPi9vuOR/Tn5aGuRu
Nsu8wzQVb+0wlhu6peOamo0BfBOpL9g4UiYxLgOfKp/L41im7YWChUo48KJV1iDEM6HSVTOVJkwM
0ojD0jdX4ACn86i32yv0qMYBDQTYP72EQXnEQzVdG3zth8RAtO7D/XeSZt0KUnRpRzBtQwKKoHo8
dlkLR9DAFUAsVrAac3kei+xLP/iK/IKJHYbDaKvFWb4ZjO66Crz5rEkg8U4w0Fdsg8MLhMuLqrsh
daUkuAoh/ks2OXcd01ySYaLsrHPj7pq/XO4+flrfviA0uSkMeOtFgBf05GEdVSR7OSw3XcVXBhSL
NYjFg5WMD/0c1lsMD9Y/fiU5Ij1omkOSQcFpfzZoR810Luv2bRgeLCW24HD/Ckpx0ToUr1ngPn18
hm/XbYjTrDZWAJyX0uekDaGiQJfcm26fTnkN9VEMh6jCU+qTxrX5+FBvH1P6QzbiUdrrtKRO1UtR
j7d90BVfQV/L88porEM19N4nF/DdoyAGpkyhaco1/HMFLczQKHCd8blzW5MWE3j3s76J/JuPT8Y6
0UiyHnA2dCkRf3nQDE+7a1lizHBJArUfR7L9KksRRIyme+MqrD8CWDMlBQ8+pLjo2PqPrR3tKwED
7ZOf4bz5ui/GZKY99HQYIIiT+9c0lZgT7WGQHHNvi+or36Fq73ZiIHMTd+AsDlaJ76c1q195NXh3
WZcO+0ia+rKYZ+coM6AkH/8m+93fxCQYNgXybKZEf96CSBiGEcaO2pdRXxI8I7eB2Q+EBnXNVahq
tDAeipnXDLocMdF1T3b22k1MexP4iPQJnvyVW6O+QhNFfsnw3JO1tG6Srr6fyp4tZEdbh53xcCyn
/Mowu8+Ki/dPALsozj38k6/wyt+/wqHVBsXkD1xUIsSj1oMiOIjoS8wqhpPISze4b8x14bkdX6y2
OE7x/N1PvAfVusGhr8NwPWIi28ZmFdxijqsefDH/mjFMHx2stjtYYNNmyFKDb0WX71r8jJ98Eqzl
tv9Z9PFY/HYGJ2/B0OEhixhs7CdslMdwDspjJ0dyCg2CLBbck0MuDgGJ5sGpgEoo1EufPAWn0b6v
Lwh1jMnIx2fYe/q6+xNrySR7RVIWSnlGaL78QVl14wniNAHe/KxyPT6SKBb/pRAr9Dpap5WNWdph
PqMjgp2Q2m9aOqgr8sgHjE92X69jDrgHEZKuRRpZv6bSslgqvXvPybYSPcjGNQLkd2iTMGGYFwaQ
9bO5IpFLm/cusog14rQFfh8o+ck1f1u6EQxtYkSgQnAZ3J9cctQRHu00FoQmzR9LULU6zTfGbBJW
NUvnkzrxnWWbRDeUu9T1r7y6P18xxSS5bFl09mQkvQQJ/iPHghwixvmzPrX/9kniSMt8EouFB9Tg
zyM1YdTT3pM8SW30kFlO9IgfnP5RMbGbkFOGo8V04aCFLuzNjxeSd76+OFwJ+EYhzN78dBzbRUlj
hykTn96bvoWdfzN6zZ0pwpfc636w5XU/+UC91p4nbw3xDzagUprVNKlPbmGgDUWuJY8s2/AS/w11
zwQIcypxKjl6/mWGxQM9xHETTTXFjQA4pxXQpyXP9eNTf/dhYgzGlwVM15sxGL5ALbGbqD22vG5j
1h6YGxyXCMiqaC3j9OXjw73z0QT87SzEXfbeb+YexEJnUdGP3GTavfuotsL13PvxJ3vEd68vYz1G
s8vlFacoC5TEEWlOtdqzR27XPuMPEp/gb7qhbxwGhbk20oIIU0yk2yGEC0o3IN+O2iCojEDTj8/5
7abcJ6OJatnkHYLIfXKzh6mXc6yYQTi6M7f0WaOdaufLSRM/FhGOuV4cmvvY6xDyZb35yQtsvfcG
Uw1xsanbfexEf75XHaBPG9NVi8dZxD9qD/bMCmNyd60SSxarwa1cd131/AFS/AI6p9ptcsncpCai
ipyQJcXOmIZLHTukeNldR7yPjKT6+fFVeudn+ggGYPgiXEGyc/L6E0uUTLJ0m707hi1M41lvhWJK
RS2ffHJJ3jlUwPoJLHjJ3AaS++cVSUCB1kx1mj0N7eKFrF/vdsZT264M1/wPTmuxjzGtXFpqb1Y1
Gvhoyn2CxaSdtLdMBN1dNS22/raji/g/jcZ3mmfvLGIcibYIJSJ+pdN9I4S7KK16joTxOdqESOPv
CSaxt3zdGBONhVgJHA6fLB/vXkr218K1XEsgB/rzUkaRWQJRl5ASbQuTpSS9NUkL0hRNW31yKAaj
/LGTVZNKwwTcwmRxIXv/eTA/E1UP5INHRLSATNyJsRq5LmIg77AIUVC7LUGOLjV5vm4cPRg7do79
uJ3p0xe3hS95uXCnzcEhhJX41a41PfcWy3i/qfMceA0xxPF3UpSMywyxkNpFcc6QXmEKBuvFKUFZ
dCvfJ3FC0nMfENlM59KIg30ykeiyrQSQX4AKMSOAntj4TS5Gae8Qhozu1kFdaT8hoE+KX2SOCWje
NTuY+JzRrBOCv8na+IvKK2s65CXdtX2cWIXYGmZtIVEYR2MP3VCrK1mUvX8pun4Kb10I/+WO/92A
fz+0KhtXvQiyclNmWkSXvke+5YYpVpXuetnk9xpZZ3hsS6PCvIFqcjVFLXGXQZx8LRTahdUIOjA9
wK2Oahy2FQP8KVtsEAUpqu1FqtlOJms3qAcCZdQQEFOq5TQitZ9C8xzjZ2jSdyhqe1MXcimuEkBI
3z0V0i/xwm5cz76o2vtaJmSpVZ1KpxvACfq+TAS06MloAu/OBK8abXvSWPoDRey4a3zyWHeijNx6
JepohkSsIDcvTu5qSzwk7T/TsDElN0r6X9K4yddjXlSM90WMkTyta3lW+P0tfd5dr2X9GNZ2/pTj
I7jrSndYhUQFnRngIbZOE1z3hMqVjdqNsVfehR5NVBFH22xGqmSLjFS0ICt2Ua+PDhKxtV2r72nm
ClTfNlErKV5nFDY/BRr2rS4nxW9ovb2rBnMbML7dg7kEODEIguuBzJ0rUY8/vI6Bl0A9S2yf/j43
LvHWENJXxKCsmJd9NU1362IjuJFB0W4ts0xuYCvM654J5rlf5PGlM3A/2C2QFJeEX8fZkXtpWJjK
UdxgTAkPJNdm6zHNeooKMGg5X4mNUt58m+XjAekvuux5kvxHdp3RXSIKtD1mDOc3s5k125FwtVWK
u2adeVlxPjjxBuqZfxP64q4w4nFrDX68m2EMrSfoZpvQxuo/U7rehVFeP5e+Mi/K2IOc2TXuZjS7
9sU1mnJtdJqARhrWezh08tASpreCvjAeHDOxD2ryILmN+gg3bZfI2iIFaHoqzL55KpPwDF3WfdJP
T0hiy+1gBjTq+vCpAJPf8gYW/kH3XgnQpiFmVxoPWeCHRxU6yQa3vr81U4JQcxB6K5EG8yZm33CX
tIa+aaLWv1M9obSDoy66CfBmPmLTYcz/C8lofeY7QEcSwhBRl/n6RaiuX03JAIl0k+mkm4loq5py
BtJJpdmi2iePr3vIKjwdIJSC7LEApzxuvIZ9BB9TFgkiQodvIACzK2TjCe0RdPR+Zh3MPpq2RtVV
0PNm/5x/gJPBCwEeAiG2ukBuGQ3qG9xf7JlQdUMxZJtZ2e03LAw75EU+eQE2v3nvGXb114gtoD5z
styG3+u3nl5NlQWgxTBcGFiZ58MqySctSWUlHRTzetUkZ23LlVp1WZlvZr/QD8CIxxvwCMQZFWWW
HIaUVCkZJM2VNdj+rsIugJ2ioRkXJ8r84Zoh9ST93XrrzWZ+DnO7/atTfuRu84nExXTAHATGEWy/
QCLwEtDc7xHnugWb71CbMAV8yFbaL17aGkEtLCZlPZcjoni2aPI6KG102EvegYJ+u++oWB78SaTf
tOLvYAgat1VnN8cZC8/6dW6M5Vo90oVbeIwIwMAW9jwJMVmLT3HkN6BtRLbDJ9I8oauALtOGXQ6d
pst2yWSqR1k1E/vDamAqH8qi2/QzwOhVbhtynYGT3aA/kGusMc6hB7u7QdJvb9mVBi3oCIv8q6Jm
SL/qAOp8bcIBL4IvE6BAQTRAPK9MAcIcXoNzqMs4X55BYzhGQRrfm0Wcryqv7e2d4nIaX0uEpRC2
6iyIMSDO/FQ301+1DSLkMoLsfp34SCwrs54vqw7IkoDHcaidOtkLM3HvdWeDmaYSaWBHxPF1Oqj6
mdadvaVxJq+jlld1W2LT2s09ERNDBWh473mEweQYybw1wC95zUvU8FJxd2nCN8esCMS1F8f1j1ZH
7a2YW+tBJVzv1zCKeSpBG8RcVKMV07nBo3lby7b+IZcdJmbyuYbg0KTJniubnMmx4M8a2AStVjTH
13iLWav6R0es7JPG3ICXyWv+qhbxCDPumMvaAMQ6RnQj9n3Q4cwflLwWZIUuKLsguh4TiWVncEkC
+0kqhgBJWdsw4EAdDFY4XZAqbtebIUijtRH7TQNOMSaLzgfDrVBM4bWqMcJcJ7IKv9RuHF1h26ie
3cjNNh0eqHhlG3NorbRPESkRG22jzm+OU2uCcDF6fd4WnDwMvvGLb6Ssi1GYnEGwyza1aUTXfdC4
M5FAkgq8BM53LZwmP7QZ4I9VF9DE2ZDOFh7jgiCNVagRnEbRkHc4SuqKnGzec9pYpXqcJprWvqfV
Ty8Sch2CxzhYCNJ5yvt4CSdBqnGfFLH+KqqO9Jyh4kfm0kTB0LX1dyeN3XsjmOHr1+UQX09uUUJj
EWX7lC+kciDK/VezHjPcZ9xuuw39C3Ktw7sGXdHBymD2B56HzIciIybul6vmg6y6MSNjgvgO49oY
Bcx1mvaw7wuIUUQylxeuM/AXqxntjmWOX5Czqp/zoOGDzuTwxFujiKcXr6bNtw57YslW9FsUBlyy
g3DOGAiiWMnnAnSa4YZ3ImbLhdcRd+Kh0NoFtdLzJM1G07L0uoInjTUrvs6ztLLWBSjvG8NJaeLC
zeBeo5SM9cEFe03gr+peKhSsktlFka6bYmhejCq1vooIaY4elPXL1WnfY2ccm1tWi/mlstOawBa7
xJPUprL/ZUN4ltwz4LWw17gsLl9ytTeHzCKhgpL3YbZz4y7o8NMmnqt/oXFvbruwpPHf2PVVp2GI
Ae9rSFHxo+vQhVVGYANOfeU7B9YxDHuTz/tNoG732ABuNW9bVJGs8VVWyEOF8viFitq7ZE8c7iDs
tyxiUETom3ZOz0DY8Z9BpnRXYVGDispzfSYWdFzDZ/PCAVBIpht+2BtXqHpXl0J9aWsdEu8bv3RR
xf+J2Jt6E+ra+SGDSOIJQ/5U49rfwEuEIksgyN7ieq2YaAqCZVvew84pJnBXKJAoQgas1EQY23kk
1rlR3XeBuNTk/zGLNBP2Mi2qoT5Irxr6P2Yf62Na1EhxVOZem0OBJ8/DwgtxnPG6mRiXo2vU1/B9
wns3tEl0GRPYQF1S4EksGTY2aAcPMumOepryTcK7eWlGQ3sBVaA8RjG+Kkp9SkDk8itaqN8DsuwO
4LTRmFXa+alJ4msS09rzdeI/HNVsS9eq12MnznE7ikfqbTD35lj9CIZlzlQRn0hnGe5l5TEtiylI
sVBOjz4SujsU5JBbxvrMrfJmE2AhjlYJmHZ/mL/T/yu+ZQWUXb45XCTbEBELPTuctTdNIsakm6lD
ZpjOSoeGeZ0Vot7hc2bwZfX1hgp1uIGTaO6dNFX3fWMg1xqC6K5XHKSXoXfTm2gAaUwvCCpUyWTe
u19d1eVnSeJ9HVOz2NMujakDKeVwA0K0rZIhvkx8GjcgRA4h/OQfsRkOO+0b5r7Dlb3xk97ZDJqX
UdUx2YEZrcIIG9k5xYV4TIXcl3KswHilLMAVSslV5ILODYj3e9FZbz+OtQD0VwQzqoVCPNTxmGKi
DMROsnadFyEpJZb0vNtJc5ekhlC086gLV23XRlv0zvWvmVGTva4BuF81KY9BUuZRAvG5rFnWcPWv
8NCq9Vin7ZoBAlB9gMa951LQiyj9TvZldsRvftZlTZ6upDCgKqfj7Wzaj11iFHhfmx3kzHSJS8Xo
G2KgK4QMv+RZRZlBgDkkIpOQRb9L7nxo7psMv9q5wiazDs2YFOfFDkn62XVRy6pax0NgMbTI58M0
VfrSlQafnQLlGC+cWx5rsKXXeYqeetWkM2q/ti3ZluYkDCxgkEFfBmGXPhXQZ/dIgUs+OSOK1Qb3
RbvqE2O8WZLSL2CnpuzqPI2vs2/T7BhgBrmTHlal1BvPQmCh2lfZZc5dPlfl4LHqVznDUUBf5aC6
C/q+E66U9AzLefAUMDNln/O9xcu/LmKJ3rF29Tr10BauNLizp3ESpGPY3g+SG34B+WieqVjzZ4Ka
KxYtZXzxcmnsHN1H287ri9vJpWLJp9Zi6I3WcB2Bdqkph8YzTVBscjScakC265nKO/MyC2lgKdzq
2hjIyVmVk1dd076B/E8kFbS5Ps9ZhCpwn89FkZa3duMXty6Or3yVTCygaTx0P4mjMn+UAMN+NiFu
lbVt8AcbVABH2abV/QS0ZXhqqXi4b3BYdpDYCDfRBkLqvIbuOCOJ/cbXkt7ZjPayp+nPf1WFuNmp
j9mZZkUsjlE2qp+wFbufiCMX3fnUFy+ZWBBgioT0Z1Ol1o8sJhBzBT9rvFHNGD4THc4mXISJQXTC
HILQkbVRYG/VAazrTJb3eUMGERkJ41DtvAie204EAx2Nfox5PGK7p8DB/1bdx24PAw1JZvhMuBr/
TgDqtN2Qf5TJjShNHqPSmcCvacWvJAUeudSmRKXlsYkZOWhKQJ46T2bZsW80S42peSAxIoLHRMje
ajZ8kANioP24iUUwGXtjWkqAjgkppu+RBLQ0NkW5gX1I0QrXjLtkzHzq1vnYh8+61THw6h7vxyqM
ZPFi9z1HxQ6PUnwQTvD898WUmsD4FdRlK1nPCsLA2rPmsVqxn6j2sG2itdO4KlvTC+LSO5Yo7yX6
MYKHwOJ+XZQFCRvMjJSL2qILdI25bLR2nZwlcNCuuoeqkQGGE8xb10PYcH6ZJ+mHtLWZpecKFYPe
FxPCj8tAd/pFu/RGV70t6/gSxEL8kE3a3sOnKR8JqPVuM3LOw/Vih34Y4lpNZyNt+PBa9Jz0ma0x
JtNqh6q6TsqQm+dOY2kw/6tkvuaeLLEVtR9PG/oyXEVtdPz/zyVuoYTdS7L6GwGitPqVpCrN90Hf
Qq/tAxDieyyOxAXnJu/PCsYOaPyS/t9xSJQBu6PqqOhkLOr0YLotTRQoEQtjEyU4efColS3+XYPv
F0QCcwlD9ntkVfY8zv/F3rksR46cWfpVxno9kDnuwKI3AOLOCJLBW5IbGDOZiasDcNyBp58vVKUa
qabVmt5roTKZVWYxSEbA/T//Od8p79PRFKG6XSFLoul9UOINfKH0w9iQiRVHdtJkDuVgPsrEm+/w
MmWv65pOL5Nhjb/J6v/2oP4rDyrOfZTRP6Th/6dN8fD1mdb/4ED97W/87kDVdcykeDxvUaRbPujW
ifNHA6tLZSLRCYxhCPGIvb9TyC3KzOnVE4LoElc0Wl3+8J+C6SHD4rO6M206dFxh/k8aJwhy/6PI
ixkFh+tfY0t8QEkk/8lnUOh0euLPdi68Q7VDElezOlXcdpijPcYvNyG7LgsTb5HwnfJpzRrb/45f
8GfK9vPJcgvTDvXafCa4Or8Vrpad2IvMvFMNj6OzgcEgOe87v45g/y39lYtCgj0/mSb1IioVawHE
gluTaOFn3W4cIS9fXAywKpiopdoyjFQHGS9IwfkAVmbRkwhanhVh4LC3aLZ0MYIReCxoM2iDXEzx
HSyd5q4bjJ4QyqiOBki7r1Wn50L23pfldwJSdO3SwJo1H60sRGjZ0mH86D7NNqcOBtEHcdA16Lhe
l3Tei6a2tvyitEtF5SEDjTtuU2xbbRy22NXHFllg0OW4tWksoCIsm3KQfanxRmbjZuNtInxFTdhl
qbgumEiu/aAIsfTirbQz/2W254VaSNodGsN/m2fP2YxiCWNzlI90LKo9URjj0kpJu6BnxqHIs+xO
koE52E6anX2t/ISYYTNpMr9Abi5OShb+rqy18XtXuPFhwbe/LSq9/ClLGr3X3NN/3tyXUDY6UGC+
kf0csIJtuJ/M30BeThWRMnLvqvESBrDS+zCMgSW8m6f8bOo3mck3pfGlaZ9n05FOIztczd6YZlVv
cMK44AJdWQUuaBqwDHK09YCcoXxy15nVMjey5nB7R74owhVbbracy/FQFnt8AAoAt+ti3aViPqq0
cTR3gmlmYWEwT0PgkF25WoVePADDXu/jKRVhuuJ5TU1Dg70hZpuvAgOemdjaWXmJEC41M3uanK68
gwix3KWLY56xZ+HqSePpYWpVu626bv7Re1ZZBfjBe2DyWvPLR/Ye6Bmy9J108+muXdEPgCgiU9KQ
QSmQMyVfKYNkCIzS3mNaraABsVM/6bQq1kHW33BR1SICp/VXOIqVQWZIOSOIVRhTrzRN4J3hzDXQ
qgq1MHu5WWQk6bgdUwN9S5MEEGpp+KdRyjkP+sZiHB+pztv6oGszxYtyldMcu3XpXpLWrST0ZiP9
BZO73nhe6e9deJ93ra19OauNNSRNgW5S081Y0mqTQacMq1gTlQqotfDfcKYWN1zOqYkRvUGFp9sS
Q9H30dFBtWa686NQ8Uq6X46UJI3AK27FGkGr99M3v7bMB7IXLjtzL94OPQoQfeHTcqonzepDz4vr
I8mwqYkkeFuInsb6gKhck1rykRQcPCz9bKJDcxG7lgyuwDWm4RXdq0ZZr9ik5TEFTK6fZCetYYCy
pe/J0PP5lpwayzndfH6Hd2dCnmrHZQMdPcc4GS+bbPLWl3GGKzJOSt+mtuDe5C/8SqBwnFOvah8c
R0U6ffDPxBWdq28O+7Yy1/tpEFNYz+6RfUM2BTkIqEMWS9CsrHEfWLxpiPF6R0F74y1PRVc2Z9mN
xjMQmfyDkVXRLQuReJja6eAtWRofKlJ8dMAoCl1q+C9zI87S1TaiqqdHmLvt3ZIDC+XhKS4MllUI
HDwFFJ6RfRLKjxJzEodV6V/6ZDuXxlLVgUWgcZDd4ASZ3kGZqhoDHk2c7FocoxHR42fKlxd2T4bZ
P61+uvyUomnCVXOXPSkr69FdlITAr6cjxHMjDfXMLnYoqU2UAdNmNl97CieG+aUCgrlVTZVQQzY6
Z1IvGigcHkQ+nq0oRrx4N2uR7hf2VaE2l5jTLAJ7Ud7ZzjuH4Ioa52s/dWg2MIBSqOuONfzKSZJe
LDurr51ydGQMGfS1Ep/JKpON0gEUG/U44mTuNNr62Bi+U2XX37WyvHZ1PRzJn8Otb9vmhJzRP6yV
DQZ39tYHoWf+fZe2xa3aL15JqTrtTlp1FqKSeFEH7zsa3NT6mSxUT8Af+DHc+pQKnpllEBcTbHRG
w7tUsxThNHt6a1iMhZberFeczn7UU8DxjpmCz4bpNKw9PAS5rJhJew0aD6wENcPOrI+CaHbguSq7
6HFV7VZR658T3IqIOiX40DzSjWkx9vYIVZjVWoxcmOkzKuXqHSgzvK5CP9zW+IHfQkzdFALYFA5e
24+A5D1OYBrf6FbCUzHILlicKn3Iy26pAk0l06tg1j/6pnKPCVxLjydo7O95biIW9OKuIyt2Xdfh
YSBETGqXnQHKbhHavPeec5oDb8sJeOcOVXm+jmy4wivyPe1aLJDGidnXXmCaMa0kVeLBY3aGbeL1
5YZ1gAyFF0P3a4pdjYZJ+1vuBdWKvDQ1SF18oNLtINEnk364oeBLFl9eLOl4a3l8T/H0mWai2Wmj
cE4I0e4P3S3L72D4tYvdtQQUpf3EevNFLBZ2Yz9Wd9Nkuoe2J6/pDe6wUbY7vpDYGo6oOp/5mveH
NMcLogq6jMZhKfbDWrIumbWkO2ZGPGysLLGuXVLVD+ttmcACxh6x0j0ipRnvCJ/THYM95aCmHo9v
epZp+3Id7TvZkH6ld31bm7mi8w1dyLFeZ22yApD25QZGArxuYMbPvpc0uwGV+h6pQg/nrmFxpOKf
XpHwCEzSdOcBPwymtCv3HYbuu9SyplNjF8m30e8Ypjpw282KbmWBcf7Fivk5BXMVGkXuPhUxL6HX
i54ShxjhIDfPI0/VTZPqH3GHHi1ri8VDU98Bvl/Q7OY7eETWS6mK6qjQ5zfAfMYbj8PfZnMRf7TD
MuM+zdqPWaONK/FBWIAyGw/ulA/b0uk+Jp3nii+kDi1wxGieSHr10k9tsJeoXTDPu16+Hn2fbXSR
lKe5P1HFYQHCreV4sUocT7j+0GOEW77kmlM9cakqTpXyOOppZ6FAeiq8/L6ue32HHby5oFdupWM2
O+jz7ZldAqv32dZ2aW7JrUiN5A7KGo8dIx/2SZxnqMiszB6U3cwHcIL6dvaGNlry3A4na/qAggqY
2W3tZjdN+nrfTG4eFnarH2uYf1vbm+bPwYu9MugU+4a46Bw7KMpEVYGzUE9j1+v8oyrS5sPBawn3
u/uUCTAvXsgvOUi1zWXl1+FSae1h6YQHA6/Q9tTQUsvmqkISX7aK6tzMRhGaheWwDJIUYKI6fqHB
GmgFK9xfwHUkbnxYlEWR33PvDftMlKC+nXUr4oYTdIr148pzIOQQbqLUo0IgNjXBWsKzg36BMD30
OPxrpydOfJt0uXq0G7yGjxQ5FGbQQaQ9xXHHqFkZTKn8qj/wICZ7miTjjVsNxKiTpaMTGEElTFKt
i9QEJgsTdux+U6lo/a0+uLeNtnh0Gw6kYFqSnCVlr/+YG7e8x1DBAwFCYGjGhbGNqxXTxZM3x0NO
JGH00vpHNsiRzb6sSl8+u3NKZvwY215WnChr8OvnaRn5qSHqzJpGq2vFTTnIW3a1JotU3R0h2ueU
QPhZ4UZLmlSR1sd5j+F0mX8SgU6/Jp9XyB3B/sbfqT80doDbxRibQ7zEMw1eI65kVhHZcRjpKFAN
f7runPrd5JNnwubf8hVxqvi+ilgVG7uMrAR9Hs1c0d0q9HOdzd4BPNLKJ7irh4s7OM8r67mAbL7z
ZZUwGwi0r82JtMS0sVe/vbaSIHbuUKCnyUY+iolGOPYgSwIcdRr2Vtl7t6fBEnHrM6La4gpjTN2t
5zQr9k5bWhs0PeMkqg5VUcCCyNCWN5De58h2FkmLqMbXE0AHiYqM1luHfETfatZIhCxdIxwuyiIU
/OSulINSzV72yzswz/skJ84SCDjyTzMKdjTmSRaH/bCK89IkRpj3XRe1YMZVgAvEGdCRGpqbOYUp
65hBjGMJ5I7cQdo4zjLPnxOv7N97rp7MTN14Wao1eZL22m292w+bCr98p/k905dtSBIZ8Ti1iGkz
hbhDIw5L3qmnOJaij7KaPzqsvn0oura69gkw+UTp6rVNW/2bzibnW1Unr7F0xZ1loJoh4ghtbxoN
y7jKFxiWR3Fyfdk8sdXsqiiOm8o9I+JZjyDiP921RS1u1jnBlJkKUP64HbIwWxOLfQpa2n1RLuVb
Lpr8xcuneAdJltaPZdCNHaNQ/1K0w/QF7dAMG9RtZKykiXhF1TanH6CO6JSGo+j09hIwenDXUZhh
I7I90/eVWx83fs2G8F/Py4NyPcoMK7/Mrm3CHkXQV6hAyAzGpvM0fWO4WKumwsoO6brmd/hKs4M0
ffeCzssAO1Nh4wjte+nV6wup7dgOcJXxzZkLDw1hF8tbwaPC4J0/iXDN3fVeW+oV/l0Ts1kYy2t1
uycBOXRYPWFa0ZXAcn7rKYIzxOov8yGm57HOWgT/J/Pn7SKr2+2dbXK5Zit2UzvXZOMvanLRXnGq
qW91P3nyXqfFxcSUAFjirHROAVbGHXUFQ+p0AqqP5axf2lKJ6UH3tXzvpOT/smrUlrcefMv8vE5a
zvmq9Qy8PVuVDhoPqR3XcAFT0mgynfiRtB4WiUTRHWh2ej0Uwf+W1tilVq/NlzWZd7HmqueylPPr
38k//4UzUP+TtRoeGZlQm/wNtzLUHftPLr2GJhyYgPp0IeNnR5pvUFBpACeb5UHDzhYnH4CBdmNu
HM3C3mpWu7VTfeO58bkZ6Gmv+w3f6s6nE6VAOf/vX9yfHIS/vTaHSCemb/I6f86USX1UlQAndmma
9uI23BXjfTb+C5j7f/VFMMxjvxW/gd3/0TlIZ+LM0DtOl8wgQcf/HK3cVm69/ev38m9J8l9Ikjel
jvfcP5ckn+qhT/9X9Im2jKv151+R5Iev//yP3//i78qk71Be6+nkHn20xN9Uxr8pk8L6i8DITUrG
J4jA4vP/apP2X/C64KU3b8ijv6bmOc369D//wwJJ7tEvT1zR10lK8Jf+RAz/7wjiAGz+JE1iGiZ7
LHSsrr5BhP8mXf5dZtYXtNrHsdJORDPGR2hy8HSt1j7Ici02aG5dJNbRuJqlw3hIXGqjj4t/uMFk
I1q2puelcOQJDIgMddV7+yITI7YAYBFhRXE23tIqhcWaXJPG3FsFccnYasvQsqrXaSgekNDZJ02J
F2qIKgFulTnkHu3TXVZxIbQKgURGZ/oT5QEpW04DarKZyIs1jd1zZfo88NzeirhplV9Cw7XmmS95
nf8isk2VTDw8Lj5yaF479k5NtoVFgwHumuXrcKw5xU6Lm45QJRDzdiOb9igvK27sk+MeZDLLTZ6v
/dFqY3/bd5Sd5UV9W9/y44ReA2komKwljkCwMlO6s6KslK71Zb+KVmxEY7EngYRxJ1pvX5bGtRG6
G5i9r59lAbE9nmWUzz7ql9cbmyItlkApVB0ME9QB+og2HgzZQCUF9uNJhQnL1ZBfljytPX4u19bc
I4c+na11zF7JImc1U+hR7eeKxyXTJcV98JKflF2paFrSV3/RjZdJ2g4F6+74Xum1EaQdeodYzDq+
NO1i0FdVp1nrh0iPujiNFavwp6o1i2JA4MEy8gNfAyzeoC4Hbd0OLE7ZxlZ1BzXbri3A21av+qC3
aXlUZuVBIvKFtpk8Zc5BS5/NtJMGWDbDtecd8mVVoadY7v0sK0Rrtxc9vkNsMT3lf505BoRY7Du3
aEWY63NWbLRi1YqgH30gIzlB4ou2gJHWIk3OcwJCqGnXtj0DqQNGU7IUosjdDvgPdbQ3N+Nckd51
46p32vfaiO1ru3J1IQTbUaGWFyhVNbcH/C6F3FWq9jCGme4KpHsLBIjS8x1NiW1/9SkIW5yXSQyd
eNJoNcHaq/l5Kf3QuOVAjC3HljfT6lI4tS3m8wQZq1FbipzZKlO2ob/VXjM/TrNaZbDklTJuwl9e
o0Ymc0SAwY9DbejozcuWUXtNCzsrImN15RL0jpzPhU7RKdcs9QVA54ZBIuhzBbOnNSFPEtUECALp
a0wVjbxoCAy4gZpF3K/j5IzbUnOnOBwoMESHBfZ7XHI93bNS1TbZStwynLxheWrjlKWESTf9W5Hd
ypFs5ZgfKrWMqExkcq/SRd1j2fE2+F2b0En1atrxAsR5FZ29waMvKFYt1322VM0DtPrq1UcbHAJX
6RiFLe6aZYA1rz0YeR4fIPfEB+BhuNrsrneLIIEhHukaGP1A6HQW9eNasLK1zX7hJpUapAO7/jqM
bvWgPOw9rrKClMzavZ+PyXNcNvOJ0jbDDpSWrO//PhD/f/o0gPzdkKj//EA8AGWvMFv//WH4+1/6
GyjG/QteQAPeiO3/tf+C/97vh6Gv/4XQtgNVEYAyqeAbQ+ZvizqDf+VQq0I40OVF3NZrv5+GpvOX
W7KcvIvvkL8SFHT8D05DEA3/eBpyUBsuS3XWgtYtWuT/6TTMHGhDpd6lx1npkK6npqadOsfm0yiX
3ccy6xa29tx/AsuNm/CW42FZNHo2qbYORXXf6pIAq1eXznFdXYver7Fep6AHX/Q4sPS2djo1i9pj
4eftG11GOGtxmCU5xYElWYDR6EakIwmeqoyR74JBipWKXaJMd37uuEx7U7seVp0zIKhyuKrIa2a7
GW9kEsocawzhXdyMFKlq6rufL+4PBtUx6ikH3SSroGA0bcq+CxfuGHzC2LwYd77Rp1HnS+c80RoU
yHGgFtzQtm5HYDFA2RCUZjp69tTk+fJI82p/gbotrzLHfLRx51rDtOXNiR1UtkiQP/PmWtrNiD1u
UqwI6mWfgE84Gk2bnZhDdnMGHJ8S2Kze2pXtwMRKcbD0UOL0aLbxIVm9a7zx2Lm1BLTlk26QNfFT
6yPBNHhv14sf4UY3HwYjbw9jvUAO142H1Fm7CJ+1u+FUQHJsNAoPXK28mNV0tQUij13Szxo0s5v+
wEPX7CzQMSErneIEQw3TnDOr69gy5QQDxTFndBjrMqWVyWsb1uFOTBtl1PUlblr5Kx8dfzuCYKDp
gKw4m6Huajj+DzuOa7YcWMkcLaVWvuMfGInewGDpQcuZFzalfQRMh9EDl/dT3gKBN2d/PpkwIB+y
TmAhLtLvOYiWT7t2JgBm84ldzRLZOJwC8GMWo22jPY71LJ/KtpCsgMruYphFCrUc91fsF49tmdMJ
MRdDCOC9eynmFUpzZ8yXBZ9/RFGesdFtXqmGXS8SY5w8r56LP6UE6jUAF6uRnqs8b7nHNPrJTJU4
LmL4KvnzoNes8tEdOXEighj+1SXJ8OhhhmAnFOfso8mzXCyNHV/eMGIVmAZ3qzZUV2HwjoZZ1t8Z
hUUDZWkETWtaW7Ss7lwDEXpnMUYyTuv79GjRHxLhXC8V6vdoRaooph1KVrLV1HDidtwdReqcx7FT
GJUo48bO7OWhB/ttb1blSL0170GiGZjbh1jrQ2ftXzVGpLRbr+TyxDZ2T9aIPadT1bdlGnLKW9p7
rceIt7R+5JfWlWG8hFzc/OgalythXr8ut3w1tLQP6bblFktKv4QyM062xTqmuv2mli8tiSHA6MS2
10G8WYM/h9yZ430zjdp5ordqQ2FlEuXCeudh2N0bFB1uNdbEYVkk9mFRnfVqYQIm3eJ2bPIInGsm
7ORc4/aScrvOjHeMpGozuLLdlZj6UYKOa5/d9ZKOU8WhuVTZpYrR1IAYB3jTJaiSXG6mqcm2xcQl
20IbuHqxWT42np0cSFsTt0CmPMC5mB/lXK67qi/IPDHB7tZids5WO2LCM6dDu1hxEbGRmx4nq38d
9EXba2qxL2xx04oPWN1Zk3hij2+VfqR0hOKHJZ5MSUOqfZGt971Wtb1xnNV/zpFJtuCO4MN5Wfyw
mF52b6fdZ2U1rC+AWAdrpn86DYTBIG1F/9G1fMsEB5qoBVp3SsoKTdqweUuLpAxHSXNquaTlw8Jj
N0hnnnfAzbAjutXysQ4+QdCY5/M48B7Mlnn58JcZ26jMhHpS7fxUCQeLvFdJqi1wfQWjj1DzkNC8
czAbRELsA1y0g9IeBTa3nGKIYsS4nVU9cJim8q997v5qahaadCuSpku9EpXd0zNFDhOdsXEqWceh
lXFPREmm+RVLQeZoNK8Q3PCMXm6XFKccD3f2ezM9mRTN6dZ+Gav+KCuRDpwtmvpRaHhtYerlpP/m
FJX6vmhpMQ3yemYGG9gI3M1W6zyCo66fzDbmI1JMvPVY3Yz2t07P2mO6yoXOOoJV33ve/VmoA/pg
ManFrkWgoHGvAGY9VDNdtMcautlRLbG27f28Svax6g9cvZP7tBzKJ6z/phu0IwG4tIh54/rrlL6T
EO02o2HJvZ4l6SewXUEzstdCH0iW3rpLTFoGA9dq2A+tExCjsUH6ncxxHAOyYtpjw6P9V1VYaFVE
3KdzP3YdjSqGEvjdF9TkVa+ahFvhwHRBeH94E3hCP1UrsnfO5KQKcG2dO3OV9/Fo+79ufRHkoiii
v2rY3t40xqOLFO6B4C6+DWk6X3bl2xRcpKYa8BKP5SYh4naw6/EgedoC9deNBTphe/PbxPwU2Vyl
3uswLvYdu5ryS8tFDqxwMEiKOk3GMKEs55VzxN/A/0y2A54fjW2I28RwlvQ0ObTZPP8okPksHkYU
k5N0HG9RfQZfuaTaQ5Y7HWgZU7bvpKiKi1k2CSj3uLfc0PDlevAHVXwxdhXXZsI/2ZWTgZBaxQcc
HDLSi5QPa1P36n5VJta9buro5jYI1VEfDVD53FBZ+m5Py/Qz9lL14VlYfSstR/HVEsY3huNFO7Z6
Pj4QvGStYXat9sMSC2AtLLugEzDl7weXBMue+3vz4TODeiFtwcOh0anEjvIsV+wSXJm/KS+zrMCr
TWZyCzsK7mVTXZy+KQ985jD5DYZolnCxkLx55f7GdFvxTllNbG2qTBRzpI+avRtKK7vGfiN2ODvc
sGKHD33Js/Idj2c2oDapJHY9hsso36ujnvZO5DSWiJYRPaM0eMPdKLIhnBFro4StQlIy/YZ0p28F
5Kgf9aHrIwpN/btSGweG+xiOwOzmzYGakrYKZFm170Wb92zPkqHTQ9L/9bdiMZpq02MWVSRS1PqT
KKt5jgV2DNNwvltJ6r+4aSU/KTaqt2ZajmXEI57pfaG7UgvJnvJExKkkDhmB8rO/Wu7HCOB036QN
uXojsVfiYuZifncnjFN9rJuvfp+m9MJLc2ZT1OIFqmqj3mNU5P8WK81Ye0zWy9UrYjWGs5Hqn6M/
YiOv7OYDubp/tP0eb0g+G+J9WLlAbhIxDbyXRHerSnX1L19htNjE0km0I+0T8TfCf9XLsvZOtzWr
dD4N3bAgtGoanvr2VktGDPCQJ8WDWIfsm6rcS7KMUZ3KETP2TQ2ABFUtvf9o9b64DK6VRIkv8eXY
fmPcY0bWAk9P3J1yuFjACh2t72CtDCAOdZO8Vtbi4lORE9tWXQNfG+pdJnDaJ8ml6411M5EaZ6ws
x91q2X20UtS6HYQY7nQsMc5AVXmaGwMh68FxSS2ziw3GrgKd4vTtS4JN77tj1fF2rAVpRn6baxc2
rTWcU2MG5cs1ixxhbLPjyFrK4QlmWvlXIyBBBaixVdAgPfBoMadzjY/irYzn8pmNUUpRtK0xH8TD
XYvJ4UZVdrxT0SIbJII7opySo0fap9tWrRr2XuajeMEQK751nosQhJGKtXgK2TjeIIQ5G2xC6+mG
KT9O+CHv+A7LO8PKsh/xmvVbmfU9yTw1bhP/xvAtEzMyivWtgXGMCmHo7WeCY+HBVAq3iMja36iN
/5aN/5VsjPyLUv/Pp+Tnn/PnP4zIeFNvf+NverHJsOsbiLu3wdY1b8iDP/Ri5wZTvTWTwFj3oIr+
MSIzB4NY418ZsPWERa/iHyOyYf/FuynPwOUhkN5m5P/JiIyd9kYk+DtiARkErLQ0phk3kCMH7w0N
8neKseg1jU1pLQ6TMtq3UbNYc5bLD4+K8cuqa2qTanoXzPLGrJ68c9c14zfiZOqpqbUnJdruSPke
11TPXc/AD2AQxqYT78YacvRQKe1zcJlzffz02DK9mKWWbRtJ91C59mI+WlZWGDKgW053mYNbz7j4
NPPVYAaYXHDeFWuNy7Pom+bsNa3AbAAGnNV4UPhjDzACUGhukexOBFGyZmpb9VJ6FXynAG9fqWN1
mh12tganzsbF4d9tUwzhzbG3koyBBYYeECX8ugtQ+0zmq35068V4tWgKV0Ww1npth1jeZo+lJe1/
h4EWFhHTFJa5+XO8aCSzAt0tRhWltV1/0sDrfSVOfiNVG91M7qpNAZc7+EbdTDzNKx22Uc9L6HbF
XBsnT5g8kAaHiGycY78Lp96F6jDSeDhu1jqHvM9Dei8T2pzmKgODXlZmv2dU9zaT8Ox34tAcwWaS
kvjOnhKir/yyhvysjKre58b0mteZucv7iScUBOk96jwxb0XR91s2ZxDQFzagrjefIUPQFTgMb13C
VDuU3YNJGzqplRF7zZg4P/o5viXYp/c1t7vQIAZczOYhmYtXmK4cZL6eH0F/fE+yut1gWRjwGg0c
YKtGQosfqYbXNbDdZtp1bupyO652sD+v45q9OqXxqy6z/rR29RT4RXJZU0X94dC/17I74tyt9kWf
Nbi3zGheqZPrlgYVBw1+26r1IU1kHRRG8doILYuoAq83hRx/OlnlnKUDEnzyawfLBq3xPlFZNOQ4
KihI31mjpWPpHO+N3HQirqpzmOg0dbGQSO+40bRnDx1jg+lSHNw6y7bVTExy0LhZr53yvmdAgHd4
nrLvXLbm49wuy6ahD4j9yHJTdJKfsRnX97bWP9l9xkBCNgMXNd7BKmuyfVU4DvEngbm0Xmxs3faw
7VnaHHgupNu2NfxtIm0LyJHm70Zn+lnbhTxQtl1HMc+OoCCQQl5rzr7XJqzc0a7kJklIyWMw6qK6
NiVkEEZam2rHAMxdudE1pkjPmJ91G7ola/tX2OyHda2mQEKcCexee7MhZeDemPNjqmw/1Bor+2UO
dvsxrC7KfY8gPUH97EaF92RYRIG1umCGd3o+8UPrqQjUnvar7p2K0B/cQEwhbD2TqM1H4AOLZKQ3
CjFcF7bo7lNpFWjKwsD+rOI2uzSe4WzNGjE6xirTIbEP+XPnyD7shb4muwwy2rECgUplj9nz1Xhj
FWsQTz1mRGWGIh7Hh5zgajiOvC2AOpZ64M3z8kVyXohN4lrLceizam/03JP9Xc9baw61xSFOoni1
BSPv1P/SlcIJgeOl2TrzMKSUW3ZcKLEx3pgMQjXTxYDA8t4hFuDeSS1GPm6q4sS9U+6mzAPQRnXq
Thho86qYDu6SOzs3BcCWz9zqa/LGG5tsWWA2K8aRRpmbGNczrTJxRkJs/YY86b+6WTNfylz75CP1
RooeEikZvo1U/bHXlEUtjFFEbWnkp0rLvuLOa6PMaKCltHlZM7XY2dlgV6MHcqC+cdWl/qBk/KJK
oyDUTzXOXYOt7Kj7/dZ0zfFuHLLmSqBJe4KC6n4a0s5YDfoqXKWPYEX7Ih/jaSZDEGM22S4UJpyd
eKk3fdx3UdL3/aXs0nrDf6eiyFIsu/b2qS2s2HmU62huYyJNG+rE051bjg9lamUsRrr9pGNGC2Kq
CzhLVi9YYqd6nMzlvRpqe2+N0v/RGt2jO1vpFHSFOe5Nr//mYMfFw85WyjDHA3Y1LyoGWIZBrzf9
r7i2rE2u9doJwFWKb2bQo0qQ9WzqGWAG+IltbOk8D7zlguO5uF81WJBLxnWuWgY3yuhDC+aOXc6I
0Z5ZAHBl6luULYKSCLFRM+7rUKtuRA+oG2eGt9tGc2E+Mnzeif1cHai5wEQytXaQ6NN1oPYmKGid
hcQjsaQOtb9X80waTTHNo9wRB5wxARK//oHlZNyIm/A26JoWNV2hopzCCfyDntE9+1nuR6ZXLBEr
VT/qenXwNT8JWoz4sKZfZObic/OnYSu6hrqYxaec12IRmVYzPtJBzketUF9jsZ7LPh5O+gy+bp3+
D3tnthw3ki3bL0IZ5uE1kTOTQ5IUB73AKFICEEBgisD49WeB1n2s+prdY93v/VbWaqlUzERgh2/3
5VyfuFJV9zaTycWe+GArcxb7Mde4qPFtHA0YqgQdEHmGqsqpHUXsNUL+m/tClBuCL5x3rf9zWcyZ
XFZg7bJC/7TrorjxoEFurBltL3HGeUNhhXXhO6AOKicoPBbFn94vo/3ULD/Thj+VVC5nmSAkfZvU
VmLj4+HoL6L0l2ysMTZL3T1gjUtiIDoKvSokZFLazcY303dSlX+aqP3t6rzcwxvHyD65r7LjsiIL
1b6UIX/U0rndpukn/afrXRxaShRbkv/cENWYPZByE9fIrolehPZyoeqAH0NQ/OxlYiKy8nRxSg2v
4VzzwtAOFmRc1fSWotuQSNn0fl7+sitiu9Ke61PvSn8vhmCOq8io9goUwMW27HGn58WNB2f+pTI8
qANegc0Y8XcYsfPtzKgNX5SJ8b9wFBpRhYvLJ+/Rk1kfi4a//qAL8c5jX+hbPVbhcxusxDTHZOu3
kqTJgMRGGaXXHinhgduGeA+E/+SR0I7rMr1z7VodHdrdnHjKBGkYlfCDzkBW/Yi8AtHS80n56XDn
LokPeVQFKZ/0MM7bpWWDmZPNsOK0ttFapsrbznzOG7ux6vuBpcbRhGt1DCYv/DkWhIh6c/oUTaLv
WV0YYjcM2XAUjXbuSRMNrBbEBCPBbLAVeNkcR/aAIyDxPL4Rpnxsw8h7HEGcmDGnpsGIYVPg6rmq
/KM6J4QMpUTKZ0qTZE1UvPMPaN0ej0zl6/pI/9nSx73Na35OnScoq6BJsHMjY4k3xbrqV5UCmRiz
ZNmKGm52mzpfiEDeU0Xx86eVCkPGC/rrWlzbT6dmrDGW5UUmepYc8/RpUuiLMtOrp4WAzIni5gAe
nUHqsfIfELRvSNbrYDvwOpiONOQIvs7+EHwlaSDjzFbBfaS9/NXjcnpr9bm37eRY7oDPNHFTY2De
dm0gYcU49SMie5fHMz+Ku6mww2xjJiy2At30KVf2UEtMDGq+r8K8PKRWJ5DGR723AtApDX+vg8bu
cBCeSOShDcr8ldOseOUV17+VlCs8FUInR1ME+cn0RibepPXPLe4qQUM2dUD45Uc45XYu5hvcZWtU
jeamyLB5IDKAEbuGFfPZRr2IabciKT25VbP1h9TcsU3urpr2hFczXPovDwn9GKo6uqmF0PcoKt2P
2vG6guevFnpLVJZYuocdlOlqeYk6LWuy7p4an1PsL1HMPamPtkvUOKgJZTMPu1zwPFDq6q7d3uzg
fowEj/y3tKANfYtblTdr2LsRD2JHTmPufGwVLjbiO599CzL86JPPCPonyOAEewnSGbd4SPL3RMLT
BiQi3S2ks/KERmVuBSnucOO6hRFulBwlguWUXAf+r8eJ+NEZMeBplMzGlLP0vyoJz9fIAlJUeknp
nGUkLathNVjQtPlsUQa2oYfLPmD2Ky6iVu1+ZgGwxY4HaddYSoV40nj7keX8tXQ9gBMecMCNIC2/
G4TVX2S19MShRYWAN6UPduMkSEWB6Op7rJms4BHzzNYvSNj7NsOCbIj0qHDTI3A26otxMw+hUBRB
O7pPtYYaQ3lOP2Od6NRRRJmMiOrOw3ID0N2IcYtYu5L+n25LLQXn6ESjNaOT7xx15nuvdogsvqVk
qQmOXcGz+Cvyw2RLoWiSXvJhQETnK9yJnU2j1Na3+6HBMhGQscp0V18GbTTHXkXW49Rq7gJWa6zE
LiiZ5GPO7dg1JyRqQQuRk18a4eVxYvfBH9nV7qeJzIxjNO80cSbZPCvCDvm7ZdEBLAmg32qex02o
lsUDUR2GvzFwpEe/l4zglibn0eZd8LIIkGi5z+m8i/B975Wtlg+TwfpmnBtc0dyP6wDREopnf17s
Vl8b4pFvGRiiR6zxVLqiGMc2vIstVkWn2ViZdHbpGrmvUbZjs4W3ORWDFXcE+e9ct13rm0gXKKbI
nZ6mKF4qS+xS3nUM57ROTzYIur4MTkZTocBxccfLm0f7jl6pD8+d3KMsOhrQC04m6n/DTYDz95Cn
zrDtag9MSo7qtylUNv4qI2OgUsS9d6Ys+jKr7h4JnY2mNhETbXs+kiJqGaX69AKEL5xwd7gjdku/
3TfR5O3aueB+w5fSpEUjzyCUymzHji3jNmIUP7F6ra0JgTwaOdBY+gFGvOZ+FW7wNKuYxtkZZjFV
dnVCdqmKAuNeE3VFp8yOwJzKW1adQFlSWs+YwI3vLVD2u2l895bS75yDtmVrURs8u2pFApJJmMus
jDEiS7LieuClM87XTJvR3TClxU5UuX8sUCBpI4BCDIShPhM2ewhJrGyUUlMds8T7UEElcB4DGmCw
a8M7yum7eJJmsbNKtjiijJz3FC/ExhkVgXOZZ/KdWvr31sHlAgTs4BLXN4k+DV+sSRWynwkxQ7JF
s7h4sq7ySLtOFbutuWAHSLYGKXspP8CaZzvKuwE0VdMbcfwbUF/beWm/KlG+KYEJDyiaWe96XRXk
KB1n56825DKPkrPIlfdRqCnZyNQECwCSwIyNagIX2LH97VP090vti9X5DYqdvil2DbTKX9BYiwf0
B9Pc9u7Uh7uhMQdUV+Zt2sVsln3IP1OomlOEPYLMxLAccbmbv8eKK5rQYjhKF5reaLT2FfUcRaAB
npZN+gzsRhDlKYIz1g/gdXODIchveQEbxdkO5HBdiizdQzX+xX2NUYwV57x1FyFPRCeGAvitml8H
vaKOhvHWcWTywij1nBttGwedDm4yeEwxeAkGxzo7JePSqg0hsm5bDf3PyGpvSdo4G7Thl4pAIfRc
1903fhfGI20cr9lkyY3TdnQEmeEQ233iPS81oAhvKeybas4uuVG96yZQx1llT2Qm/lD0wvw3Mx1V
aVM9ZbX9Tu0K6LWhcr+UB63CTDtnCwHjZYJk9KdpJKa6tAp9vUH1YPiemj5jty0fw1mzEKpTYW0h
r0KXMOFmbqZhQCuP5vGxtdYkQBkmCbKTHkdi0u6MnVFKizvO5B2K3okeKw4sCkocbAX850F42YRd
pg2eBLnzzaI721itxiVPJ646yZaPqgluC+FRLA+dNEWxNuq1iz63sCEQLtkNIWaZXU/Y+M62/PDE
P/BLRRX+sVP70RU1h0eYZ2dWNcV59ni5Ws74mRRN3x4Ko0h3hNncTRDQQ+eV0xl6RsGjbr2wMq7i
ct2g9/aqBa5xyDmi7YBNHYUbHlvuBJ/cwfaYhFPFjnHjT90wHoHFHoOh/ZmGy3niCx+XOcmGIjVu
k0gx65ReuxPk9IjPaFinRbALCr88Nx7yX4sXFisFCwwmUztOSDx36XCNhPoyWRBv+2SGxT9V19Zt
iETJOThVLhaVwNAZgcMZARH5/h5L6yumRsV6xoC81gEXTalfPWRmk+7yWlrHiVXJtvN6daooskS5
0PXGLLyvZkyia2+YyHDJmMdZPf8sUgvlTM/OHhdkvhHa+ZV4g/U0hmTn/GkeOxKJ9fjbg4v1xNmH
S8D3yMqbbX8m+XAbmnhwrcRwb9lZGugseW7vOrMojpFf3bq6VHGyOFCjSd5G/S5ILUIrwsyKc8v7
0YLsicdhbj6w9tfv9Jc6clsYy/KJWTeZYmsujI+aZM09BcHGUfDCYz8YAN4JCzpSgoIrEvUZIqMW
OT13RK52ALLmX8xZPFppIz/AFof39egkt4vO+k8j9/+knTWTLyD/dG6Roa/k2ZPYywm6x01ujj/C
yesfbDtzl7uOpDw5oEDWB1RQCfNIE81alsjfW3VuBVu/yMl42jksPmCgzT5vMBm7lFzcsbv1htjj
ZXDMk+F5Tr0fTAjeE8T2ep+2sz7yHMw7v1MWl6vwZSRWvWmyyn5KzRLOQObch5ZKPiT53FjIJIxB
+9o5dFyaY29Gm6HmUlZIq60eshtmCD3ticbWwNNyvz+7FefPxsfrKw5pMpJtpjM+24xoYcw00rc2
FZcbxruRUOwK6O1eOoLINziEwwHnFBjoTW+i8c2NSGJiYNa7X0+Rc0dpp/k88Af427Dtl9e+0LiX
YNAjGiFQQ6SB4Hrr9E1/Cfj2EKVsRqrJ2iq/LKvXY8sLK9rork+ZmNiekqnAVMJrfp2EOGXeZeEH
P2ECA+IseqGP4FygrBgTcT0VuiFYA6McYkzv05PXNxrxiWSUT1SNPHhjG9EL5pn0y4PmA2MiTTC8
oqnNj3MxTOTzeNDIqk/zGsPk4s2+sgSZZEq4X07zZ2S83rEiuM7Q6jaL8s1zw9Zu6zU9rRw5LLkp
HexXsbq4t57Lgb10ngV6qMZoULYDFFRoMEy8XVo/lIuBBcDN+zPuJnQZuUThbQfs9bVoDPPOlON8
sJvQiri8KudKAit4jIyE6ws7vAjWY2b/msu8OMP+HJ5s20EMndgr5kSqOFY30gsriisVabPcwydN
R6fLG6sfUQU3ThcR3UPh17xPiByXNwJnAdFSf/T4pCX7Vs12cTsV6mFJlYvva27snYMM9WwuQXoW
QEFiHFjzn7KR1ntiKQa1BYvJFqWju8uiCFtLKvL2tffXrLbBWzclwc/LnnwUl518Z6Y0vjbGSC4I
afSmS6bgNIym3jXKLy6NVVVskCEXXuqlHn9oUemJUzaX28wYXbDUbsJxorFpFG1z581jeJSZle7U
sJD0VKYL9KBYca3dqG/DUjpvqLcGL7GxeTaZ7y7As0YYBkz/yJkBKo2RPc6ZGMANpPi22GVQ+qTk
ba+jT2OwrB2HU0JKiZ2uMS8WvCIeDUfY2S5v4VNlVvhQEbg90ZsxnH0jwHbpJ+XW1dw6eiZG+Ae6
OwMW7G+NLigueEp/VeFk7eitN/cinD/SWWYxRGRuBjhoiCMkEq2sm1+M3En2Aen9XWMvDtAWNzxk
Q6PiAdM8GTmArHFdVLON0IbDxJmsrW9hpdRezSxrLt17XrosqnW2HAGZwcQMLNU/hEGNDmxFxO8r
b82CTV6Wk6vkZSOoloGnBoL3QoCKelHWN2is5AbmOttTyLtsonq584qF/91MiGoDOBk1Ld/2ULxE
yn5zUg5rz6h2uessW5SSj6giZBalLDzGMUu3yijNLXGyem9bhXscXXkAFPe4hLjmapeatqg3wdil
yz0N1ZR1iva1Ua148NP+mBg2nq9WH4bFHX4aE2sQ2zHeaAw09+bChDy1Rn5oBl7UpIE/ZCTa69i3
1762S0iEdcir3Vovgllp3IdOBIrFtLMTqSmbDljjiyKs/ra2q27Tcf5vctZgCD2R+6ZHj8SEnC7Y
zifwyu3rf83d/46522aP+38CmEhcQmCS/5J0+sdv+ufm2v3L5boZeLZjRZRHRX/fXDuwlnw/oFHK
tPGE80v/MHc7wforjhsQf7JZg//T2O385RPqI9bKv2T9feF/srX2PNzj/7K0hi8cIPBEMBRty7FW
1tPfl9bdAEd28q32vAYTWTeVe03yZ++AK7ri+8nqE5BPo9poAMrerugo1v2RkWP5gl6A4AnAoGuW
KpaSEsqD0RtO99xTtHETpqjqDyyuup9DlwfvHkLBmWOwvGGBSiXT2nndmnkuz8S8i73PEnqrB1Fd
RNMa9XuVNfXtANCGnt7ZOqQjC910yexmLwnnRu9DjiXyGJqsVaEXz/7bMHLtepgx0G9ZL2YXQa2e
u3N8lPU4Ih6cfyCDZG/koZQ84nwsUoiiPYAajQVF450tJSdzD0wtmzaSnZMz3rFR8UP2qy3azF2t
FP+5hHa7YDVNYtM6aoaZbtpJgCGGPFeeC4Tje0GOg7zAg5rcoXYncHYSEFMajXOWPYElEtjmuO2H
gdJuizJp83McSzUuZJ1yb4TZVilvAXcraqo7Zd8tJM79vsKyWYU22ukEMBVISBYurWtt4Ty6S1yg
ClZN3AGLyLhAhwy/i/haknlWHuWjMp297ZDWOZcK/MjpwS4o3rgL4AufzBEEDXwM8uGR4Wzg8OLe
W8FXGbIInV6N/QSDgyu3ozj2hlUzs8rR2/tRM38EtDruSOOv1/CZF/qqtUHw5iXGq+GA4VWeACj0
B8x7yHPtt1I3lP2JlpY46LNiL1ctzwGwfO/Z2K2GjB4c36Wv0dXemk5P66NaouTarapgUhmcj0VS
hmAIhwZOpv+jqGV6ddJWPYzZEFxLjKfvmSRNj7pA/QE80Svfh3qP8TV/KbnbP5Q2OFa4CdR/saWH
9hiA86eqIbiLoiJ5yZrJOU6Zb9wb04qgwdaHoT3onEvCa/NgiFUAtYKumF+aNkQtXsVR4DHVkwIl
ynYwydIp9gTRrhjcARDYel6WU9XZrKhBVUuiwpU+jRzdhxFj8wvDi3MTLQHqrNV447MbWWoG6oNn
fNsXXfnHGl0fbnWwcBlL66qiuBwTL6k174GeerAjo/fM5W2riH6tnM4puHBVwA0pci6jm6Trh/s+
TW0WU1N9dF2ydVrMfNZ4E7prVvrVS6em6sDNt/k12tmrtUrOugzDM580dsjGceNZNeHtMpfTNcG7
f65cWsZTy1neenykcoVC2Z+i7swbY6kCXIcIOWecutHeFc3vATji0fJMPDATG2ZITeIpoorjzfRF
+ToXS/7qjDonndeGxWtrVBFNZjxhvqG7g7nK7dEqvOdYFcaaaJ9cBXnROUjzUeWdx0nRCQCCWTQY
YCLjHiUNy4m33hSoJsgfqMPFU2A0UxfTBcounS0E6YNwIimuDbWFbT7vqA1sQEEiHvNzQWkIyixO
DTNukMnPNezcrTN7GFrA1txro/uRL92TaIzga/Jqrrs43UzyYHBgvNhuFvEcdMK9keZM06R22aUJ
lWC7SE/RutBY7xg8GuuSY113eJ1Zf/o98TX0jfrBYX39q/1ejFiA7TeRHJsbbgbujzSD8+2zc8aL
LFt2R0uU3kJx7N+1ZyC4lWmcFJJEPcxUytCn7swWGjmOUeU3Dtg+xmxwQaSBAeGP0zYbeueNOytw
ciOww800jjO7yibcuoU/YoPWtsET52bmHSXoxr6rMQtiigjrK0Z5JIFGWxHclcm6GxRoS9I5BF1X
0x49G3amp0cwrvS2F+noPCFChb+KURolVo0eNiqQLTz/CTZM1wAtXg+V94E9or6huYSRbNY4SLjO
OdNDalVkB+AdKRgUrnkbRJb1POPBuAvghczwRDHUUhIFsBXU3YlakYFWgdmi8sCy6zuVq4KvqFfj
fJg+W955j9boz6fUSFTMH0o3k0jUyQPkd9CtO10MbedxFDbhJx0m3p/acL/yprUvVjAoHcOsohM2
Eru2E6AIpFHcjlMW3kYEQi/08/liI5bPzLTbDUEJ2iGm6Udtdk9Tu5hxaHXYPFfSO0bLbJ9b6DVm
vkRXEgH1zvBt2FQubuRjamR3ZTGke7fP6YypOus1bz33IMCi7XneP8VShY+trUbsEWX9nAbWKo13
+B5FgXjbJV5568HMjz1VDbd1ZaZHY1zvkL701y5sq77yzZUs8iMCNnPdfbXTCg1l61gy9rjhS+on
7pm/4by1x2blgTUYT8vCkw9w1Lx9ua5jrXUxyy5x2kKZyS9GlwYbv6rqg+6nnlDYpN/trsu2kCAo
iWHrq5X1S7RNQUHMugyGRgVbb10Tu2GLhK1qmmZkZuNJmdQfyxmKHVGK/kmYvrcb3LHb1WlY7N2w
Bg/RGfCe1521bwLuGyOn5W+Ro8GnwrF24nvt7dqSGHWXUQbW33Trgtyrxl+d6ZY/YSUAjcKv8CXX
/fq8bto59n4ST/jdFbk6kfQMYjMoim3r8U/JurGf19099R/myRSwIIfcIqeqcwuhwBCfkQBlogmd
HrQHosxVSYmiWzpnW4l832jRnnoGkl3fgsjDa6TggTN5GWRADqhHw03+bUwop6bd6tWtYOIohl6N
g8EJVPWpPSQw/u7PYM7xV8+ZfxwHp41z73Zx6SypVjeE2UT2nsX9Z2s2175Hfajyai03JAvcmQZe
aePNyl2SEpmf7/NiYcIoqZ4pzPouaLprQD1epNrDQlBgY0qqcOD2P4aGLs6ixq5fdexE0AWR1XIu
826WwQEsVw9IeetIA7y9msZD6ffRkUgr+iKVTEZRPcxdnu21NOGi1AbUqXK+RquVpMgphlG6qbea
NdiWkknM6llvHSrS5xzCgUP+CAcJZ3vwjHkkPy4iqWMatn63iY/559u8AvUIAGbj8SIrsLZUTn8d
bSv6zOXc7rjPVezUjKM/DdXVNwY8O6tFZvCoODOjpj9NsouOhDgMCJRLeJZ6vpa599NNgh//vUv9
O3cpTFYh/tv/vwWYZt5/uUf94zf88x5l/sUtJVhvSbxD/9f9C0gCbBfCnU3dMF69v9MiVs+wb4WB
S3rW5/dxvfrHPco1/3L8IPJC8Nbh9yXrP7lHoSj86z2Ka5TjuY5vOyBHiMo63Bn/fo9iv6yHKshp
LGjldGMIhcSNj/JxcjwOl2pYTmOyRlNAJjGYFd+Jle/syneMBXee8YC1n11GxvL9wXV08lIsRBpv
2jUHk2mYqKe6XYMqhOUdFqvfqRkEtx0++uBl9vR47bvGgd4zy5LqEBGWX8OavxnaPnzJplqQC/oO
6OjvsE615naIoZywYeWnYc30iO94j/8d9anW1A/4jvJ3RRAIN+xyJ6JpAInfuo9kmQgMsWZO/rBs
lPepMdwWwNfwrla5eF/WtJGbpMPrlLbApNn7/DEch0gSfRFUrXRT8NBgd5HbaXbUg/DS6XZBRcKw
2rmUV3CAXOtKQHULBpneDYaN/cZtSKekBI1IH+PRvNiZKLAw4zMmijMCflsoLT2WfqJ23pBk7+ys
GMOdUIa4ZD1iWOR4y6fZov+m93qiS7TCH/OxTA/QwcOzx7XoYNZTg7NPSv9JZikFEzQFlgHLdSIO
BBftnugcLFsEWreOvlgOQtadwy6AA1sO+DbxVcR2UrTnHi/1DgoVghbBWMjn7RTddIhW36Hpilmx
Ce+ozKDrjKaQ/nEIZHtM56w+0u+gfmVMQzqOclnWsbv4zVNbjvpsBSERKXvih4Mypjfsrst7C2en
CRR9Efds2Gug9F4wvJU9LzJWSDokV1zjFM+WGeMWDpno7Jh+oulaGMWuVKyrAUayBZhyskiQJKH7
Mcqwd8kVtkghYXf4GRYIhKk/SABzfzT10uZbI3TqP8D4SxctfilBcbiL/gSJ4RtHlm3lS9JP4jQ4
VYtzbhYOJUf+8NFYUfiAhQ8hjaDNnvtmx1rFaR32EhGZ6olK3vtFq1S8tGaRTCw3jTCvcdsuZF8P
gTXkGJeC7EHaUDvKLz5dxkHcMV3OzxZ7DNuRC7LiXOd3pr/ewNH2o61ckR6Wq4f30Rt9YKgAP9KQ
f0eicDXBAnFXKMj4zQfRljVUx6Symr2xAkQI+/rxENnBmWwe3gVJKxqxvi5mXoqbFUISrDgSNLh6
p1ZEScvUuhcZ2BIjAGCSryiTbtUcS+gm9oo5qU323lPtPsIvOpaj6TE5sMvBwkFocQWl+N/MlP6b
nzKsKBWEc76BbtWadwYxb3+rVuwK+UVoiQIUiy07iWOHzRuJ6fHClQwtc4W3tB6JTji+S3vjK3Zf
9op5ma0K4ku+wl/YZQMYidQVm3gLGET8WSDFWBBj/JKpKMQDshU+qYQ6F+rZ6LFq4GwK4K2wMskn
z3qiMIZTK1yxNNEKqOFGB6qGSWYjVnwNOUcweBBtwCW+RCviJmX7vTFq5yig3/grBkeuQJykRakR
XB487GdleOxY78bTCtEh0jk+mw5NdOaK2AlW2I79jd2xhf3oN2t0bYXyzC54Hgzm7Gy9aL0qu6q/
9aLC3LWTgF4D8e3VKV33LZCe2GbcrMnCM7kEvQ6eg8Drb5oRlx+HlOJMIQJPmDH3EuMT7x3rtKxA
8TXpryLVmoqHZeBsLFCWjvXiusce0slltIxo2qUqnfaJjUlOV6aMKabiepEX7Z3sh/wQdHJNN9kf
pg+aEvTpsJ8Symq8qNU7+L3cIR1+KFfKHYodO8i16TIt+WnbIHqotzUiBhpqGvmZO6vzJ5+oWswS
o7rkBITvhQoBwJmeQSVhgXimYdeYITMVi5F+36lQvrXgXx7QvAgUpnz8bwyse9vrQZsWU3VvYTcm
yZmaz3ZkYwicXf0eWKn7FLTrirfNCDoQ/96XDdGvYdHhiby2KrgVGGC6Q7vk0M3y/gl1HeZyppwP
R/GVdpx2vBBRrW5Dq1HHiUqne7VqU5Nue56qcX5ijeGHELOtnBKkSF/MKBku2AGw0GWeiAehCvT3
kCOzTO+tiG6SPDFyuM99EG6KIQyIzzrplvZze7U/Z8uZjWS2l4WQoMDK5EcG0ZL9E/f5n3NurwqB
MeQX9gLqqOwE18NiTb+k7rmZsHl5dgYHC08igm4D4EOnMFrUjzYd7ctC5uxCJnAA/uibgu9bmz16
fm89QWS392xomu08tuQF/Flnr03bkAFZ/OkhU3WSbjiY2iNv9Okjo3Pm2cncQGFytabdyOodiCuC
nuBbeWYpd9X9rAQdbY6l9RuesxX+gG/QKsw33NJldYQQ3eWvrmcD8Il17fe8iQoTculSZ2xRmIJR
nCwQ07MzgG5qzGn5CvXg75JirnBM4dDaZA6QK6pmxmSTZnN/GE35PE4T9bKkXHZ8SaHQwIXdUndR
Xp1mZrVYBec+ZZHf+jgo/zsf/3vzMdm1/3M+rr7yj+r/GZG/f88/RuTQ/WudaZ2Acm9KH/42JYfh
XyYEhch3nO+s27pS+CdGxvor8KLANDnjLHcdk/93SmYJEfAL62/7B33mP5qSVyDN37cNYGRYMfCn
Ufdr+6G9BvX+PiX3AE3yJZuME/wstg1tiWFLUGC4Rnewm2cQ1aiqVDO1r70xjMhGtnXxs07eLigR
GCusikPRzIevoLfk/ZJM1c/IFDRVpWSdqESlSmY71QkxT5hWP6WXOCcuCPZ9l4+Yh/CqOreLVYYI
5kICDFZR6R9yP3xCzi0fuwmh1Bw+ZN11EMCy4kUPJkisIh+MeBnKajkUZkOKsdRy2uSKbSsAihT1
eIqgVcIwCzDIYc4qmOAKxhmnk+iMM715u9qe81MxIbCwDWDTChg2cYjfJgsk384OXQhjYQB1xYkE
PbahcA5ttPYMThS0XxwRDOGOTHdOb3dV+k7MaVt/NlSxvdfaXO56NZtx75TqJo3U+BnKoXrHsE+7
DHn/+QaUMeaARqQfdsbhmLMd2UjO3aGXQKp624ynPBzvEJjrB/iZNfbUcGqxq8sxOJQQxu5CMmxX
t3SW/fr0z6o+BcGIxbWFpDJUPdV27nwY7Tx4sFoVYchz5CfvcQtigWTk8yxIt1roJ2ceFVV2Su3c
cXaOyYLWhP0RCrSnifqJeelvqErjwFkUW6lh4TW4MVOWULyL2+ASmtLm1DLm8sWRTf/UuwXrit7C
NYLzy3rDKZW8YXhdfeV4mioUg8u42BQY4Fvc1MvsxuOULJcltfrXsoA/BlNOdpcx6dob4MXDn4jC
BIqdZ20UW4UP835wq3LXtNFqaCSyBB4MFfAW4ktnkcbsi4927RNOaSbzMFvIGhGChs2fuC3Kcq0W
ahFQWyd9qMKoso4kSvPHrCmcV6Bo+TVaVeoNbuXuyWrohQBA5t5YthhMPHh1diS0ksJXqputrYf2
OOIVeEwzyVBAo9q7UaUdA72MfgP5D7q9b4J23+AlC/Pd2LbRI2ykZYwVxX3Gm0gd/4GQ0Jo3CRkY
mNeW4tNl+4CVI7MLAu6L3EYecPBWWtUzn2PxYwT69BBMQt0qa2ZW6ogS7Kx6pPUiqdyt4c8puL5Q
1M+h05prl2ittkbLr1t16t62g9uTk6llcydAcOYK1Zqn/G3Cj4t5o0yjCGm8mIDPNudoIH/UnGtu
WBr4YDQQ8wKzH01mealMiP8aPoOhl6Mc16XaQFHd44z4NZ8zLxPHdvQfrJDgSeMGS+w4GD0YCaOn
qeTp2ampL9+ThJkLAyqAgQDzusJmadc0HCjviSK9voGyZ/ESdec2zuAq3LkQaNgQ+tnBpVpuwwaw
BNFPRzajSbELHay1Hc/LY6Loz9hgxS5/kO2E6ALLxxQPQY4qFm3dBt7Nk7uocfWvQn70cAW2xnHs
uxcXygTSWLjWa3fcxh1oMqzy/Nt6BczIFTVTrtCZppfzlcnNPvUrkqZe4TThrMrr2DlUViC3r+ga
ZiMnKsFT8kE6EG6oz8s3VpvdkccFmYXrwNT5ZRDnZqR1GR2hPfQrMCeCnOOvCB0Plo4gUNFTgbqx
cHLxx6zAnRb0TuY6LmXqeLWsFcyDgU3d56b7Hq3QnnFxALSPgHy4kSfwzzmt5958rVazYrKCf4r5
q1PDjV74GSbavBHfjCCL+ZxYVfZjcpAPaKZ6CQOuMRK2kMcntgOJ9Wiu2CHaNl8go9z7o2CvDJkI
pDBA6vkmWJFF0qyfhpyUppwCHY8mbiQCFMPW/gYeUScRHoPMKih94J6Cb2lFIwFJanNLnTsHT+LK
T5qjcPgf9s5kOW4k27a/8qzmKHNH5/BnVhNGH8FgT0rUBEaqQd/3+Pq3QGXWk5hZypt3XJO6ZVdF
IgJ0OI6fs/faO9xv5Ps0E8ENNo7ztdJJeKSnjbkOhc78zAS4OetxsLcUYRcmywi/JtQcJKvMgN5o
TmQi7wyavzt7ad22YI2vpjcAVFNQZXkLFarCJX1nwWKHFhq16W2y8KPoH3xRRSiOSRTIEy7BamM0
eBiYQI1y2WYrQFTY1IIHRdr0mni3Yl0txKp5YVcFbjBdkV9N2EYv68cZS+vKwNRzhRnh1qmNikcC
ElYNGArYEHQsQiyy+z71/VtqR/vCXihaTiEmTAj9SYPnWCcLaysd/ZdwoW+ZC4fLXIhc0cLmchdK
FwlmSxfJPTYLwQu7NDu/IT44DXQvZ+F8hfHorzRSKyAL6vMAfYM2MpqjuRunrTXNetsNKv3mwoC8
modNs/DEhtYGLVZ3jX3FHmNcxm0EeqwKs+rOQZu+rhYymbUwypyFVqbHJvxsvyHMNFP6lUq6OxZh
eqULkdJd8nENLvSzaOGgSSlulN3Y64UIdsgWWlqKzmZtdAtBbZCfnL4GISGN5D5bSm2nVeaHtrCr
bTMsGDa2wwXJ1iMPB9CZbzlIIDV2lszTheJm9PDcmBdOezxD48FteUUy8XQPRgpodv3fOvl/VCdT
saFj+c995NNL3rz8xJLg5i4/8nsn2f4n2GHKXXz9jLuZAfy7myyF+U/h2CZtYapV23Zo5P5eJwNF
/F2FA16RIafEGWC5dEGJVfsbeEWK7J/rYrrHmle8Z0myszFlu+9y0Cq/9dI4GN1TZqKsXCH8kRh5
JEJThP6N8Qbt/S4lIVwUJm2Bp8rh1SMMdsa55fR2n35XoTTfNSnGPKJD3Hs+Jz/qwh6qu3qTsSTf
NS1ZDRJsuGq/610mEw0mQ0eDjAaIvmnmXvZ21Xxmanvb2pGCyWQaamWHrtqmNpEa26YKUK3O073h
zTOTrzaMylWlZQ6xhb4BcyZAKo24zEeZkpHeCB4SvE9Rs08rr6tuyDJL7uvK189NOlvsSjSnFvtO
H5cnNEMhBfOkPxoWxBkuMbnzZtSpiXKO4wqw4gl7/mJsv06q3H2uKEXXhi6GT8QM0Jnhmd0W3USi
QB2SXhGT1kwPzAoxl7WFUe6SOUsPMXk7n3AlVh/NxqIcRhitPxfa+5yO05WHmwqPSZJNB/7DP/ed
a5EFHom91swJ29jSq3ER5V70pMnfdjG5viuBCQvRbsDkmWa1zi5oMdM6wK49XeBi6ve4fLKbTnbN
0xhmoHjqadgBw2QG1pjTkQbSUnFHNHhhcRjRPkzj6AvrwbmNk74ng6kwjWsiV7zdiJV03xSjpGxt
84dwVrSqva64oRWlVth0QvrG0JPPtoPs1yhSrD1uZVrXhR10a13SVs5grBwYXWJBIw2gX0ed3W2k
mXck2NM1GMia21qDNe9TO8bSM/nV/AmLYrlFeWHsiA2YD3Zozp8px9UhbGR5z+zUv+qMqrgsSO5E
M4lu6XrsZheJ6nbs7dZEKf77/6WusfvwbDgmyQirSEA5Ylbea6LHj3HZBEN+pHYZ0mKtWr+K9ZZd
lheH9NBH9d/VUuJNOvXfHfV/sqOyi5mc+v/zjnpV1H/KdP/tB3/fV91/OszfoKW7lqNQnfy4r8J0
Ry6nhen8Rtv59776ljeJMdh2BaR19sF/77M2uHdLCiSKwvQsU1h/a5+11c9TOps9n6YIqCBlSkwZ
8g3h8wOih/lk2bijooPHOwAwdtRwzvPXUPyAyjVno114dJliuAK6Nq4umETOz/hxiQaDRL1v+tK4
9HlHbCZKsW0wVQAUixlGJ6OnsLa6o0fYxBqIgHsquhyqT96Uq4KR8qklRfuixLl+38O4fow9WGEX
XREb1A0Vh/GG9Ca3QffF75Nbs6oizme9D3CmgnrN5x7RKwGdicKzy9zwaC7nprDyb7FrXQNZWyvu
44WNyH1fkex04bkeueHQdiVydL9L9DoMqi+dw3ul4wFbZX0d02zIp7NfB8w+WrEee/E5JG2LKK7G
2ICql9tJzPPOKSrgNYG5M3In/6CnPt40ZRJhGqJpMdbXKOHsjREk7UttttY2Vcgt0InUeytzuX4G
9Ig7RcXFARgPWBfdKTYohjJy3pcJ5uOhIMlpKMt+H7TxdT1pooCaZIbMgaGqMzWWZFFam1A4FtUy
oX+oEqAQsK1RKatzKDUwBCu7g9UCBMBXO511+9IeElot5sLTYVJjW4FYm77YGVhrwMBMT07bT6u+
Xb4EVKR1SxYagdRdwGvVcDep171mDVgIsoOOZS6jE+XdtLLMcVPMamtEabl1ZqI00ZAatCaUuqiQ
hWhfHyn4Ufkk9LOi2Tcgo0bwDUTnkK2BasJirLMlmwX8aM/rxSRR5kHF5XxoJJFwvMmoNEdJR572
0ppjpU0GC6ACxwt2YwcmpuKduIEQ9KkcS6bDhneYEBOtTAfpS9fUICEZaYYWnjBdMc1L4ZcncfWA
m/jJG2d0sYO6CLCtbQ0OuBspZughGI5morPjqkVdVPj1aoiHHGICh8HK1F/ZyWPEudpZsyYe0FBC
4WBJeHVwq4u42HZBMgHhg/aTBEuuOMIzWAKcH1vnUJmx/DTZs1wldXPC0fpKC2aEzemVGwCI097J
iYEEm+NdEM6qiUeOqzVpW/aeaE1S0cJpBE/B/y+R9UejwZGfqNFfu3nTr8A4VDvp8RekhcF5LM5q
zr/xI0rL4AwTNNta3iv9MHEcA0Wfp3SNhxT3y4KJCu01hv3oDuCOt8pxzMDiCaddGen6QeQkz4Dp
Tu5m5dnM2uZz00K1pbcwbMg1dLdz0uEhIDN7Q4ETXCCSEzeRW88bAY59IxsvXHUOR/ewtcjUUbF7
kDQBV1Hg9XvTDA4t7+UTUqtubZhh+dg5FncR6uzatGP8GIEe1s4A5JXwgGjVOLF4nHxbXLQG1VzW
VzMi7VLhQ5gxGs9Jfp8Y1nTjl504yrYZiP9mZAeoxEgA+5XeQNhfRhmY0jy1SNLa8lGxORlAhbRr
XIIuT3dF4l4ZdvIa9S7Q6pw0wb5S9GW93lirmftZzo3DGTqFXWCJb6S1e2uyyJ1j2c+c+dz2XnjR
oct7F1gfhHBmcXeuH1ebQZCICjsMYu2QumvbphYzK/25a9M7SLM3vuxuUgSxF0TLyh0pB18ze562
aT2f6lZdRsMiwVX5Drke0A47z4k/J4sxq1FYTD4wx1BZHsPd6KUqCD3E4HjfMCTH7UhQfEomMK3M
rl1J4U0bMyLIqs4rlhSeszNl77bLzBdd4Sn3otiCk9s4974JtCJTetNNBpN6ifPdrr72UD8wMlLj
ODXNWZFKeWTOnWzJ5ew3NBLp0rUJqg+defvQEtdFan5y3eYS1WZ8aJzxyRsajJqR267SyXIPnYjy
B617SIj1AE8Y5mI4DKvej2hgBOkDms6Tstt6wTgdIYFlHM6L9LykBuaiBvfjEx9lhR6T0+pbXXdi
DSvVx3bbFTsbyeDaRxW1qYY2vZzSod4h2EVUhbJ0n8Z40qwQxq+nHyZ7oieZ029wCdbrzakCnJXi
M/K4Yj7PD7TwopsGpXwseQmNFIYXyQCqhNildFt3joNAzLkvk4zAJ/KkTmCaD0FN05OaFSlVC9o6
xT6+5vjuPqfJ+HHwO8yok/pSwPwijDmFoWO2w44YYgOXr4+vL+v1dZv2NyJAu1DZ9vLBh3NJUsSq
pWQk9P2uiMmZHVCvjRXhqGxo5F+GxodOEwKG7e6LhaeRvbBbtOZzzV5D+vDk+y6u+DE6hggJdwGx
ilA3DWfVLeBaLzWtXTRbzjZQg7U10xKSi13iPlDxh6GPnMNseA9T25zgB0FpMIJvllGqY5qn/tZQ
KSyr0pVbp1DeRtqZOHolArmChusFRGR/W2NzXA/exEz3FR5K3j7aEbZsQh1woGpIF4MR2eUyEPWK
4anFzK14FCvoELgKWH2Zd+07tR7KC0W3dnnIijhzGmsPfB0NJEHQMNAfrQ4dA5X2NDHsDTZOU7B7
JxfVTMtvSe4k3sOyM+Uy1/ge/FFbfYPhPGYqTCgILvm3jJD8e2TIf8vr/0l5DULFo4/wn8vry6ID
Kvh+tPf9p34f7Xn/pNGAUwct25tejUnh7xERS2kN9w0zkEtNi3zr3z0LC3+R6ZkCIAj6OIw+P/Av
+YWa1Ag0c+CMBR65v9PDsDgu/Djak1KCvKTR4CxDRLxOy7//UFpHUz10eIvrg5P7yqNSMOSdADZz
Roldbosq9siRLJV4bQzlP6hQk0qZ5f7RqCOyGRgrUK0qeVkIN9/BHIEk0MuUh9JLjAevzJo1/ggQ
+IVoNa6ZeLyWudF9jWsGhMAV0ycbbgi1u4ernMM1GhubHMLcVBA7KtQ6MhD1sGsBCeyLiiq8y7vx
L3LH3jVxuAO2zTGK5hExd6a16BB/vAMQJuu+6MvywGBovEGIpnfB1BF+07bL9+Jz/7BEbr6TRf8P
6IGbAkx6869/MLF9d8fpXVnCAh+GDYkX2M/XMw30Z0GSlIfBqK2LMUhfF2nNKvK5B7++0rux7fLN
lGWiL5Me+SSc+X6+0ow2YW5CN0XDWDVrkmnAskFZ3JEIH933Zmrv8Kf6d7++6J98PUUoiqAnZrJM
xfLvPywoaHzMS/IGQpAbTrCilvZ0g/bSWXejQ7T6378azme6ftKzXYJTfr5aoD3SiLKYl4gYnOSc
19m8HV00idddqh9+fS35Lk1luZ/EfXIRZRGogqD154uN5NGGWSKiQxWOKTqu0EdbUVVZsfZqicZw
Csfrru5o7zRJvyfJpC03UeM2f/s7O0J4CrGAohnKpvLzxwBRoXCkWfGh6pa399hMzdoNfP9BuyXj
n19/6T+uIUdgZWDmT8iTTYP154vVlU4tcFkx8PN5vi28ulkDzO2+gvBOwgOifTRZKscU9BfX/eMy
oqPgSjKTXFcrV7zbl5IgHqLALeNDPlQ9RQl/zYF3JPLwCCrur7/ju2vZHMSQ7GmJYoJdUCxy4x+X
rB0ZAyFMOjpEkv4odn2seKWop1MwDdbjr6+1/K4faMNv13IkwgCbnEebjsvP14qz1jVqgzU0T/Mg
14WvsmMaWf1vQ4bP4/8NvtIQTCccYz/uMj+3TJzv16HJzZHhbbmaP18HjmBTg1CIyNB2eoz3Q8yX
sidU/35vOfchFk5mtYx90fQTwOpvGEGH519/13drZ/kMCEPZ6Mg5Mpcm0c+foZ9kgvOl5TP0wEpg
lFTmRTAbwdm3puyIHcRZN641/cV+/nYL391iky2IGFCPrjwxS+8uG7iEZfjQ20KOZh/q2M2OGHan
q5J27662SjgArVGMxClMHDBX/tBN/QE20/gF3XRVfy6ROB8TP2ccuhhEfaIFjv4cG7e/vjt/9jkX
NDatZ6oDLd5PDxKK+mFWhrGnkea+TlNn16seewl/otQdXPrOcYmKOTYUEUDFkJwFZT6Gwtz3D11S
2CdI9/4BBYh1pQ23UVu3D4sYML1W/e7Xn/WPq9YT3E1GJw4VyR8GHZjo0AekQ0S2vJgS+gUedIu8
adrNr6/zxyfRg/a9bG4oB3hA3u2wkUE/xIfQi+OgmG91NBuAgpPCOdEKd+5/fa332znL00M75Zm8
HR1kUt675Tl5DVShMWY7L+pkHXh+v0Z52K3QHSQIQctgVcLQOsluVM9GltPIKZz2L26sFM7yJP68
XD2LKZJAXMUf+o2C/uPuk9Y4Wnky/L3qhno6qDcubatHqzwEGKlvmaaIVwevH+G5XcaooQzjgP9O
QgqOMOGcmqD3j9C1phuaPWZ3AdSgrFdV2hKCYiYZdNOwwVkQVebdnFr+t54B/ZM3pfMZY8GIer+q
3UUmCpcq85xTXws2XKSd5p1Dl+zeDUuxbxEVXIZkFXRrUUbGA5i6+RaoktWB8Av766wW7UsKeOIV
2rV/ZvaFyAq4kP8t46BWHvOsQiybYz3YIxACQh6rEBaUpeqlRigSuiTkBtovITEknymurMfBeiOQ
cJwyVth/7W9p39rDOmtRHBBlHIdndDHZ0XbYWmTdR69dyOZdNIHzDdWMZyIPoWzEsSc8QgAjHYCB
DV17N9iCYihXY/PFU6Qi07hSz/R/a+8OPTPrjac/SLZJoQGgIOYwbj2zYe8UTaeeZ9QLQEzwbqrl
Zxun4GNMjkXsRjQ0NBqYsjzowprOvGfSp6qahuu32+u7Q7sx81DcllYFjohmZAq0SwYuDjPyf85J
QPdzQ2I8CFL1tlvhnqOVMrNDeXI0PuVFwoosBHi1VZrSg8Ugyr2bSDtvVrUQ4YM9RvaHrgZdRFdP
5DdLYsgiIOb3DPBMz26L4AMJRfRa4xxcDMb1FJAYrJcjsMNLAaWR9ejlPYoIw+TeZpYZvZKPaG6x
ONovsVNhAeWhwa3pR9l86wzGiFAiqccb0VfjdTQxHForW0afUrdla2KaT/gUrreNtazDbMlz8zoE
5qsp9Fpa0UDIwrXMinmb9ylrSWXtfA6GCcSvz9GLgEjwK7dgCQXWWFr96y5s0D/HfIHmIouHmQAY
FtgGJUr5Eg6BQFbrsXqdxB5vCH3EN92FnBgQMhgPLuL+RZRmT2egPvEx8dKNnpGLMXMdrwsjpYUS
K0m4Gy0KehbOCi5PfRswJD0Ir85PQ8C4FXdHBKyxEWdp5fOxq4S7R9HpPwSt2hT2oitz8+RMJECy
IldDXWez2iXRzJyVjFQso7H1TJzmsEwVcK5MGEKAmUGFHOcVAxBzJRmkbvWIQINoFpLWuavmk476
6wjW0TGWehuGOC/wzhRH7E2MEwwUUEk2ACXO+Fpp4tUr0Lkp8TDAgcyG7lLr2M+1aqwz2rVrwJ/e
0uUZ1/3k2SteONbWqaJH13cxjTeleUoRIEJkc7AJk4OZaIzJySwXO4pwmUOClox0eNeE06suzZey
Mxog05m1nlwMCiZq0IMhvI+0QHyso1YJZWD0eKt1pfkps+zjbDFU6c3oChcjahXbfeh7/1TkKvjY
Mp3ehPY0HsM0YwO2lxoJfPCVG1kW2MqmupURAwSjBxg2z+4lrM7JK5mgxArd27KJBM1XTCjlfpIF
GKTc7304m4EVH2VhF/LCNwJ12TkpH6hIbYu55GTOj4DXrO04pD6Q697Up1bK6ppCyQ7Xg8t+kUAE
e6zLKXhEdTncT4VD/VDgrQ8u6KRO50TB0SFTRm0JBfa+xFlUH8YUek9Y6YyLUkWf60Dcec4wECMB
Jd+au26zvH8wToBLDFcYlbObpkUDp3jS0oNtIIG4MBPyteqJWiQBQpknudusMM1GbEUg6wPb542A
l1rty5ijD9PgBM7dlG/1LOxdBxUCukRpZteNaJ/odVVrOZDcbVcz2XIB2lUmBC6JL1snNrFsgNje
5nHi3AgSgLau6oIPbRwMJ6Yf6zbyh2M8dITamuC9Plnx2NC3zMleWvXsk4dc1+ERvwACPnPwmv3c
ZyzMmNqBI0Jq3KZTrTbZVH/MkcFtRYavp7Nh67X2iOvGzaX5AGxdfRiHWc874USQ/DpYYqRFUo/l
Y7Uvsc1fjUblkgfYMNUpinJltJXac4LWez0C9wJb2dVfS9PzNiWs1mPVWmeVYT3XtGvBVGt5aTsQ
K5IgV4joUn2b+pUPf8/yLQ7/cWjTpqjlgxHRrZYtIF/+qIgRHZxzvIQZMeZGb38eZ9HcKgSrB0hh
DREVlbn2XJYAzhzkiH7g7AZFOJ+LZJ9eZWQ/Johvb4K2sVD3yfhAj908cwejtUWOUNX7ctc7Dgtb
52eX9sHKz7R5A/nW2aOftS51gJ4UZgt9bqeS68wbil0q5nKbzo330i2ZR2w01apvhgiHPtG/EbwG
Z+E65SZS3WEZ5zV+8JSL0brqIAFci9mn7NcWGN6yMeJ8M8FDBE4U9+kuTXL17DAje+CrBQyAHI/I
BXzCh8nQ09eW4/hlaw0dOhNjZDpW6h6qaZLzTocvWxOW3TtXnNhRbSBZ4AAgi2Mqp5anqy3PQ5yl
N6XrtNdeM457q4JitYo0xC3oGofBw4DdS987FUTHneMO6YQd9NlrklcKszNU8w924FRb142Tb9rJ
yCwtVVkcUPHRS4rT+kk15aeMX72pq8JOMRzPZrpq/Ll/EaUdI0I1GuMQlB21rCdFu6pC0N3YrIHA
+xM+7SLe8BePNklmfh4MXaKzKAE/QyltNnkQTIAMuuJVybw/zuAP157mHViF1rybCI9Y217S3kjR
N68xU9ZjXKW8NdgE6rdBm62qxHlsRZer5jMeWcjdwgZJ/y0Egr9qowZyXmC3Ocek1vhWuWF+HsG5
AOh3ukfCGPtX6Nfec9BpIFKLUprYLTF7Dq89PKTAtOmI5HvDtaejacYEpcIW/wCUAW9dkpEW4S15
EHEVk/O3hERQRQVXRECrdbukR1hm5WOzTEeLT9WOezuPxdkeQM6mycA7A0X8lK1o0LsEnSZF2MG/
rQB6+4vVsUbbvcboXbCdTXNw78Ezm1ZoHXFu6pHXiKQ7tJBgNLtPMxsPkLLFVhNJvyl5KewsUbbH
co66zyVnI04YyAZzI+Mu1F70yTeXpUxHSZxDVTIiVmY97l1h+U8QPqwXwyyNb6bbDZe+h9rSyWdg
kQW/drRH/SjzqL8wO2I8/CXQgxhYcsGb6JHC2Gf8zCgRW8+daz2BCGP6vCSC+ESDGF32JByyQoRn
3CmofkBrc/LBlbdlwOpe1Eu+CGa6DApvSLtThYDWcuiiHmdsbDzEkmjySZLUDPMVsA6A0kt8yeQG
eyRD5rYj1YTUQr3jLG+vKhjU2wRr9EJNhD2QOSvJkAD6XreFzQQTApbQWvksZxGP8jQ5ZMvMEhct
vzgsOm/HJCi5yLIp3WEkGO8rwBTQXb3gHOf9N6MUFjMFkkbcvmc8RWN3A0VxPEb1lO61oD1gjj2O
0rLudiXjn9ekxVTHGZ+3DoXQEVm4jf0iqrbZ0OLZbMf4MpHjLnEDqnkKrhWHahc51Xg9uEISCjK6
e6euwpXIsO43VblOO4DtJqXgzSgbhqNpjDqpbb62S2pNaRTzTrqM3rNKfwJfmG3rCXxMW9I7IOPo
gESf4GHjJWIUXoAgoU7RVyjBj5lRPQ/ZfN0l/hE71SMcnjNbLg2jJVeHIe+3uAqepNZ3iuCdkmqa
QNj0RYsINRfZd+Dj9SusmwaG8qK2MqTzSCQPibGF+Tou2T6pEbDJh+Yhdet2rU1oHl15GkM14Ad0
PzP8ItjwLTLIMTgRBFCKPszW/HkkYIghnbldWPMD4Ncp+CAQSwHorr3kaNcl5hmmpCTbWjs5b/oq
+giBjhTCNrx0qkdBbMdD5VV6E5JwRKZ5uFeDTlZ11XcfDbP2NuPQt/ueM8wl8TOEso0M3pHfiaNj
Reqj29j5LmKM58FzH+pDVLm0R4d4OU4oHY67AgPkhsg0iNYz3ufLtneMegu7/s4xXeDYLgnPR6NM
aehcJLrxxM7szcE6tV7WNIztwn6EzlQvv8+skvgF47g70LiQfnsIsDLqrSKqob6gq2nHy8Q4lVvZ
ICaBpusMe4XqwbhqsXNG6wYSJtmimqap2wwcORMdrerO9J+9IPG/Nb7LA8hVGTE4jHFrShEOUmvT
KzgWBSz7bl2wvdBnWmYaGKv954453cY3mL4TJeigX5/Hq4p33JNX+dPZsAHD4n8xiKGoXHEVG07U
b1o9cezoFNvS0DBgzuVyOpHR2H+NZ3O4jt2JhDqZEHgT1MkxTAb/OcgMmtyBreSdbJx2A7iWk0gw
9+K1KAbXOUNoW468ui2mVeiUDXnZPaVDarhiV0qrPlDb86sNNzewXnBAXztTMG+VVJyv8EF9ctPM
XEc15R/ojvLGqfFD4Xo+kBoar2Ze+QczaXiRku50tEKHpgAqzbPXKXoEy6Tm7Xp9aRubqXDrg++C
8eWcgIFe2dnHt/+J9jKE+y7HfuQPeqccZ96bVgIxN2s5g421SZfAs4brYabsMThsMuuZcxcsFDcT
4SZj5bCttm+N4hKO1MocAb7Aw8LtmwEvvoiiUO8MzUfMwiE5unOb71zmoR+KqOULRDG/kX1kvm1o
vNw4USo/ZsRmUNongs88jPWhBmh8k4zUu7MRij2qjvk8ltMEb0XwvWwiyx9Kh2Nf1cOjWzFPr3aU
apztO+Dx9bpPfERG0UxXhOYlm0EnOZ0INLmF3TvVIfEFaKyQqHLjUhdB+ULzL9qJJKaj6M0nXdcN
vvRUt7Rk0AATaxgAFm6TYbAv06oVV8i1HCIdZiZks0Pzyp8BsCzrzojyedvH/AWsGWME8d0zjPYG
c3I/GsvnC2EzGFA8aYpwzLpNu+WepNDO4GvMt/ytRpj7PbeNJuXKluV8NnOZQ2yjFdd0+XxWRBNf
Y+z3SL+K5i3z9fnc2qSCIUtbfiHstfvA1MZGQ2tfIymln6/gRo25Eh8hvMzbJLfrg8qXfy1a7pZ0
RxastNR07vlF0HZqJEXVYIiPoXTseJ20iUaSx7oPDcprqeizYhvgwC9BQHybpU1TKWY1WTO/lDzr
4oVWYo5qJjf7x9ZED6vl4B/70C9e/FCMN5Mf8ugYIY+wbXXMJofWP/qEqrwkqmmBsY9Q0KamTwXu
19SXdxwO+IZA2Wl/+UDdqYD9ISd5JDIvObfUH1q93N5MpMmxK7hNPWKTu4FAGyotPrjZJOGXbM7K
FyJdufTYNf0xbSf/0NJyJXDbM5qXmczSQNCRayt+TtdRcmLzfe0cNE2hjDh6tOXnXHgaBATc8qav
/aNo+eu0yAU+VCNPoN9Nmo5FDq6q7ttNULjT2aIFfi6z3n8GCIf6eXZneUpxUF4jCPCPTmrxyVtO
Ps46ZzvcCcuh+cFY1AMUzCoYkJ5fOqVDSwHVfL9KvJYzIfhrVomaxWsg4hLXumcgegwBZSnIWGgn
OZ3iY2R/JNcg3+FCMR5mDgTflF/yhXW7rMFaTKw8UouOUWBCvvJwfuxBmXpr5SmOfZ4b9l89l3My
4QZy/NgU0fhp7D2mUA0FeU0rFUh4SFnBm5EI2UvZ9PlVOLTdQyQG70vZ2/63CNDzsXdIhibpgDeT
HaGlmxw1BRcY7+rDAqF7jl3HQf2CaQoYG7kK/Toto2L63n7+b8jnw1R+/dc/Xr5kUY5Ls62jzy2u
ijcNxOHLv/5hLaraH7rn65f25bd/vnrJ+MkPLzh886At8j/5sd+UDlLirpDMz11MGpbjLC7i35M+
TQzOrONF40DL/3djxiIgNhmGs2LdxbLBR/gd8+P8E+ymxF4hGeUwav1bIoefpwo2w2/MHloyb5fC
Nf8wt52LuaJF1bm3WZ9mnCqisVsaCK0LgaZqPv1wY/5k8LaMKP5/O//tYowSF1+2tnGvvLX7f5h/
B85opyps7VtOc+UzxBkT7VGvnxJeb+6Fa4ryOeB9+6L7uN7/Ly5tCcooz0Uu/V7JEBlU4m0h7dtZ
j1xa14be9NOgxo1CCvBgAYcmOFLUIPw4C7Or/Pryy+jy528OhNRE0MAwhT/c+8ubODdzHafWbQpZ
j83B6Ft47G03l+jglsthKfYuf33NxQ30x4uyVGzSm1yJ3IF//+F252XudwHYNMxwufmQM8Q6mCRe
VlvF4O2pbEl9saNlB8XAUTe7kDLzi1s20Y6yi/tQucXiTgnAHjYg8PzNPM/2Cx54GIkkEwh5YmRB
EFIE+Ized7n0q0cSSK2/JdVYVg0nP9rEDtBghPP2u1mUN3i02NCH3UqIJE9Jl9q0D7tk3NIgQbsL
5e80Jk7z5dd37+ch8W9X1TweqJC4sH43jHYN4mQRZcjbWPbyAZ9LRB5WHn7jaInvXM4cAOxSXjmc
EgCXhl30F9OvPz6YyNsZ0jLfZ/ruvX9Weq3zpEpGCdfNHe+i5YEhFgNsZF/Jv5oK/8lCsaTmyVom
mQoxw88LxZ8UWBfRyVs70uOdQfZBssVIA6nSt6zmy5jY9gv2wOXppPqjoTTwsBgxtTcKY+Mv/tx/
9sUtgZPBgS9t/WHVmrZR6Er44rajlqhWNjDa4pJkAuoZfN76f/GQLPy1ZcgJyu0PIi9ZxiIyrN68
rRuI+oS7pEi9g7E4dUoUJ4IybUJcmuKEfYFVzjxIXnGaHRnTxNIYaPDMxclw+/EuqByIS4kw6f4l
i6O8XegoIUdPfitFMnr3fByOOiS8e/vrtfpuXP62WJXJ309QL6LUej+ujdPA7zxCdm99PxbVdlZ1
DWiWdYNKunyua4Z9qTew703cQPqjegMPMEWHPWk6x1OGrjhK7CrdzYCvKGt9wQSwFuPdrz/nn+yC
zOegcQj0OTZKnZ/XmUFmQg/0Qt46zPYRVC+3WZZ1+SyFLx+qtP6rlb28QX/aAjHusKp55wraE7Qr
310xawMzFrSXb4fSKk5OmzkvPhFV/IcVIwVfOKy15ZJkhpLBp5/Rx1i2B+Iw76MuiUoEBVP7xUJW
ehMLdgBh8BBEls3GuayJt1vU8NZwOf+G+rLpVXGapOVdUlET1AsA7gq+WHH69W3kG7z/WnwT/s4W
K9dE5PRexjF7iVYVxKRb5NNkITJQrtexMuLrykrJM8nJThzg7fTk5JmOkbqrqIfhvNVhQPJSyu8W
jJ1KDqAxQm+mDWrbz4HR7kO3wbMIrIB0JMN3iDsUFjRezq2D8VgaWdCuhSqwAA6Q3RwmBoq2HuIW
noy4GXDbZaHLvG0Jl7UhNN3SdA5PXpPFl4zPi6s+9gk48OB1ko1qpgA7kRNdy2JKP4ukkWu6UaRp
mLClgdCNffhlWshguE9CSreW9/cRpUBGl86Ky5tKwGAglxKw7oVdNGLtqNCrLnqljPKpy9N4WFu+
UvdaV6G4qOIgoSGJmqCnYRjUTOCBVdUrtzW9V2a3ZD/RKWuT/TzOLc7sDsXJwawQ7x98TLWXZsD5
k3kWxxZX63sYDdjXFdzx+tYYSH2/iJ02d2iamhjSIe2V5Y0KspSAMG2H/tqLB/3/2Duv5biVbE0/
ESbgEkDelkUVvViizA2CEiV47xJ4+vlQ6pmWShwydK6nI07H2R3aygKQuXKZ3zyFUc+1m7JH3Knn
yDkQQrc1pX64JTWQW9foZn5dKcQzZsKkCYVHtCEFJBAPFae5jSf+tcmlCw5OHjcaDylWLM6MJENG
JIUlzs1s4I5R4Q7X6251hCKUTNCryvpaU9IzIHiVeQSEK1beAZfz6HZIZffdw2wawRkz0pchbLOR
Fn3vxrSbXSPBZNcYjI+6Pn+GBhIfTawSGeh4eKJ0JS2EuG734HSDHX4Z5ddctuJzaUFpqp0qemGj
qB9hH9DbmqOw2Oj0s/A+huO5R9ldQJlyhzUbK9cRlwkKxcAE33S0wsvuxWZ+TIM8DqsTMxZKyqHw
2tQ+otgk85M7BChYswGyqXQ3ORQtLV11E6hioOLMsYKFnGmYoymw2QHHxow2njByzjdeasjqM6RQ
x+LnpgneFFM95d4OoUKSn1kg8ZymvGnGWeWVHnokQ0RwmwJ4dK0tYJ9qwk4tyD4qreWLTUHHpTBN
FoIGriSuYNcR75lNl1A5PPR9dsjc8XfgDVd9kU3LlwV9ykfFrVpb63rjQbEY2V5FiFkb+EhCdmyH
D4iAIbYwMzl+DpiN0rfTyVcRMSca5aN4RvRFPo2m2b60c2QfnN4h8NjEIVpWcps3EfpfNSfUw8vA
4q+fasGPo+Ior0jrgqfeoeeQTnl5lRapeap1sfyhMpPXXTcQnwlnePLCjs6BkRgd/0uIbFy7Av1s
3Jr60jiZXbxLdp7g5TQmNzUta4s/0URGcot7DyEGIJx3Hda5vJZuqT6YwuFSjzUi6jlGksN514Hg
EnXhCmPb57UvtVxeJcKZxmkRBexJOPi1OX6DyMrUoBdK0k4EPUQ83dfnXCTNMC27K3A49MNwMG77
mS8yoEZ5NZmjccJuVm6Z90wf+phyw8oS85QEJtdzp6pxMy3Z42Ty7o184qE4kqyURkP7EjPM/pAs
/x/2L/BhwoTsU08H8XwW+gZj0L5UGbdtLcP6CxrVZL8KcMaHc6Iww+WejnjtOc+mIr9P2oxPW/Nj
UIdJXpCEYCoZuxaWNvXiQxRxpJ0y0G/bBhtv+mvML9fm8muLsubiaUs40gG/SE90kvCypO8tjLT6
ghs9t/mUmlqzDeBRPjvtTE9ioIdSHuq24ZcP/DvDim7rpK5rrcGg8JzgoDAkt+mcdC+/ih8URnlp
icSmLRMT80EbH2gGAJXT2zf0YLzrKBdgkVyryfZcO/zAylRIsXhagfwmBkXBt0wDrk5PcjlCRiAS
tRtUs6RB3DzdphkfPHtsXzLZ8o2qwCO54x9laHABFzZyGBt0Cq1DGuXx3pgMEgPdsQ4OX/q2aC33
wOOUV9agOZCtemYDGgwuXG37uPHHkRu3W7anKDLjVseYF6dou+dvxl1ZIcedTP1NNaJDjoNRQA0I
ooRd20doRG49/nMNm4QNjC4m7wxkl3xiROGektTD5LDD3mNv0SHEYirKxDOa8LxThYcTJcASBNLM
Uh+muOCtZGksrx3wTwdQDhw4Z1mewZC3TpZTn+FB/iXBau1KhnxV0v3arwOLrxqbrbdh2ri8h5EU
lEZd8KRBGrxXU+g8Y+HLeaW3nMP9Ysi2CQUnnrYrv+S8E4FNGO3VGBMChEGOvjUaWEDktHXY3ksV
mOPBK5cPlNQ2ocksg9rPG0M+xZjv4gdGOdpuZ4fOKwMEgFTMo8L8cdIT8WwtZElT86gBYPZzNSnP
AHrc8JItExmnFXFeZhD+ZfXFCZF4WNfGqO7PT8hNRI7cOkSghgH8/lzwzqNWfZlRWDshEISBI6Fb
X42UtKe+5n9kBMNn6ZYsbfZGvtM5Yzxfm9Oss6OqTLMOlhfx7LOo5HVhehrSWWa+afqeSmZ5a4yQ
lNwko5HNG8DvHHqHp0jjwAad03FeiyiU1wz1OVbzBGPWtWZkzBD6gqLVhoQjlLyZg9ge0TFqG4Fx
JFse+Axqrh+imFHBdhzc2p/QJsu3QvaZ+KAaLEho/Nkp1o6NLp5ttUQW/rR8KpRO2Zr19iGtS+Z6
EqB+dswR38yxHYjM+tHQzZEtgusBPNJlX8XJOfYpE3J1GRoEeVKRcCnJ7Y56JcrZE+cX8CsWLYX7
kJjEhSWwovTDjXPeu3iwcSZVB5NZITL0DWh+8HDenzYGCntEx/o9mjx2ekMjc2lq6n3j2yIdjlE4
gan8tSHwLfF+VrTahzWiG40PPgLDBHxvn0OHXsp5VzCL4lDgv27cAnziINeFcZuIpduQtlpcrtHT
N/DgEQWRaJpTbe3WJk2IRjAMWAHApqoaGYqs4gbAVYNGfrufSISaDbWncWvYPAJbzjiJyCnxSchC
Tha6T9wwEFnwjq3YNH1SEu2t2LgTrglmNsJHDkEjA8+IbiRonyMgoCQMAxawObI/gbZc313CW7Lc
kWOzXEBMvENE3tZ4XBEUyrAZgh0sZUm46pdfmzCeU1urnlgXCVL1IUekC+AIpdqTVBOJnwh5bqDU
+K+NqMdqIA8bBdGVXGh+HAx0dfyuH4rozmgTvWRolRu3QE35FQIsIM5cMQZqG90I5ubUiZ4kJNRS
+aSPVbwvKrU8r4vhgY2F5mPvqfwOLg/E90BbpzJpfZHVOlolRPYR8sDP0GpL8AF1sLLQuk/XQ4k2
kaW4HhOm3vV6isEXdLQ8JRnK5DylycR7jis+aCnGWWGKlFg7vfCmYRXWZbdiyJkf4qpKbhiGG8aa
WzM/UNkrH83hYlpnVQVio0ReWaqMfMExFcGQJDNYMS7CP16pttOP9RL8j8hW0YiUUURO1dslFQxs
xINWmnRh6BT1oHeDUXsME5PPA6iC/0alhZdkiZlhoK6P9OJHqPrNEvzrgRwnX1K6OvLUB0AmZHhM
RNY9XiRX50I5zYiyoyU5qjICiMj8gJ8XzC7NJrMkP7CDkV+qzpdJEBG3ZxGX6Y+SHJPbRVZymyx3
uIF59VPgBeygc2EY6vgXHZkqoRLedMS0Ep2GAM8T1cA6LuU1wFv7MFbSuA2VkE+G1rUv5jx5G/zG
7QM1GN+1cEzuT6Rb2K15SLSacZw/Day8PsdNmaQER8mFiYBDwZnIlnyzCqR3nYMLyTdBRftqhPT5
Jc0Yg5Qdca+pOUIdU4I9crPpUSuxPgqXyDzPuB2hORtFvok/3Q97cPT2Cs9FTlynQf0UaS2vtV8Z
Rk2PRONmzjGBtQ8u8xT3QMGmOh8SDn6zzNv3Zdf26OuYpket0olnHazkyfMMWnbIGIMmCnReiZto
XBtBYFJJ5A4XizNMzimiY72ZAXgdGOBwHuZwCQfnlFno+U8nRD+aLlmu70KAVN4WYVpzx8rRKWp6
9VFFjOuBS8YfK9j8m5YTQnSm2pl3XIg9vGUQ4lhy2JV232jwQbBHlQWSlI2lfDMU2ve+ssRLAiX9
B2bIw09wPy3pNvrqK/IqrIcq1IAMkrJ9RnPls83PbXCODYAo1TXQ6W1dqhqYgYpv42WMGCZO/Cmv
uvDRIcdX6z7Ppk3aCn0/eWK6lVaFnq/mpt9L3L/wby8QLCdTLmR4PxcaFWumhyOc2A4ln1UjB+fL
ua3w/yc870x44OEsPeX/N5X15jkufvw+3PnPv/Gf4Y7DbMdyhM0Mh1qGCSMMkf8Md1wDiVpaXbh2
0IOnvfjfAY/7v2xUY4Bg/B8dmP8OeCC4Iq4Bx0unKWsvBNd/UOL6swMmoFK5dL/4e0iVJJYSC33l
tyHAJC2cF6aFIxpsaTeI6QYd5d/exv2vMcbvfKq/l4DGKwRzpIXbyLzhzyUgCS3wHzn7iLvgY4ns
xVSg1sIr/b/v/H+wyvIrfnsQhOEVnpms4hZfW+1rqX504p9az8u7+vNBLnr+blzagDNZop/xi3nA
Vbuev739FAws/uyCsopnQMiExrN0bA3jklbcZhqqtQPFLo6dzfeSAcC4ZeRrbkEuzb4IkO1Fh4tG
U9YDwmj1fqdaS20RoUdMQg3jPq6a5smMZoubdm6TDaISD6bIB4H3lRqvJT7U4L8afWN1atgZQ4Ch
kG6Cr3HzPjlNC1jaTdzkqnUGCBRl9RVpSgRPvRbBXmPwewxskW6naQZkwcEE2o1uuMEnJF/7Enec
pgQy1gP40DP3SvdmBwYQhgGrSEzRjV5rDhN6upKzTh0RaQJ9zDBH3CZVXbaZ+7S/7mU+f4w7/jGq
MEVK3Pq7Y+YubLKcIkyrh02LvfbeNttrOzW7j6qY7AckFgwSDzdDGaVJALKgKp/1hr1rKc1WrqoM
HLBRKkksG0kHkHofLLfjL2Hkf+3OCV5oeDNNINpb4yZAq9kvEyCDYdlHD0EyjN9lhxrpMFs9aD7s
cdc0T1kvnvGzd4LPUQVXd5NT1X+EfoZozzgbP5pGadlatHb3U6MtgYdxknVP0oy9CKItY85h0PmL
lhcMT/emBIjZrWDeoE88CWeTV0F3jbuH1a3o9uTbAAFy+p4tmp4o1rqImyTaLVIbP7pWwxpt6vqX
ZFYf7dn8IRHQ+aJMVPjtXos/dynGFPoEtJ/OS43F0Gj/WDBPchWN9ewnta5WCfQtBTBs7p56nb8v
V/yORLnpMZeifWLA5K5JjNyr3OsjMBdjsLUYf+17bKxQ7jeTQ1hYw0Y2VbMbYajtSxN7+BUj73At
gynYeooacY31W3ikcWD6wOVYwJyddV0nGFnlXuonIhke03LuHztU6EETYqoE0C0WDxmNyZVOyXNk
JoZyp4YiFUWxfedJXicdXwOTetD6G5PYeduNMkkOCUScXZWh3IYHLeMqNC/Au1Dth9CvYv0xKZgS
rhCJEHekRck+CkN9b9hN8C1g8oTHiqkFt+YoYRGkEaSllW0U/QrxbvtuihpzM4UT/cc5tI9T1dR0
TUDDGPk8HBxZOfeBZmn7toqse9fIw2uq1qcgr0HA0HFDXpYBqQ/tyjEPdYMvN+UoNgJoXQXfOjhm
+NyPJM6W1lPQQfj5adNh+AmAuVu3CKReNRgDfYukjhNyX9uIMnuejnIqGXmAoB/vI8C2YcMU8iWD
jZOs20FlW7rOum+0xuTnnjSvSVrsE+iweRtMHsU5PVlj77lFsxejPX72zGD4ijRJ9KDnte4P+Amg
ZdMrgFtuPADFB8f+3UjxTKlxobrtLTU+N5ZV3BR9KO+UMVsnYF6whtoWEKGqDXE1muF0j7vZTBnU
ePckrcUzc4LxoZmW9kUSdbeqrZ1rQwGYamsprtIKnJ1R48+OBrfzWGGBil/WNPtgqDxM23WTBWoK
tmiVmUH30JBkoj2iB6m7KkBbbGB4lrshGPWfNjI0+SrKyugRr8fkRcxO6xsDQSjVcgrLwICehow7
at9Vu+9KuhqbtorbDbeKve11LNez0UG5Oirr6DSD6QlRlUIXnUMTOZtEohkJaWw+8mvDk2mU8xGD
0PoKdggVjgjiep04hY7gbJ7Ig0fGsCuTxIHzFcqDaCUoONBi20oPtX0TpTFSNI7FngAHDpBRYsat
T01z+IUbjGpv2gV0qLbYudO9MvVMoqPT8R5UOSMSDA7uvsia+hueDB1hbEgfMpwk9lGiT2umKPXX
OJbztmQc4qMLO/xAZHLemfCKr86ouBGFJI+mHfinNi2Nb51bQCnLQGf9bOlgPE24nd0xmAbSuIDo
zMIRGAgxE4EXnAM3Fu6Cc0SzovVgLgxeWk5b9vBZSx2nRSNcuDfLkrC7wM6Csx1wdjNBZ1nZAp1O
u/aTq7p2A7qJP2o3lraNsfu5OQM28Y03P4D7B9xkR+XTEOf5vpN9sQdzGWzjGV24RFuMSGomALpa
4Fxl/8wYsDswUPfQn+kTsfGCVPeTMU0Jns1wK6EVgEeMMBKh3RXfOKkagOF16JbBh1J+CXsDF3fg
pgdgIBhhAC7Oj0lrgPZyS3RvFxbE7HdU5+B1cfb2ZQwY1FCt/vnMxYuRCMtXZ8EOUXnF3h0dyv65
6lkW14ngqGavXRkNkMXSrbVTFTt09TXFp/csJEdLmqqHPrOilzPmL13wiHnjiKsAKyFgaC1CFXU4
LKdf8+hDiuZgVVr6NMpY7ouidh5lvTjHoRAOy4UJS3hGCC+XXSvhuJwn9qMDntcyAMeVEsJNBGr4
3momm943HU4wI/OREW16nNnRa2j6OLjYevEj4Q4/wOxrT+gmzU9spPDeibTwrkt6+VgkEHUcG3mQ
uKmKvcdM9XNHQtqt+tgMrrOxCKdf2D4z0NR916Xzw6zpw4+hCLSPuVsFYHQxb994mvOf75R2Kvg5
6fxYZVvjTj+DLWIopCEmH/foPsMdoYzbakLFX4q+9RBuGxQjnF58svrJ/jQ0mv0pEdV0y03l7KI6
0jZTHGsb0KOgxIOgvGHm2XygF1psTRriWwwOFC1c3nonwLKUrefdmYuWN9aPXHxtcoWRp7GqS7RI
ix4RenQN9R1WqfqVC0tmC8KnO+RTZ20r1OYBBOs2h9iV07EHKXnHHDE8MCGFWHPeyzOqcg9Ss+lP
UKFczXSBbrFDDLYQVUKkmBHHX4HsS+/0OskPDtyBzzIIhn0X6LZA3IvLUJ9tPv+MJA3G9GBKayDO
IZaROcqtoDbFbCzAU0it6aRuCQqI81VBcec284yxsUDJGU7j9KTD3kYnaaaBP+PNAqwamECGxxUG
BG5yh8a2tust4M12n4MSpwV0b7gjyPGmUne123J1u1GBmRX9TGRb5txNN4jlBvHKMyJwViobDrKB
iLYK7BaKU4c417pwi/LUozWw6wk45EBQfq6Yd3d3NcBwgO0O/tigMfCVNaojnojjDkEXRoN1Wmin
VtfBUGIKQcZsYxGXYY+JBFrL0ewEelnzWX3DG2qmxdUAztQosqdl+LjNK7DHloyNb2e6q51DYbTH
Uf+GVjoQWRWXzL7xuDyiEN5tY/Q/jjO0u4cmdd2jM9rT1uumBqV6EzCsNQ1QoXPpDAoFbbjamH1a
84PuQHjBSCMDHRzwDyfceMNuJcHuXvedhjUUf/Q+sejVYOCAkXCLd8A+Zth+wLXa2Y81XSqe6M6N
lLkG3hrdGjODgXUf54+mSjEM9SClzdXZk7PsGppfk/l1KiYv4W6oHzH6QQ4hjbUrOFH3fTW5qHbB
NBkT7YdXM+837OKz1UN2yhLcfHmMdEMbjMgpwrbZeV4zbjHeNfdBADOoIC+5gt7dIABQoxBIhhhB
RRI0TKPp3gRtuk5bJ//uFtp3UN13ymwRG1NjvuRt9cGL0Dp35/g0ltG8bjwt9IlWe17EgIidXWxC
mJownbzP6Pc1a6SIS/hXbc3YfFycBS0oJbqHr3chKqQt3YrnLSphk1WZyEcCNADiHtxUNPLXmMsW
WyfO0O4oraFHjDiJvob9IHywVJC5p14NW+XN5WOF8hE9lVBnSpqb0VWUONV9UaRMhsO0WHGr51/g
6kO3Glw0AAyI0Bi+VumhH6b5aMYy3eN00PtalAq1KcPaZrzUzPcJOnyPFe5YWzieLgwv1eQbZ3ac
rXIRTAyaKNpn+HHshjqlJNez+BgmuMGiLVl/k82cXxlSs0DuZ0LS7S5Da4QE1Ks0vWqLb6T3xhfl
FN6NIftOXzemKB+GOkGM2iz7kbYlEz8AE3KfaFG76zxIr2ae66AypLZYyzd8xY0KxDc7smu0+TDA
u7ONLnkoRIdiYzw1X5yG/ApUQWTeToi60jiM3CMj9OITSDE9wPO8t5705YZ0jLwCHOJFviqK/iqK
PfsmAkbxqegs4SP7Nh4xhxyuRm1Kv3d2Apk0Yua1KvsuuB8Q6XzJW6wGB8ewn6HLlCZHBPk5Aynl
a9R7UblHEQo4+1DY1Lot6pkTgrYfrcLNtzA4DZgKwxDdltr0Ix1c77NZuovI5+ytwzCbd9Dxk3WC
JumKHG+GLBPlcPJ6jAk2ztQQyZIs8ZNqyFaM53D7zbhtjxNVBUIh1ozCNU27tpo3bZyftAzmUYHl
fUiUX9G4ASwmmT6mRvWpsRJrkzog9+EFunW/EWTG+1I6+Qkz4vK6mzPzgHkxqdQ2zGHAMo5LK6/X
fKsdtdynXHK0H1OXwQkecXwzmOQ/dRq+LNSd3p4qZlyZWhx8BO/eXXMpZvekismzMqzyY1Kn9eeq
r5S7rzQBDSkOmFjth3JxCcDZAy9brSsebMsYC/RFQaGnjYNKYd+MyXEw+x/h6MHSor1zDUKkuLLI
bL8XFdCLCQ/PjaOlt3M5gOhpLS3bd5DK1/B+ymtgCliPybrqbuFphrf4kzurxM6SlkGqqKF0OygQ
NPjZcf5fABhiQs6dJle9a2IIF3TzEW+D/j7VaTLYyEc9qaa1uLhQIzeKPHhogWx9Q47wqw226Ks9
qce5h7G/c0HWb5g2GwgJz0T2SltULvvsEa3ksVujANB8EHrW5mts3XdO1Ou7eRh6GACR7Wteae8j
VN+vzRSjl1Xa9Ih9gwLx8QgJv0EyaGHF6eWKUVUIrVC5J0od7hM0KL4GOe4ZVSg/2coer/TKMPf8
LSaySHX3aMf2i5t5GDWX3fQtnINhN6TQm3lvU3Ij5TzuhwbtR4kq4b5epgD0V3gpgJQ+uUNkn+Kh
bKDNxRzYRkarsSCnwgtZ7oQm9p0VmffUIE8E5PROVbNzrGuYYN3YOdsqK4LnchlgZFAffA181K0D
OqRYCY0qxmzIblUr6OwPY/GhmNuQDFd7yPO8O3TelD8Esebcu7UebpzEMW+NaLB+GiHuhWUyVtum
j8NjgKnmXSFUdJ2JVDzaFeR1QJDIAfdfkgJ99yileU+43Q6VVaHgr3TQiL2DGyS6MWWXlvtpsLLH
joi76lVRMfcc9H2T9aewx+FDuboDXKmc9ozmvkaycP0kjLixSASPBFLNzy05XJPKucfRBp7UhnVK
/lsWP/suGeJN1lXfLORdvrRe18PzDNES+VbqSaLTqe+DKwbIyYZuCfOcsDVPvampaa1JoL+3cdaE
JqLWda1WVlNWYlcXaqY0ixoIlFOTnYpcFuDGJrmPENjeVLSwTghd/FAKGQkdQXgYh1Zz1Ofxuyuo
GkRm5niLC4qkGs7obECQymOJf3dr+BpQlCPnX3x2c+cphzO9tgOsW8kKsw3tju+tGcPVQ3weIiv3
6zSOfq+cZ5cSBKjFtWj0B3Ioh84ZbSKt94zvtszGK7sU1tapLRopKS6oYWCAK9CCnxF4+HuMFcyH
VsmftbK1p5Cj99EEoBhtkNOsYUA1SBC3nrGYcYlyr0vVgy9ADBr/BAxekJ15B3T8dxcUiUZXOBLs
reGZl0ptjkLHetA8MBv2gtrTaMbFVcmerPfU4/k/oamXnuuyGhQM3UPNHUbFn81jVwnVoWLa+FMZ
QsNDCYcZM0PbLKyyzdsd3r+64SyFoCDQBGHC9Lg0hNNbp6L9aPBgkReeVGJzZSSDcaN3Q/oOqwDW
yG/o1l9PBQkEjUok2ljxol9tpEKfMouliqbor9MM+KLTJKScbN5VHap8j5/j9K9Ncp7PNCzDog8n
IApcLCriAOcMbK98sIhihew3t3RDy46a1H7n+f7E4P96Pg40IwwXgortXODSU4L/XFVa4+dTZIFE
YzpPcPOSQ2rS0cQep76vJoMOYjZHN32m1DvrL7viv6yN/6xvWcxvHG/R6r/YNVNoV5Gehq3v5RoN
eMacK6ceP769X/7E8v5axDLZmItyIaJb5p9bUxlcF500G7/raN26Y0QWEbpWcJuZ+uzPE1POoceD
FbnkZvf20q/tH8t0UPUG+rmQgP5cWgpbGaFpNUuTZEJlQOAImiyNYFfTceSCTS2gNnTB9u1lXzv6
0DjIzfmyJvqufy5rtdIp3Zhl3TrJUNMfPgLFnf3QYddKl/379nKvHUiLGIN44WKAc0mDQbhZN2B8
sxwT6FNt1nuKf7WtcZl+J8r8JZu2hBlLChOAuyDQXMLN5Tz/51s6cz9+b897cwr6Fwxt1UoDUoQi
Foxmx5v15yhYmkkjrfi3H/e1TYu1JSwn2wKU9Nehca1uRu0JAIQb2g8Cx72bKiTEvr3Kay+VT7iM
r0DfmZf6qTaqY72dE3rOUQBgN6MIOSlUy5Pqne/32gPZC3PKtujKI0P553ZJFRLsE3LfoPvqbIM6
wlfHK99hpr23xkVQiwVWLlzUjY9MDsacSIt7+cPbb+zVzcH+g7nHVhSQ4P58DikTb2zMrvErcteb
sNfNo4nrETacY/w50ogwkNB1/AYZs1TA5Q5INL4X0f4+enDgcFNFlUKXtC4uIpoNlMNa+DV+CCoQ
rF/nrPHdra8zLYHbXcli8/ZD//1eWQ93Vkkehdru5dmrKau8CVk3P4f7cmU704MbGe47qcTfe9GC
VSMMQWvXRArlIoKCHO2wnctqH0fjft1WGAygGnXtJswy3n6cV1biITw4JY6Bcp17sU1kG8fzNHml
T2iDl661VxiYnqomeXp7nVc+k+Hapm7wrYhcZ9PZ32bdTpWnlmzc0p8xtGiyZ83L1klaLJT649sr
mX/fsdYfS13csfSonEWbCzG4QdK4L+xwlY/uL7NKRPeGYv44CfIxWHpBs6ltSFJ6A+vYoWTddrPZ
bROmv3tIgS0DOosGOGYH6VF4SXXsLIWU0BjNNwEg5g92jT3DWXKCuqrbZibuqUd3yNTtWPZ0sCeU
Wde02ZIVIvjzOw+6kHYvLnNucOZ6IMBgz4rLyw4/dc2SRc87baPuk8wL/dYYvA+T48TP+dy7RzDU
zE8zuOaAJHcu/gfMrJ2Dg/JbLJjMGnWVIhfzMQ8ojDo8JYoy/1CN3g1Q/hnaRlpv23Sk3xhbLgKC
iYXSxljCwh9M96glWr9WdmkDjprHTdehwsg6yYYWnnud2mAZkhRbHEW83shwXM9uqDY4mWZy64Wm
Rt04t/o3d6Huv70DXtlr4LVgKMMq9kj5lyTht70WYL5B9jHxXhKtvR4MCWJ5KJQfJg0ySFj6jv7b
C/6d8FjYFUFqRqNtYTFdHFdUp4ZhrPLSl14HlTMu820dNt21Y1XdPvDC7jqi9XqCixi+Q5x65fiS
zekORGegHn/VHE04DVrUO4VPm2v6PDh4I9bMe05IESc//vkhAXgQjeh18H+XqSNzUerNqS98XImY
iiDZ1dCu7dEFgW5yAAAWe+uWATs+aiZN+7cXf+U5F8oshOmzF6B5cdO4+GTSdioKyAIggeuxOIWL
mi/g9+af0wA4h5wnF4SRK6Ho/rl56AG1IdKgmY+o3KdpKsaN6QGNbjLL+udtSroBYApgFNXHX4rA
VVuWfTj0GbiCftzMDo1XK7kbR+HsaDy9/OsLtOHAAbOGO80U+fLaCrFCKuys5rGgm/laNRUlM0Rm
Om1mpe9plv99AFmM1IbUQDDQvry+arAhkQMY0J81+xRZ2icECF8SZZ2QfHgnB1nO8p8FDUtRljo8
GtfLJakYFlA8FRpADIQntxa9UlkK7HuzYV7Ni15bZr6Xjb6+Ig4PwNiWQ3d5vdiV6yE5m/q1MRzB
yj6XYImtJq3hXDgZhtDmO4Tev/e+rZN4L96Tkqvz8ooW6Omjr+qmvtb3xykbfNtO72JHf2eZvxOb
ZRlKQwjTZB+XDQWQ3CqO+av9QTMXyd/CPlSKG/Htffh3qGQVcKNYu5nwCi95vWigqQLOReo3Fh0t
Oj2ohvQ/3cJ5SOqOgTqu7xYkp7cXvdANWCpSVqWlAOVeoL19Kb4d5DMaTxHNBCkmuuAZWOx1UaUI
CUmm9PhatSuIwwhJIYkI29GdJdS1Vnf3narDQ8YceTeSFs2TqD8gtYJ+dFWRHCxpQb3ITAGLcz5K
ExlvNB/FO7/+1Q+DtDs7DnaOfflhgCREGZONzKc7XWyTSSZHTdHnfPsdvbrLwFXSUpImqMGLOyy3
a66RsMz8onMzWFWDr6cAm93uvazllQOL9gC5LXHIoYb9M74KN7OKqi4IRAq7uFQLooNydLV7+2le
i0AYvtKGw6mVZsfyTn9LAWaMKVTYayngITTLBpdrColHVJPa7BuKTP+eRVMzCgwj+NC4YFxWqDAa
nAHAVUrtGLws766JnYe8CT69/VSvHR7cbB0XSC6FweU2Vm1aGHPJ4cli4d2nk8GILRAvDFvKXRMK
7/uY4aFAt7B956p6LeYBJEV2gwzn76KH1qkeWfaQwkU077pCQyMr3FXJEwSKR8L1O6u9tuEpe0w2
O5XlX00y5K6BkCJO61dhle5zR7gPo4nu5tsv80Ji4FdQ4CW6JteRBcz54qaXPZQnQcvd9/pRf4oj
vdxpII5XQWINGbM5d/yYGF657stuuKunIr0VmWvtIw9M54xMIYPlpNoYNSrCKHCBx+j75L3q1nj1
zbuLNo7OVyf/+XMjN0GrYzKXc9somzFBVz8bncTq1fLaQ+x6n3pFd8KtIoYYhRU/pePQHgJZfo1A
dMzOoq855vaBLpJcOZNWrWTEc7z9Il85a8y0SUFd10I9+vJCzFx+Q6xIt8difqlmo9vpFWDKIAO/
Mj2/vdYrr8M4Y4zF0qgl6/7zdZjoi+uY5pLaB8aLTsNhkwv9uZ2ywndlkSDD53TvZBivHDr8xg2E
Ram2eMiLbTI02aSasOTxEvE5ikP01tGpY44BfwGOYP2xbsZ6Axpj8P/9WQ2DLiYdKRLEy0hp4zUc
N15b+tRqt6g4NnSlswe68SHapeETFIvwndz3tS9JykYbwDSofi8tbzgryHzadelreghpyhhAJRRW
9zBCqPNzh0L67Sd85c7hAcmh0IWhX3s+ob9F6Txo7CguebVqCJlc2Fjs6XVZbywQsf+TpST6xp5D
woghy58bp3KxccsLSjRDlsU99DH0ON3OuYp7w3gnfL22RxHMYHvahJW/2t8DkLhipjPgt3l/Qrf9
hxA1hpx8vzisHzwUJP65OCKAQbpATMhkUnN5AA3FrM1s58KfzRmMnzt+aPpmU9EHeGehVwIzLXUc
XFGzwR1ILt/zt+9Vzegx6gElYBaKT6FSe2+uT+9sCYu/4yKh/2ONi+Mm8cFLcEbkPKPOv7LjuDq2
ohUfzB5VjCAbW94ihDgxNtVm4d5+LMfGBSzErLb3mpTmXw8asoiZ9NoKBJxlGFv8/DI/trrmONt2
9GDKUK2LCQ2+oNKLfY7iAUxzb1oDgw0OkfAYUugQ5oSx+FUkjO8/zDIHbFUYKKaXedvs9QFb9LOl
zF2S6WSH5SL/m8bNXYSw095o2umQIQl6O/xv9s5kOW4ky6JfhDQMjmkbiDk4BsVxA6OYEmbAMcPx
9X3AzKqWKHXSqte1KatUJhUMDO7P37v3XCsuLgetGfYQTr5gsmsDrnC2LegVNasYoeAecSIx5OMs
N2Ef24iFs/GiEhbRoJhkt/98eX/3bLKLuwbPibXk0P18B4Hb151yeDaRCb/WU/eKBfhaWNrWKiqw
qWP1/3jtqLkp9mjf/8p8IsK3rK1Ilfuujpee09VoZoexKz8pXn9t+S2ZdrhgqU1o0/kfvhZI+dhq
JuIZEZHfSpk0aAa9tzq7Zwh9iSCFoFfzJWrKT45M1u8/ly4tV5TD9ceCzJcEncjRpidSqfkpnoi9
9xqh3WJ00fMNmhnOOLVdQJzOBmJ+MQgz3C5ZyGtzOIAZWdnpqB0svde2RifKIEQYygMnd8w7mWD7
6VfbGDio49QMCB2I1n5nOPRe3HkNXODOzCA1e7Ndr2BbClghMwDGlN8HuLf8hufDuEm9fN6RbFNv
cXTx5xhHg7jt0o0LnfqhtuzPbsXv1nSHiEH4KLQZrCVd/Mc1ItFbuyizodwTEaOYLq3UqO8yoxs+
ebJ+txb98DkfC6NBDkVeEWyy9+xcx/Hu9EBq4s0/vy6/2xABtXFaNZm3/UIl0mtTVjXBHHuGTl6g
Fiilbj5WWYymvlWfmM5++2H0Kzmz+LjbPh4inIbFqMx5V7TYKTiJzjvyHLYoQNFSd5/h+363EDi0
/dktsOz9UvzmsF2cFBXVvkmbW7N1nQAW/mOVN9+6BM1C7HxyJY3fPRfLzJsDLBIC2IE/PxdzK3Ou
L3VaOuXw4mfTIIO4GQ8mvXjwGOArhKxh+krfOid6GO9VhKkhInbx0ou8bOtXQt27WIKwZ4QRoST/
fKd/++uxINJGon/rf1wYxylsCWKmzBlr+c3yo4fYHO5yCx3J/+NzXI+TIsffxTL382VoB03BWnCK
PSdRSTeney2VNq6rvvlkI/1d2bqEF9JiWf7H/fAeWqOPgwPt5b7DMxK3SFzH8rYhCzr1jOu8qr8U
uf9Jo+J3D/APH/mxYE1nkaPR04u9Nk67qK+++SJH3O4cm2r45Mxh/e75XaJW6UWDP6KX9PN17EZP
yHlyC5YZU72QtP2d1CcnIOzAC2jfRsFCgA4KVuRNUi9eA81YlJkNoj/CKx4FTZXHsCa3pDdxLOBq
w2cUd81dNPsEPJZ5Tnxx620nd/QePJtVk8iSFsGU1k5r4sNpbVbmd300sbNAvJ6k/pJW/RVSHLnp
KPkSbxhXBanym75Q5p1EdM1mb9qfPE2/uwr+4tSlxcFz+3EAm+eybUv8CfuZbPq5m41Vp4tHW9on
eqaPXaLGTz7wd7d4cWYhlHFptn687DIFpAbtp9gnNVTpQfaN3L7zpy3gUeGqXTTp//zCvGsnPhSE
KGZMviCvC8fMD3c60hRp2l5e7J1i9oN47J07ERtDUFrKPsVVnj+QeANpWqCcfLcLeDGw7aKfiR9B
0rfTRsKTPrkMv7nuFBuLBZr4X44Ty8v3QyHsO8qDdG/l+wzgwSZulHNZxpSNKq3axxQGyR5d5NdP
LsSv4z6BKoGuz7Jqg18wf/5QiAqzDAfe6HYOkbJakdgiSLW2bQhJhFRNa8WTgnLSJugqauJAMZPB
eSE+C5u0frNWLr5w5BgLZlJ8bBXqSCOcoksKfMupxWhk8TUkFnBztNWlfeLKuIcuRY2MxQrAVE4T
2dAK5qgQ44eb0Rr1rVIhQHGxJAh3s/5EWVzu4pFHCsdUtkXUZ++Q5H9TiLFZsoeNcNJ4g1ZYrBut
XKh+tbuZ4t5de9HJrDLrLrPK6ZrXFhOa4kV4jL3eP+a6+6wT+/LJwfx3358JGB50d5nQf2wc0W5L
87az+P4kpd8RRIcW1ZmSx8TQ4u0/3/TffRTCa7QGuNHZNj7smgydSJxdtiVi5uK1rL3FzTfJDOhm
Hj3+82e937ePb9rS/bU4vbINfjz+l5qT9xBqOBwMxC2sOgbGmL1mYexCWQ2k6OXGyaj08KabzPHK
NLXo1uw0yPRWLneSvPvD+y/0X3zDJ/gGXi6TY/G/UQK/ALpvvpV4F/PhtUzon337N9n77x/8m+Lg
ij84CSFw5VVlzeb//Zvi4Ol/2EtjiRqd0xIsbtaSf3G6zT/4I4cutknxziJH4fA3p9vy/+CBpwtE
/CPkBbRn/wnG4a929U/PGyNzptfL5M6l+fOR+ZkXFkw3qau97ZaZWvcG0eQYDUbrygynyt/4ZmpY
kP6SptgiCq/9ldniJxVL/Md2pu2WBnGu8wDWbZeDCvBtR1u1jIrXjY/HpQtJpXHUqVCGvhZJD55o
JvKSeB2tJcLOUIKhaw6sXrNaIlFcerqEncWIQTdNGs87qErVAwf55kikBHYlZkycmub5PjQ1C9Yr
4O9N4+syJb+jqO+irJk49dR+7a2NSXfpkVsO0WNGxWmhYhUZV7r0CWzr0SX3cblPMBB90wwjehvh
ZV9O/MyTrYixI47GF1Dp8jBdGW4LWpTGa4s3yI7MTaWN9o3vRflpsPz0Oqni7nIYW21nhOmMNYvU
LpA4w0S9F2YEb6LUxdCfRbh2xn6lNSjsIa356BJlSBxeblv3XsNlNuC0LPajWD+WTtRvSpb/vYk7
c2P6XHm8AMaRqLbipiOiFOPvXNzqc17dpHRdruPQEyZVVFYeOaZjkvfIaszG2N2ivCVxq/GKy9Il
3n2jXAePRZNJ0ppKW3+kV9FdEDP01NpRd8e0hvgvDzIGsjjAVXJV9F62KxvsOVOemZgJLG9XkIAy
BQP5BZeiypK1svQsQB0wX9r20J5dByvZxnFC+2hp2KhbMlY2KPvO7nAD76Bct6OoyRjToUv1GL3a
yrSuDJDxz4aS0X1TWNP10KZ24BcODnWvC+wi01Zg3osdu0x+9PMmvPAJGL619U5cZsJ8TEYBV6LS
M6KeerUt6yi8U71dbxzN5kyBsVevjC7IsjQ9h6RIXoOod9chpotD5FS7LLU8XKnjGODtIHptrool
wqMK96kf2qRGFUSfjeObEfrathL0+1YUOcaZhzxakXxWH9rZKFZz7lsbw7OJWURIuXZK+7biaQso
Y06s2/Gq8GpnjYvqaS4Se0X9rG1j5KxEiXn8li0A3KiPwpXRG8kxH2LtiZIsOsg8rs82wIxLBYX0
6HptvcaLpTAdT0NA2za+soaa54bHdlxNkIR2UsXhqi/jZJ3qIswC6fT2xjOAVqmxs1dDlIgq2jmi
UJFx74X5lGwx9I4WqWbGLJweul0cxd55RFUPdIEYOq+/M83MHu/slgpJrOw6i40HqGlRutFBrEHw
0N3bzovD+HESM3nXPSoOcFN+hWU5dxJcjsaQXPnYHB99XBY6RkGiZIMmtOJmI4xKs58YB5fpYaxM
wHh5Nad8GyjJArJrRQvvbmBAPt51WdITvxZFWmpdZRaE5WfM381crueBID2i4e0WCpN0/Hk9tObE
yobdJHoujCRC9EZ4CPdHqwoez7FS+mZSs0GeFnlDfH2POXO0ztOSSMO6sLos2qvOE8/kmIzdm5v5
RuY8c438fgAWAj846UrLJisyzNCmYcAPswPANUAsq1jHk/alzHqH3Kwa1TS1VmOGvFjGtPnvTv2+
q362UzNs4mzwf+/Ul69Eqb2Wf/60S//1Q//ape0/cNAtEi4Q4ojHdI5c/2It+X/QJ0AhjIhmmchT
HP69SS87MY0iMOBiabIhOvvfTdr9g1M/jVDGosLl3Gr9J5v0x/OevwyzFxU/oxOKhY/1Z6mDzoGu
DKIoMuyZNHlRXqC8UvfF8upHkf0ZsGgpaH+sCfhAIOAeZ0t+819nvx3SjE6bHbWfJhpTujbgwnfG
z6IIlubHh0/BOre4TMgiYWjy4UzZoakZajueeLfwJY/mVN9mFWtB4gq50bUxXxktwyhRp9q5JVLj
/odn4OavD/oJL+V/PMst7R9KbETLnsk9/tiw7ntF8pByu32VO/lEFm08b6kngJYgabyYzLgBsot7
cIdjkURZSWDpEgia0NNo0UPdkalqAG0j+ZD2dgxFLjLY9715zLbKzPhv8WlDf7RyDZrzJMF4wPxo
yRvCHKe+MwPIzlbqEaqLcXgfC2gloevUpJ/a9RPcD7VbkriTlYwMxWyi5hSyYjQ6U95MxhfU8/Kq
IU3yC1Ci6aazoDqNTitfwagmOvvpoL7HLd9oKPPhIe9LtWvTqbwIDeBCeOg9I2CJLS/iUGdQnSj5
TGXAD44TgNmW6CQYtk549gcCollBJfxILhVUzYhYCSOg1hDWziQHnWAkt4UyhZH8i6rADLpTFV/b
eCgZoPjIwfF744R1k+a2ygdw3MNip0w7l2xCBw3vDMmOkUGxcNWT5pj1Zn1L9Fl4RDw77cD25Yca
QfDGsLrhISXT8KFOZ+eOu2Nu0K4SJ26C8uydqX5T1cj74NKXSMZS3WMxqZ57APsSs36p750FhOWO
ZERZXQlF19CSfV3H6vuIk/1eb/gRpTftI6UL8OgJiiLueuNLT97rY9qN5cVUgVcsCtoOa0C1Il1B
3tWKldPPOmahXG5aCUBxLAcqxNrMztKJ8aWSOA6wqGreRMg/RhlS/gDM5BztyXHFFir6+m1qeZ09
rVM7J+nzQ+Vxc5ULJHLqU4i9rYUVa6M7bX6Q4COYMZDF7JIDS30cZucIsT25t3F9JZAqEy8dDd8y
XRHwDhKDKZeus2gY1Usy1cMDwoT50q8H/iorVjtZcMo0Jr6xDzX3KsyWl12r7Wst0gfMF3wXR6QA
fP24CAaMv8VqiMvhm5ElaqcSU1xHgjsRIvNeiVKqdUESI5Rn2XNdM5Lc3Ny3gwmXJLnHE2lsmKDD
8OzoYf2GTGy+LMdY3ZsceXeEFIMLaOpsS6xt96eeQn1NyKZax4vr2tC4tm3EfUz75VIvj2heEg+o
Gr79jCM5ImeTOyEg+e6EwfPfLMzzPHLDY95mzyPV5THmHHMded/JsITum2iFE9PKLsxD3NovYIHq
JxN76UNk8mxijs6SnQm/YC1E/iJCd/jWCVdeydTmoVzSxaaYGwX6pNuGtZDXkqzta78b7eteET1R
Jq187m2nesFeztPqArJh869eLDyfpxRy0t3kLVnaWkqEmVeO1WtEyheCfEtpeCc5qLx/OS/mJWir
VjtPSpbdekrS+ZJ5avsoaZifVdUZxIvT/CM+2YAHA7g6cEY92XeV6UIMCadkB8+keaP9r3Obiqx3
lzz4+slIQHLA9gH9ynG4vuocECzmI2PSpcQZ3uudpOnFc4J3mjJosOZSYIiYtXKDJH7sL1U9UuOP
kdWLM/QUOBowie8N8D1B5XDCWlFvIvCvZ2fLc2iTPsr4nCDvCWDm0JdXfUXkNh5+/wgS/KbTW+22
0vOzZvdXopDFFpe3fTuTP7iyXWKUGzsijjm8InuUBHemcfvInONDYWb3LRKjTb/kifdCfU28ot+I
of8zi83ioJXRm+pFfIhnlBul0cuLqhjGTW5DzGSU0f0JcbMmvqQ9TV0dbvEFGXB1Mn9tEKEd5K4d
ITeMkisxk2VPPPGgggbgh5N6Ry2T9TrJ63JeST+sDyhkl4PTRLSsjouxSDKmh0Wef4/kTAw80z5i
sFtBwIYoz6p0k41ZaP4phbN1yTB9xFvOCwucxTglCkdZz0HzMDMAD0xj0A868QH7wgUBIjsOLNWo
mYG0PF7LcoGR6VgKTK3QT6Od+Ps+Mu7g4fpbxiDthVH6Vr4xufZvrRxHJ7BpIOMxmLmHtAi7YQ90
w906xvhSQvq76FtCb0tT73Fb+AbzTJ/sAzt06rUK2zerGvsdDGL2PDZwbwvzYVjFJhaMtHTqM0Iq
A/hE1m7RV8cTchmNCD9vevHsASuGlU2nclpMwHmWPeMnrtzA4diy85OByFa0Z97atz10oIOwqBAt
VBuGSQJwbwNrZyJo6mvFIgK2KJNmS/AH5B2Rt/I0ziGEKlM3D6gb27UVx7xV7YaMwnpVMhpZEcxs
H6XTTPfzaKVBs1CGkIvsx3wN/70iU9mZX2Wu28zFivmLTGUFOKf199Ns+4eiD9VNklmcKzhEHrNC
isAxc3zZTsZxYIyyTSssceu2DIOXSIF+FTUwS3TpgXceUEOA+1uNtqXWsIrTJ9eJANroatyKEPJx
7w/atoY3hqWluM0Njb0cjOMhSazJWuFxWEda5D/AwzN2Of2ADSkc8cEbpnDjj6G4rJjRAcMetXPR
Td6VUc/qqLwGGAXHRohktdMU36C2X2EUdC/8CYdawJmX9OQchTdy2ji7lBxkDxJdBNj42GlO+Rxa
z33qKrFy7REjDbTa9hSrKAM7b6T6N4nnP18LFMTTegkEOMx17Qey0Jpdb+T285j3ScLIJkkvRBe1
b4WVOvql0QryYYhuNiL7Gde+jrc5a4FdVCV6UW2COOzG9vC1AmgfdPm41AWyvsUcn6+x1ZXVBpJW
ctKmxWEDQyR1efyK+IDTrbnw67YSeGEY8a3Gyk5AiXhhG6RJZV8rM0z2c1zKr6YkZjJopMqWe0OG
4lIipanFPoQCErBgW16QQWKzOMvuTy8JR4mqgWb3lmQZNhx8Ouo7HW+SO5UWnklhWd6BjDLBDXUZ
QtFfkhvjpCDvXNrXM6Cos1ZJ8jqGxIq3hAFlwEDQbAQFRV68Fs4kv06yR4cSI4sEz8PujIGpPv5V
fNUJvGq6ZsRDgNr01uCU+X5Gscx9JqXMDWWoczdlNWXZUjCCoBpEtk5jMz8wYi8vchhNe6G347og
BmDVNSmZFNCuoeJwYmZzJ1VAO5eR3z8kphVdRwWVRmk78iqa338Lv36ytAVAFtb1sijPhfreQflc
JT4BMge/ro0blsHyT0s69Ku1iLlES5l4dKIFzF00/DoLHWoXG1r/ECfkg64MsOclcdWN2kUFzUJO
83z/fhjX0UJuqCi2nnGEFEGrlvIXn++z20054DC+AiMYJNLFpL5jCUx20xxWmzJNfM7yI+w5ZYcA
puG259i7/fr2nw8Rxu/OEAbyVc5LKOh+UWw3JknqNCG6faSZ9TFk2LqUw24Z1OSOwM5bynuLZuTA
jXmhjQneZSy52H1nf3agMT5Om5fzzPKbEGpHNuwvvv0eEnpB5Ge3FwmVf4BZ2L52SSLaRB2UOCUo
CGOfK9tF+kSMEAaptLVBAnXVSxSWPJilVR9ba1CncpT1E1lF4hp+43Q/UnF/MlP5ZaK4/LKLaxp1
HjrqX/z+zFkyd6Dpu9cSixZoS6CxkrxoupHG11rPU8dWxANmDDzxYP3wB7JPHclTqF5TSd3sgs27
/Oe7+X7k/PlIatEaFSgxPA7uv6g/IgAfpp/gzCfZpiZZh8xk6BV9fTGP2rBrmj5eszTPG8VIKF4R
jlY/pZLDq0vvdaXQZp9T2ppHzI/Afkn8+FMmuXvrORFYkg5kaqg1Vb2qO/szHTVTz19O0y5i7cWh
Ao9wkXn9PJi0ew3zjcLOPIFpCZQLV5/ela+2lZpYnRI8VH5sud8HUw178JbRltb6K3bKRyh6FrIw
yiXNHqN1j4fucmhM8TwsfP1ktrIT+XzWi4krY8L0LcvhBG3KI83ayNa6IMA4mXihC5aSfeSDRdWN
GLzLVFCv5iT0UECSBD5Z6oTSdFw3NU6rallhTDCzZ7KunDvNdtX3wot00A+lENrKahegv3Coe8cq
P/Q9CxhhxdTsHJY5l0QZ/9EsliekgRwJjWap1adyrm9LHFasKQBx1gKS5pNP1PVK6Akja2K1N+YU
SjqGBrk5PQnlw9J+hH44PESzRgcQG37+0lh9RkBYPrvDRR2OERcpSSK2pLabNnaUxXrQSyvMIS1Z
dMMBGzODa8WaL1SaDxVZdKu2toB6uc6cR4eMkoZ+8vIHIQV9uNZbZBVBmGDNGFCwe+YJLVIL58ea
JLsxNX2jx2m5DslmJgyB9ulmYhGGVjpRyruTAURZUeRznNbhD3AQaT3RPupAwgJoUHbQ2hocu8KX
uGsaDm5eLORXlfbZtkmIKugHqis9G3kiCQPv1nHp9A9dkr+4DefHeTLkM+EhVrJuVDJwqOTa+Qt0
6EhWJ9NiO9bOEJjIJmDjuM2sIdmFOC/KwLO7/NDZXvVKLkn1KpRBbWjmprnitc22Vuc1N5xEvQtV
68w5Rg79Tl62j2XBWWaCO3XQJ1ajbjnblbGfLxEkRM6JOZ/Iw8rHfmvMUXGAmcippXStFbWTe1tY
Tf+gG725IZC0erVbcmCwyquTNDg9r5tyZgcgpbV9NFMaSnWdy6vOTYAmhYLVpAtLb215HSejUAjQ
N5U9844w8oE+PRn8y06f67eqnLgqxUwmKafDlZ2IeY/irT7WsqYrZyJ9WU3+soXGBPdsbeUuQx6z
fqKZ7F0YZO68gPX1LyJDNsdEueWFE3HhUAepXambdlB55fCAaInj/aiSnbd0gNAUyasioz/kJhyT
kQ/N3xktRPMm8WayF5ziZphc+ZWMVY7buh1dG6UAPDfGaMkEf2mpLYXz8ltPBG4Z8B3J2QsqFDoX
yhrzg7G8qtOyvutZRvINzZIXu56AgzdFCngLdc2mHxI6I8vhNZl0DvDxJOpbvWy4M1VKKfK+F8sy
IuOCXo86Zei/46Xopa9jMeqiscq3y111miNQrNNAd+39MYRnQyERlXCCp15TlyKi42G1qr597/iU
Fo8PrvGcXDM6J8Av8wOIx2SfCwqqHEXSRR86SCmX9oAWaVwGDFRuQMORS7808uYE3m0maQiNcfy9
8WZ1OfO6lcGkIoqRcQFtexHdK11O2bmWiJVXFMD+Aka28ZwQrlT3sCChUHKLo1HPDxP83xUKO/JB
oplXEPkjLbjQYVgRZbodyH7J3kl5BEHOGuOmhOwcwMwBFp0Bu6Xg0RsaX8ifUGfQEQS1WT/NlqBR
Zndj/cao0Ny0eqfuSyB1q9BsSClZmit4z1nWONGHx/dODewRfeVRahAINCf8TYVJs6eeWeIsg49/
79+8b5JTRu+2rMhy03TtG4F7S7nsaty+vKBYqluk0H89mgmtSyloDZWVEZ51Iy8vZGVma8yk3oXX
tfVTZdBDM9olMwOjTXkxYv68HgQnrSDSOxZ3jdw43OXVyxRR7DSMYi9Gl3W2GmMuYWzXzZsO8RsA
V9YbONsLWjkO5XlHXP3F8jzXzbIMYzFuT3mb05H0E5eaN2v4cTZRdSIo0/gSL11v6pJlF+CA9kLY
TcE60bd/9jWZ9rERRtduL2kbNcvzA2YQbiB9yNzh64RL9+u9vPUI7yHno8zOxTjQRRJsk4zezS/v
e4PR0QLuvSi+dlny6TvRRB00W1y7kWazVYzEodQ+ZUhNRtqXsSG63S8gEjsVlbDgOBy8h0JJB5Jo
0nMjgeXkB5Xr5QVE+PLCNilii+UexJSHzy32BLltZoKHipEBOBCk4UGNlMkyoz+nV7n5RStIPQpZ
x57gyMpnzK7hkf6FE7y3BJlE4jMCxnqMynhcpxPlZ8tqIgOOOdk2ImF+S3wIxUnHYafgxYYAZ9EF
rXJeCqUP1UtuajSoR3rGVhJyVOgonC3wRGuT5vKGzZ6H532ZnVyuBp0jdWoqET1yqlfE/JnFcp5o
J7pQDVFJDU2be0mIy16bmbMFQztwMXWWN2ISW+CRFruWM0jOeBbPmqaH52mkX2bmU5EciG2rj6PM
aSIuSyXWalQBmZVdw9wH0+8wPh0iSNxW7bM/xLRMeCcbutPYJ9UlJkvji1W7/Te3DKcdgUf5qqTA
s4KEGExCvir5FbArJUfdzvmBtCkOMTKJr8FxvwyDzVWbXYLATC/mVRkyrkGXM1wuh7F+oipJxaqf
FANduH4+dQvBgVcj+GhjNdaUE1UVUkGqQa2HnhuuPJyumUlL/f0f319MVaRsMRox2W/2yJ4q2VQO
5dxNNzDk1baI02RXjRUvdEJVGblLkCKqoOga+zNiSPKC5ktJ8vaTNbqKOIfsey/mytnELQfY90ax
28oXAY/+PC5VgJpqjmTSnPsdjQS+8XhwCTTd98w25yaK1/MyieloqGx6Yk8BVVS9d+zC7m9Hwn9F
RZ+NKjH+o/L5h1FlUpbf2qp7/WlW+ddP/T2r9BhIessZD9CFhR30h1ml7/5hWh7TSw+jHH4P5wdF
kf8HkzxON8DVMAjaLueDvxVFwmLC6aMxWjB2ts/f/J8MKzHGLRrIH05REICYHWJfdpFwoyt6Jxb9
IMy02EALjBT6qdS1Kq57KhFHW1NJhXSOjUluMrJjqpWyBkIfJsxBNJ/pZUI9zKmZijkpV0wP2kte
LuFX9DHS+XGacyEeDB9Qwnpsja/UzNF9MbHbJ5FjPw4Ubpe0W7ubGQFjuE2qFGNeBQTlMhr5l8Hg
TL7caWmM6b1LS7KhWAWLiYSIprO+aiO9t5POTIHuuGN2F0NKc/beysLevWgBYVPv587YUx0U1pKX
AfGiNFuynRwkDJypt7OipTJnrVpbjW4FsWv1z3gVRxqfPVO8y8xK2L/qBq/RNuPe3tGtL5zAMssq
Qy4aJvdGrED6xVR4QZOkg3Ng6kxtxYHxzhG9eWjdLt6RiUk0g682hCksU8ia4OVhMM1daiZfFEvj
jZO6YUpuqLIu6YiFBUMXFnj0CTidGgHJsTO01ykjzcTTiXullnY1Yn3RrMBr8VH0sNqt59itbVIA
tfZs6Ll9Ofg2gY9d7xqHnkjJ6tTNfviAkMu9k64dfmk6ZXqHJuwsMuhaaeds3YLIL8jE6dPA2oMF
zHSDDAsP10AOqxpU59Hxq/zUSZdr2Rfg6dhhUEMxQxhP1LORF2iRjDdu4sznuoxEou/IcGv2mUEX
umuQVZvdiNp3RPThEhoXg7us062nwnAvqsJ8krNFNT632vzFz10SjbtodJO90HQvf0gaTID3jFuQ
BWz6kgpG20C/9Nt2Z/ap0tsDJUYJdijN7cR4jVoWSO4caGsbS9GmaEVgUjBeAbQfN5Megof2S+OQ
DDNg2tDZ0GvNkRpV6OMSm+6qqOqCcsDvkOrSzVgt3CAgrrbJEAKoK51K5kCl5n7JJrqwtnmI+uYS
SRCM2HFekSF0Jeq5xkMFH3oixsfNSlLcsvZe0+LbCSnCquFjttE8EQYzqGdDH8l/cJNwGw7qToef
S2II3hy6eOlFXWj6Qdoi23ZhbR595LzkJxrtptXQyRViSmCy59V29Cr6q7maD3rNq2mi1LsnzeCl
RA0T1Ebkrgjf0AIBKXVblW7XHRFKpIc2Gb82VZMfl7zhU+24/XqeC5BTdAmIQwhaIfutmAlQzjRG
J4VWBlGt+dpK0vyBzh5/s9nUOOYyMAgriVNLp/YTDe1mZB00MnoVXQCNxQnE4HrH6eWuSzQyENAu
rgbTDgPRpMYNv316Sm2lNauQcMoD7Mn+G9WEWntwmLcuL9u+lsM6c6UFjHxGCFDXh3K072orP5Mf
czEb4c5ven0JnPmSOMCX9RbtVTSeW5/yZC7MNZ37TUTnGS5xHHiDuG/reuep6TJlBEQ3oSdmT+Zk
WYQzMuxQPDgWrjIovO3aKPJvueA4YJYjSSBQv+/IZbv0arIO/Y7yiEYRi2DiXQoJgD4toP3R/TFW
uJfELakT5aaYmjJw/WHk2ZII/7kfzs5sizbQYr/fe03+NrsIiJmW+Efo8eCoGpCX4JfSq5hASrZ+
JM28FcZtFNe3A5RlzeNLzVV5NXkifc2X1SzrQxdVVNpqJylNcU7M2jlWsosDblizlfiFnt06fiKa
iQmIOX1HpWfsI7cFm5bU+Yo2B75OLfSPvUpIumZZv+3gjxP87PiHLHXPodPcjkOnb1kmvFOVaqMb
kAjRPbKu9GuTxGhiaK0uvUrNfgjqLut2Ojdqq1d1f2WTVXu2psm/bCb9PDdaR6QGlPXIJAXK76/V
VCAGpGGHTd+FSNOeW6CbXKGlhaenW9r9Fr9eRf6wSGgNxewONcyszACxlHZfcmLMt2Yxh3djNl5K
rSZ+HbT5vaul9zYNr1WuDa/t7D+RHXigDCSjkwEjc/ecqZc5binrD5WT7pDSkn2KcODKNKJ6N3rN
WwkZemM3c7vHQvNFApjhAc7oXBVxPpzsetSvYsM69768yNv4wclgy5s0IHWMWCtWWqSN/ovwxzaw
hB1ky1oqNe/Ga61dm6TTeeLWkR0y4CRnGfVesjAynnIgk+vGcnnVNBGuTHe4dNWwARyPrNDstvZQ
m6eG0eaqHiT5MygG4iBTuUfEZT8f4qrbdxLIdxJmOyriJIh8jQhF5lZsZgRIhr6LhI52A+EAvXgj
pKBbDq6ad0W8rriNi+XQ5jb1JVMhLSDznvia1I6/QroRwWj2F1NSsyeM+b0hhn3JXM8fZjbW1Cdu
u+nuCNu6qhO3eBvQ+iIlfEpRzW4Gvg/xsFUWYJtJToOiPdUUxlbQmzUDjovz1cQRmn5bWMt1P8fG
yU7saKs0S63aPrKew6qXZKQZYPq1pgMl7WWsTENhlTeRNrRM8xraKpyCA4m+BOavna4Nw5Dbspf9
hUn/g5RlU+79Xmc8Ymn3sTYu2zNN1crxV5pnX406hk+tzMtrPZLDtBYqF4z/1Jz25zLVvIPfZvNx
Gqx7MenyK3pHUg3CgsSpLdE4HCOt3MDDLkRFh4p91twMnf9WaMONEbuk8YqxO7d2eTOWmhbUGTBu
BV87wxfRNlazBfdcHRnFP3otrrApIYZHM7qNwddbm/RNX1hexX40VPiazkazGXGvHaDtmZu0GuKd
w5Fr5RFWEBSZ4Mu2w7MfYY0sdU+7BAKePUjED2hmW+87WlN6ybYk3DO28tfK+x/2zmw3biRt01fE
AoM7gcEckLmnctFmSz4hZMkmGcF9J69+nnSVe8rVg+pu4D8ZoIEuoA1bUiqXiO97V3d+dEfNCVTv
vZrKrkJ0NO4nVsN0pUWOHhpuIp8AkfRgGvWblwavimlO5Wqybh8iXjBq2ieTBdYDFJA+Dy9u2nyd
y4+qUV9nXXMf6O0cPpvtQFh/n5xZ1uzVjBuNXrpKAIKmRB2ES9VYQaU32bGll5SlvreYEYr4JIxs
1yl0soDRLEC9Xz544HdAy17S36M38HaL69SftcXfEa47PQ0t7h8qf/w09OE271DbfNTKe+d0zjY1
pMeK5rD+OZXi6BSmv638Zl7Zo5auo8rhgsArt+qoBAoTonSLUCulcS5Yx0PSjOo76rbpkeja+Q5N
sr8bSzHBJNbvWUxgGLVfKTxbNYhHDsiWmuDepHjJ6cYk21pF3G6s3FJcXq1WvNZUOR5B3uxNxiz4
SR8bcwZtzDzCY63ZpIDJFF+LzHa+UsYAn77cuouipGYzzRgYep5zg7Am9k1oPisfDm6/aAAa+qow
jUvEomLyuUUfTrkJmvGcySNMkNbFCf49ARZ5bPrR3ah8iB/poOgacWLQCnPgzsZf9o4xfpSR42xr
ttpV3lVIHkA09lFBccMy2X7AJbnlVTvY0qLtJB2qVVaWEkSz/zJ0VhcaS0VvNvo8jAsl5b9Rzf2n
SjR1BZBEhKOg8kS2MztyyJJGDoeCbsSoMc8ykeZzahHMmlWOd0wTKtVlx6asXP9xXpJNNpD6j2HK
2uria58lDEwSuEbm0bOImzzIamMVaZa5Av8jCsFuAo/Q2kPjzMXarTEoFrzvcljoAHuRCEutqMLU
GlYenXgcJwAYRO0OkAXoIBaVfBl9AgsZ8DcUIGoUwFTPUwnPTU4eouw0P5JgOa8IxMlXrCqSt4cG
4Ri7FXdiVu7L0nrwiZrZwrW+Z0X/XFYzQi6H9ricPcXobFCCsYAWr7pVZc20BFR2c9Ia+hybRTM+
IXsh+x9rwvPUUXRAoDxX3UyWMCJtOJnyppy2NQAgWdLUQN1iXlfTBmGSTzlzlH6oRqxoYaOFCZHk
GtV4MOvkKjiTFz27Irurk946N5bfhX1dfGf4BQJK2rWQSxkmmjJ4SYfLBHmJn7HPnxtLEsBv9fGG
Tnl/bWECZ+j2SI/WZHZCXHYztqt8g363Pjte9FVvG+z5xGtuk1FN9/WMtt5vHRHOmcvUIyr/glXk
XExzf0bXhV+BrpKlbVSQWPp8NlAhaaRlEdpTmghPhiFwfXe880z3o2TfQI3xanjLW1w5W1e0/R1r
7syToTZjtuwjTw3rRdO2WfJd82pioZxbk28rq12tmiv5nQheEo7HpPZCoDd9U1Wst4PRmFu0jVuj
xBZjSnmENuUClfpBV94zOAyewnR5m9z+Perjr2WpeP+U5n3fndwyei6HBZn9VMRfNA0iqAdhBOpa
wth07xbfe/GqEiuOj7+ByzFA3oXIDwCRQH5d3FlWdS/RMIQaDeFh19NvRHFirJ9VVI6MZ9oV7cHg
BSqfFq4EGfHrchPU1J1XyYZogXbf8A7+MjfJNxPRCbUT4xwkJh6hYLRQFIH45q9ZKUm2SFORk95k
YBufqAZnwCsbd4WOs7gfO6Mj8m6qSfRx1FamWtyElQEJFpaqq16NUaRoCAebJaeqn8fey/YDnN2e
qVrtfVqitpZfWJtqXuLjqPfOhuT6p5luZ2q1/Au+BXktUk18t9O2Py5J6hyQTN1qrWd16BHpbOgu
bJ6sYsZ33Bhv7PDypAqLBT/WL8sSDyCXZXxnTq4Z9ojET+RQoKVZiF8xS/hVSZPJZkCRuel8F9gb
sjAyi2I7FKa1iieUTzndHLQPdbeWB8R9hUkks0XynlNJc20kWXRxROfgZpy/olzzQfNdUM+MZ4yh
lnJETPtk8O+JMyE0ZxzOIi8ZK9rE5S72v6DoplXWc82VzJMh0Cq7YAxqltWIq2Xd+iMllixZtHfw
ds2RGhmwizgIwxKJ9yZBcbdnbty7eSHDLMuHzc0NueY0p4kmt4t1BrkqSSlhmfIeeqlZW1ZhEBfq
3V8H5dMrElm6OnFVcwuNbAvnufWPmLW9oCJKZmVQjUnrVx5qA+tHKYz66M6tDn+XpbtWUcPTNNRr
wfPrx07V3aEtze/1grwQn09w2y2MJT0LTvc1zZn5VTa8jKWCoPIV0uAsG0Nt1ETglGm3UrWnHUdL
XlODTkFV5qfYcT+Vnt9uma9r4g14+2PY2RRC35IjPFDyYbPLEJRyU+TwrbzeCNK0+7aU1b1Tdqe5
orSsmaPVAlUOynDrcTKLMAeND8Yu4dcD7wflD/Vk4lS29WiXEOOwhoyxGVrmw8gnNexvKh38IJyR
tmjQEw5fB1d+ReZANlh9hfmc9mk7GytWyCNH9CecxgWCt2nNqsU7WRCh3w3tSINQqp8X0RtbbxqB
URYuXYD6fVOJh1lqe0/262VwVIgYp/BZdJbic21pwCbjOHobIxNPnJ0PBk2k/EZDt1Y/WtC8MYwb
1kEq2XGcQvCACKxElI6HBOELRTfF16Ir/XsZa7yQnr2tAbpXzmQuz56wrgQ2Ik2thAGFp2+IYHQD
izohXNI4YeB53RkJvSuf8ij55on63C7GUXnOG8ZI6lbfOpFv+8773tx4BN3DKkTOHhWkub+qZREK
WcnVUg/fq46AoUxTX5JaS9a1ZdyyubVQGRRAZYsHVrJIP14VBVhAIhbGFhmRCyCvTcIBHbZ940xh
hR3kAv9hHDRm+iqYYnInx4GlfKjnhn/ETV4NCjmUXtXrop2KZpV0Lsi+c6wQZsIahDQn5wxiKus3
oDgxMac9zUiLcDFmibnu70gPIfEdDaUf4ONr9mlWR1ePU60LylY0NhWg1Ad6tMwuTvekWU7ebnKv
BflvNDU2oSkSoDaHHWHm+DD6dCMtX9SQ6TxHdlSBOcCa6nc9nuWvrZpc1SHv91sQi+AHCP0/jddv
v5Xnt/xb+79u3/id4YJzLun+969/bH//c/ytvFlqf/nD+ofd577/1swP31ra+X4WlN/+5b/7l39Y
cf8lEm/r/wKJb9uU/xFU9CsW/+PrfmLx3m+k7t3geYJ2/wDc//AN+eI3nDo3V++fHEP83582Xv03
DH/U7fpYT3Dz2t5/AroD8P+KuVvYk8ilFSiXTNMnZ/WGyf8JcwcOrm1FXOM+l8j73RiyHiaWzwbm
Xm9ld9CXXX2zqxii4yISMJZWMNwMICW75POClJWBFCoc1FwRcRf4YkYooCIDEi+FLnNnrXqldLVZ
DFSSab8co9Sdsai2lQHh3OEpcBGj8Cg55OaENKjzD58AKkWzD2sS7jdNgoOWLi/TeahvdSCNhJbz
xnG6/lDG/7AjoPaNDqWNUYCsD/hlHiYSH+LJqzdi1pcNJikYOMRO+7mfJQd+YjFT7zJMo33zKKKl
1w4eU5ZgRiST5WOIzdjZjL7LdKsPUZyu8z6eGq4aOsRfE92fqfSDyO2SY9mZyjODkZl2vNaGS2CF
G1MVeF6ouPM2JVGf8QMVGM4GzWJeW2Sg5TqnaQtuhZ9TN2lYs27/Mkat4L5M+GuLLdClE8Rok8gu
of1ZhZFo8RaK0VtML0RkL0iFDnIn0l0nAOX+mi9zfBncuVyXEPUgxO5cVwF4kfey9FOncSqO0xoN
ISJyZyHycJwCZFEwiLIezi5jYxsqPTZ3mWMK5nCjXI3Ue740JEF6frbNm/ymvPWyredvqmbwJHkt
DvcNU0Ft1dWVfiuDN0zlog69OXO12Y/uB3pCn7nM1IueEMfmZkUSmuQxhV2q7G9aMckHD21UABFb
U2Cn+ZsEoQYtYL75ioiWi4cszFXqNsU+9YvuYEVkzwqRPSSZVPfD1BVF4GqEiRdjjadldBgAiv3k
z0/oG0hA1Hy//WrfRAk5QqPVxJa8VzER+vrY5UeXWja8NxYg6JJmTMSoIWpNJNsYB/u7g/A7Yyls
5HXQnPotHrh+GQJm/ezPHhcEDbHaASkPXzXrhX7f3OSpI5aFT6aRPUmtMl6pI6/iEAXce4pV95Pj
8aGyRtPacKVb+5jVFpB6Qplkjt8iMmveFtDDtY/BlW74JO7egPjWcklpAklGK1DVeBysxL5kqs02
Jv3wLElxVO6a2FL7khSsE3p4GhmN3jsLt0Ceb4zd3pcKaYY1+0z5JZW5fRlfzNEud8rMzSM+mumc
ETW2y+PKJoEtEWeEXvKlLhL5yiuabaepN499uWS7vihQwREW9F7FHY16URO7h7Qxl2ttdwOLDZrV
PEU5E0SV5zJVdHkWaBqwuYZf60TvjXnvL7qDkp+PxC6bmgj43kvTm3HdvPSAEndDY6afp1aHmzcJ
IDtVakhPXaLqp1714yMpI9XBVBRranjOXkE05admcLojlVqEkABWS5rP3MXYiDzJr7buR3vihsYt
YSXxSpe+t2nqwf5uDw1OcteZP08ScQdg5J66zRwdWnSCmkdF1yd6MP6gsIp4b/jVcbaps458k+HU
6j/6YjQCUxGHrJOnGFAHWoLrtQg+0wLzfEKF4zI59Vfkqf1Rr8d0k1lzGjqFNd7LktUzIbdwVza9
eR/N4/zSl+nybkdiuOcJiS5TWfWfQeFFOFhjvuJz0q3KfJL4DSy5rSzpUPXal+qZyLxsy8vOp0W7
ZcW5qvpAa91tF+TNLaC9bq7JOLFQQjXdFZtbYYBOUiYvjSFBCmQb3xcjgUbRnajnrcwyA+jwhLRp
OCVRfsWo7p+N0ohfcLVm28X26w2qTG0IEGToJydV+snvlH/GF23cz9PQc1EQyX1XliLb+tl0yeq+
Qm7OB/XQ9zHRDYC89CGOHYOrEvGhKlkrYs+hE7M3i1NfA9e4JkcNiOdRc2x5MGpLPDozBFeodxpN
jrUzvydypLaQavYmZeiUctfObf0VthBiTVIPPCl/HZHx/UWyNu+z1s62NaGUT6KR7UNMW93ZAI8j
yLxG4kHUTP3cFr0P3Osup4Hh8K0qe2haIcaHLC1B9Pj0uHfFOM4fyBRphlJxbVMea48HLc6HbdQK
QiO7xjygXSw2XlrXn0bbbq+TzQ6AznfZmumU3HOzVa+O35dfva5wv8+p6iA7ujYmNTD+AIGQN8EM
WFpXEU7p9cd5au2VKwhj0EoeZ+hrLdM6LX7EUrREjVDyLbJwMEYTzdKiycMtc/wTYZ/dunSrck8I
VhqFtiPVd6pL6w0xWvVnL6ayfo2VP/9qxrG3LeopOvUi8o6DV2hIRpdmn/gesLRCADUb3G8gal12
7ijzuUgvb09K0LbeE3NLkrrWnaJOg4+yFHh15rJNDkX/mTAqJzAqsF3oO4yL9E+O/X0Vt97dQsP5
N53a3z7w+5Tr2uc5pvW+056SxHZe65R06gm3vcXcS1HF7dAmuXkhO2KN6rJEXVWYZ/LmaNCgk2ml
vGwWgYxsb+t2gGS8J8bUDA1fq7FJkKk8la73pvSFYL7UfLP6tjxpcWE/eoDRgdAn827sfItjcDau
JGXpIfL20+0FPNT02m2Xrg+HuUhvJk7j1Hud3McG9cxNUpTXMjbMZ9frqPN1NWDcurS3miMBEn3H
XHswMCuWYQo3SrPaw2e093jDrHeUYpRNi45a134c/EdhIwoo6tbY6ElDFUgkE4t9sbKuKqrRDBnD
5N9nMVYwnMNlOOrmnRc1Iy87vegoGYBI8YIc/M7w1iLV6m8Jlecdql+g4Kir3R3kUxW2WTuHRTS3
12rJKsLIq3qH18PYTbjMQvRBWjiSF7JsI9G4n5kFjKeJwJKZFBOk4F6u9a85LuZNpKoXu87ctSb9
e9NAX8vvp3fMHSPpbAZHHg1unUwQYzXa3kH6QIk7sGnEpV0v72nV5DVcbDQejH5a2SXXG1muiMJi
i5VGKvsaMZtuBPG/xx4xnoRZbly5MumkkBBtVn82Ed+z+DafiDDKLwOijSqMoIu23HfFZrAoHAbt
nDdaKtydgV7t4gp34lZw01cGNAfEVwJo13O06ysZwSIrjIWuwBy6t7NYhLyzsytiKnQCdC5LO3D1
kvF1aGcC8NX44DQN7aiLOe4dfS4uoBAQlJnpNLw5fBdoc0lAIJWxVTrHCuIXhmkKziGhO0MfHwc9
i591VWbPlsEMSBnoYoVQTfWlUp1/XNSt8Ce2oz0GPXQksS5NtA4lNxiQcbRP+wG0ZopNeZAdEgvo
NJH2jJh+uWP3i9tvZi7d1ldgJLNAKoCp5C4asElMiKopBoW9dbTWPAGSzme/Boj1VRqHXVxPh6QY
l3XM4P+ygHJLy3mKHYT4vZGeixTQMTOtQ65c8QXrvQHOQfAexei4NN3ceRHLYOxnqiiCYUzMVU1o
yroyl7cmwWTpavdeBaDnI+dbZYtAuFnDzpRdMW51ksJChTd7YkU4ppnI1xlRwbws5gbrvRWyqfYr
M2O4oQUZEWlqnvBwvmILA6sdaECNlcpWSnlggXnGE5OPcAE58AD6qCooXas4wFoTL9J7myQu5gOk
wyUhGuyT2RSZCr2pJPPFKZqNIMkhXLSJcB7Vm6ulnNnBqZ9yAVCCJZXm66wZE8AjooTc97YEvriX
yUluoSmFOuHRVm+ExayNm9ol71pnV2nRfADA1mmmztLVEI9WuHgN11ybpPu0cr3N3HZLWLWYWmar
H4Oq7OJzoWXc7ErOF1vnlyMZdp0uZNo4ddV0gIGoLP6kH7v+Lrv6c8zBP5mCUIEhuoC3w9/1zxmj
SQR8kPZeupd5y1qnTbihm8XjlLbxODxaelG/k9CH/BOdg1r9/Q9nv/2zEoytlGgrMrFJkbBJOvZv
W+uftlKUXDAhS5XuxYT/fZGE/+KISS6e8tXD3/+of8qssNlnPP67bb8eDbC//qgUJZQzJYhGb56E
Ys1nhKb6Yo7Lb3//c/4poI3fiWx26xa5p+PS+GtCrCrnGSUKiTx9BW6cEDW8d/ofXvS0Q7ysMFQP
fgIrPlv5W+XGbNTjgoSYko3bcg2vVqz//iH980t8U9pZt0TpW87oX+NMe53AnY4tA0s68Uv6zUZn
SmhG0rH8Waz0OGnep37gdRZkH/z42f/TyNApfW/Ktvze/YoF/cB3/i9Q9P8VfkQR0J9epn+KhzuV
BbGxf9Fx/viaP7AjgKPfiHdzQNJdXRe+TXzMH9gROWzk0YDZmw6B1py5oDk/k+H833Rd56/or4VY
5RP9D0jJsn4zHUy8+MB0+9ZGLP4TSImi9l8/vLrt0BB0yyc3qQminOL2ifvTh7cCXycLYUavDU8l
gFxzaIwxwVRi146ady6RjwWAeYxMOUjN6kTOhxZmQIIfbYSCCPQkJ4bM05N6wndfg5UzdjvvC6bJ
NTJ2am9x+M93JexY9jldrPqubBf9Q5rxhHuzp6Ez0OkIu0VKDIO5pUy8fEZj5qKFrP1hOEBmN+Op
4YReJ53iIp7hc9APOjiYOSZC0UddAGNxp/c4Q0lu8bBxy2IxVmC8X4beaNYGzMveGibWwZlM3m+U
rwLi/oj19D0+sGuQJ6gBy0nSE7m6454h191pRPvvhzKXQLBpMd0PtbY1ZG+sSsPHTjfRT6JlHcRv
XN4eFeqOz5PdViEkPcqTebpLfAEUcJNYCAFFI6Ju1ZeZZMlzzcZmjiw4KhhympZLKwJTDnjleZb1
pRfX1EjtA+bH9oqJXzrHUbj2O88IxpvWl1HzROXIsu8aq9Wso9vEk1rLhvgaixyvatt4VUIGwGSM
JxTsOMizG+ckhF5sEAjlA7EwVpJ05o46kaSsSUdQ1dC7R8CnArYeHzyKYACoRPUSpomQU3Iw9iJH
LDUw81OX4XQwrbROqX3saa5bITjnVh9MQzy07Txdobe16cMv3Ep+91E5fCeGlI3nbBSklotHF83A
xulSt8TU70buS4V7/LbzUtOOuV4dHOQ2PFGNiohXzXq5T+H+zHWTqXshymatp4jl6I0fLy3xjYGe
ppK3JeTnaq6I4NPAnQ6eVCWJAPqywZKttorEGpFW00Pn9BZWPS0zVqnPPhBmdRcfPK9zrdAyebZD
Q3rRDpQI1iQj/HZPunGzYcRu30qjyt6NrhYmFzyelqCpb+CSF3lQ9Jh90BgSr3ZoTSQylhlnzDNI
Q3ZW0X9JpDV04VJa9vVWOGIzm1QxWfmWfoyllW8QKmvbwbQQuvLjTkB71VYsYroviP64cd2evFgi
cqEJPAIG6bFWx5vGDKoIeHLlKafYD9jDzmkXSVj2LrPuHE8uh4IRG4JEZ+nqkzceI/pZHdFUn8Vn
J2kZunvLudNdt31JJhV9SZrE35RYmrbQltZa1YQN9sKtnmW7nAm2sO9v7+wLIKe+cnUTUWwtTouE
+sHg0oWeWdms0zC7PAOV/r2kSuZS2ip+iat0OTa1RevCoLJdS+BcMKdOvJVyUNsobemdqKv2wxjp
mCC7wX+MLQ1M1fSMO5zEnxZDvxSmRHKMmOhOLYPNpFFrOynb8bNd4z4KpJpGpGWm8Ur6CjhPPy8l
d3Ommw/EHvdrUbTmd831kH90PBsbtchu33fZO6GZPppsYL2V1s/kMKrBsR4rc5wSVEtD+W55c/yE
OCXWAc8b+ytqCwxXSIn5HpW2B5MzQiZWLcBMlu1HHRGWmpADe1JKknPktDGL2NtNNu0aI/ZaLyDO
SG46Oxa80fsuPQo/6Z/YMWG+eH6eWrKyeFsjUDJmcnsSLbRV5O80PBsew3HtHrxGw4+IHd37mJwi
ufqZl+6GqCw+3FT3V5lOQlVQ5SSPrefSIhNDF/h55UOXN94eZf5EeuFsPwrCCnK2wNkAPjCjcOzg
+nQpVvNko/513To9y2zgZO9180uZxQRuJz1i/1FYcjXpjv1qe6O/MkW1PJQTSinLbcbPiD6YP01Z
noysovlwcKd38h7QIBpm9z1GSMDiUJPikSXtdrIM88VAbHtZROpfBgzA17mwy43I0PsbEMdHSjP0
R3a9RQEo0QK4Kcs2Xrdlrb95xGOvLPpPH/CKlR1ywwR5vuy1wGIh+g6brO+KoXBfTUKQNcJIG3+9
cOSESTcPToD5a1wVJSe/NyKBcb3BORn1QpKnrZlsecJ4jmsQRW+0k0PpN9W1FhDKXa0PPLN+Mn9L
56Z7pNSklmFtRGQ56TMl6IlAXxNNtRMIHO77pZnnPrSM+hvpXcRHgltj+DPKE5JVGeLhbO6Wohzv
M1dbAxz5pxqZcxog7U0i7FmaOiW6qFfw6vJL1g7410i2P7mVh/R7FC3YGFFUDxZxH7vBA60rpygF
jYksjE1YEi/NUKnPObjN59grmitygwjTWZQe+6lGxApb8Swaa17TzyW3M/TjOpq7GqCxaJOVxW8L
KMMa3O2LbBnQ9br9s0XS3hykVlusNECh0LEtvIZ6ol9rGBBz7XpReSgoKu9QMIzz0ZZzrsK0wePl
lZbJ89iNL9aEbsAeEDUj4mVzR5e7HEQqnHeD76+FZVSk17hLRthY3f88LzZKWmvhoveIzbtZddt0
A7Dp3GGIr55IcGqwcdsNVHgceam18sbprq/LZgN90Bfhf4fjfyuR0fCcvx2Oz9++Nm+t+nU6/v2L
/piOffs3U9BvhMmJOZRBl+/3czq+Dc42MzN1cb/blf4xHJsMx0RKUHMDt0r6HkvgT5OT/p8Mwwjo
/zIMA28ya1r0CjOU2zywX4fhzOw1Ha/fcGfmiz8kp0U1hsG7yCSecC7uBje1ZjiHdEDcwAHo0QaT
qvHJ9hqHWNguesxyL1qCgod/aoR0LoBszt0koYcR3GlkNrUZ45RhNqiol7R/sdo8PzeeW8vVYPj9
xu+89GxMHmp8fB4oGgcy8SpKJUIk5Oa5I6iF+EC93uiDl1+V0otrR+j+g184qF1Ssno+YZkZD5aG
8SWYsB6/QGVEnygV1Iyg9kr/IaNV74EqeegtteyJKJhQubnx1cHffjMDNw/gU9EGANG5LBFJCNpo
dgdVMRVO5DmFg0OmqZWQNBWkUG5PPQr0N9fNaVBvywjUfXGma80tfnVcJ/lcE0NGKGpJf58ZD8bG
T1ymP7tOHuzJketBtwY+q3ox3TXxyC1ft88gLWTtMoCic7eYKEPdrJanoutVqIvpq5pIawzMQXEI
aEN6V6eFVAhD7fZLWiyMADWv4XOmZH72xiHZaF2yHJqcTT9ImPlX2eC5oSww24I+a+nV8Fu507L4
gopKbrCMEeaS2GhSyDPZ6WPJOJEU/R1G7RSZfu7g3M/H+ZGTsd+oyVfUeSvj4iH/3M2AEie31sc7
DsR5B7BgvsGElweEzN0j3RrZxDGoqXVhVKjlmwQ/FclS/WkRtb6phautiigr7rVONx+72epecfll
32cAqCdj6NOVwwJ0yVtbO5tEeMWEIr/wXFVzCCjgc+R6+YvZpMMG7LBYFZzVcMhq2TIUapizmumj
Htv2AoBd3smpm0KfVIc6kLxxYDOgX99vSRdNWDcCI4W2mAW4HnrYtcV0cV+0xE4Hjl9365me1yDX
SyRkpE8ie7XeBmPwjgXUzRaDYnW2GhGHfUEcs4YTlSKkmOxNofnTemD4vauoB6PbrPJ2XKHZN1nE
8qpXgJGpipeLAlevAmlH2jsaSFLPorgVZAOMDmYLYKH+WKSOizgkSQ4pe2VA6JAkKDmzX5Af6p8b
Ej3vHF/p68Rq+1PqVuT2llU93GM7X16JhqAfRMuq6YgZN37CKGxfPLh+1qZ4OwxucU31tnuAcDPW
yjY7oPSBKhLek4Ub2LhR8Lh3OLicluT+oEWHPwap53BJSxnBPYpmb89czgEuH3BTJgC2XID0/BPH
SMVcA31bxLW+HvrcXqdapZ/cRICmwuTSMUnO2hrgtb7kcR5fmsQySMJyzC9ZmgEN89mePrdR4oJM
e/386DjKjMOqyKjXlSLZMV/mh34ZINtzzR2jcCDocdiQ2qhfZGRiO9LsQuVnDez+kysKiCJyvCMi
Seo64iRJYTeWvPzIhE5YBoHY08lc3JxbXtkpKVPzoH2Kh7b1CXa3aZ3PNMrmzVRIajBlURsbQrIX
7CheNd0bmS4+N21U9CFatKaqN5lT2vp0EqjMJzQRZpwDq22YTOLcJ3RrdrwYPrBv9UdCVI3ZeY7d
vOoeOpOkKJxbOZ/2w1IZ2P0IWMUsVa2swVDjYyOn2HsnMSZin0vcTB/t53yQI+0VXoWaeaP1fSc/
iNushEIVIZqGiwsP739Bsn8lsjIRvfwdSHb+Nrx9/DoF/P4lPzEywVVPQDCJzEwUVBJyof+cAm7h
TT9BMYN7/5bAxZ5264O59Z391FnZ/JXtEIzkAaP9GAl+isr+AM/Ro6FWQ472/wDT0XX9ZQ5wQFn5
MeCtlC+A9v8FZk46axqKpjJPbtS6hDNYNtuSwGFoLxmBhEle12ggywNgeC2CUtR4URYsMiPtOdve
aOs78sh648VOFnUu3axJjjV2H8ykVc2x0TNkfzIHa3jpVN6supim7KSaDc7jweM6rDqJxtJJimHb
j7N46MlJei2GaLgsjR9NxDwUt/1/aUhAr+ETNyk2kJ1LxCECYDVQYlDN3dbxeYhBlXChER9dsqlp
M2EN1kwxwCaZ0DztgL+XfjUpqX8lbpUcNZTS6qOG7ruksT3kyD7y6RKR0oEwFS+zviKsE2WQxFTk
7su5sYBWRA/gxGeVvzVbrEC3LI0ZgZFdz/tYK7BP5fk8IdjiAZZHK1oI0+WDnJv3Bqr1e9+S8cMi
1XCpM+gTieJ4NSakRIUR8cZbOTbu7tYlUIfSKkkCTbm3rkw3io3DanB8nkxlPHdV1blLhQpKL7t6
Fwk77bd5ZKCP30KDqHjjNqm+6KtJ5k2hh6rwprPpLjk9gayA2t5qRdmzLMc17i/pWF5RKOJ3Mi3j
sK0yqzUfiJznzgZLhZqy02iYzqoeLD+i+SdtfJgfvCIbjj0vDnoT/VuM3TCRETjJrG3YykU70g/R
maB+QASUMbTML8mKe8Bxyx1pfSI6Gg0i8VVttcPtjUOixgKJiRxnkiOkYO4Q2XHour6v9DNRgrIz
8Xu37TBy4KrRGFvxEgNoGssrh+tcNB+EzXQ5ElS1LFl0/98D799afBBBiL878C7Nt7gsfhGU/v4l
/zjwnN/YdUhQgFNGy2kA7//jwLN+g3oib56dyNN/bEQ/zz+HuhjKuXy2E/aTH5LTn3uP+M33fbLt
b527UPK6/5/sQaZxO9/+nO2Al8tGrWqggoUW0H8k6P2JFFBtTzNq76dXqQgv9dEo61ONEFk5Fz+q
LOvecuqm3ZZk3DSbKKLpyP4/7J3ZctzItbVf5bwAOjAPtzVXkSySRYqDbhDsloR5SgCZSDz9+cBu
2ZK6rT7+/9t2hB1tW1SxMGTu3Hutb62UzHyUpLTPp3P3/pIENA5XPdrBwbmkv79JXiiNwoTUg6uq
lTUp5zMurbuh7MxPldkq4mYhI2fhWlhpiJeJoBowQU1qF6HcN5GbbCsAMKeFqPLFgX7TrKK+C381
7ALnCKXDKSjcbtU0CYeVISgvtKXifTI388aJSvO2KLJmiTPzx3HV2aIqyPFoBYwVxzU+BKbxa8iq
iy+fEQhWvoDmKEokbDb5NeqF7BhIb/yoGAFsXWpVfyVqP70IGIf0e5pJ38kRVyyNcFWJrdPyjVch
2WghFOuy3URmyi5AUAyQm2Vir/xfMyWHD7300/zsQSbYoFMObjNhEu2h6ctn69JfOPJBuniYoynC
QmaSNMfxaRjqDXdCv8S6wcdqRiz6eoqTh8B1SMvtG43DUfPrHzM/Tq9mNU0vaKksjyCQyTwmsJm2
YH6BUENipBMcDD7eg4D5zrMWE5muNLLIOw1kdTL62mzoptBiw+g3h4x1VTBiUXV5JBA7cu4MMHPN
GxSgvXh3ALwONFD9O76JjeOzkNW0icp02mTmiE3FFD6FaZ5+CURJoluSFYc+c8edShx/43XZyJQk
De672Z2AOJO/vbH10NxDjSIeqEE1YFaddW94EdgtWfmn2EW1vBLC8z8pRlibiZfmjHADb0OqGyIV
VokmEnvX1UZ7Tfc21zdmPSLQOBHqqsJ2HXl1TwYIFwI1Cv0nKnS36NLmOOMucFemw/GIjI8w88Vq
BAlxTdwPutcV4tcwZMugoeBuqpmrdz/2cA1WsyWDh6qtUV8EBkSSp1LIgATahn65TiP6v3ieEC3g
Zg/6DTBuJFk5KObo2m+Zq1VdAJUoL4MiWJWhroxrySmlh8Y/NefegFgga5TMflyrN0i49NCLXo1b
oOGVPpIYQbZMj+YbPS0g8BR2Rmk3B9CDWGQHJGDMfuaFZYoCJ9jVSZbdZZO2MHN2EvNtwymFNzsO
sdI5rcZow649qnUbt1JezzQtOrDXrrNuUu7mppXLMAlaNRHtuVFH9BFqMwO2W41VcDPNlTqj5DP3
zNJHCO8EFPPEuYZc57QtN6URZOgQSQxgf4zLlEga0xebqgzVi007YT+gNE5OrtlfIF7k8300Gr/h
zK15p5gTUgnRT/TOQ0O81Y7c42rYJaNuXiYYku4q1GP6OEORavZu3IoargO1BudcLLwHViL94KJk
bo625w8458vS9veliQ35CFLFOTpNK77QufzgjTDoILv084MsbNkeFHk4DSAUPW3C1rCunB6ByMzM
5R6yGO8j5IMc7Op7eDZUKIaVXb6fJyc8Yf7WBe1IY5quJ0s1V4FDgvmGT+JMArl4W1pJbGAeLa1m
B0k839iz69wbnN3kzhlTkMhRbl81PkZJJ8yNaGtk7UIUTickoDNTLdMpbe5z4Sb5r6IL8rccBeYH
R5TyddHoiq1oXJd3jQp3Y+Szs60s3xiOIkncNf0v0BBMhBJxxR9wMTeS7QmyzvZbnaz8cK7SEwNH
z4Yy5QZea65yrO1yM41gMezeN5OV54uEGRihwQcQCg5R13RL6GQ1oEfhVtftyOyCJsejpRPnicLl
2eURHjDNTQX3BkbiwQ9VcO/DY9kkQ6wxT6fdMWCSaG6hZhEHYADHwtKmpksd9+4Z/CIJPZUgveNG
iaa5IZQQDkPYNc5LN0wvqH0lyQZ+NmPJyuIyXEtpDj1H+nwabyhorfOsrf6CpwIjLEOAKbm3JhkL
GxcDVBR9qBzUp3SEXCNO4lPXs2qc3bCwdv/UU/+neoqew0+jfc6f1f+cPov+s/6upvr9x/6oqQLn
lwi5REDo8ZKkt/CtvtZUgfeLx/+CWO9fddPXkspCTMFZL7Q99BkBZ9B/HynDXyL+Oo6VkY35B47x
f1VS/SlFF3cyAMzQWuIBAxcJz/etZbsTNVApTxwiCQt5XQuHLlrSiOIqReB3xcC3kw+J1+OLMbN0
PMqsHu7TFpQ8kWUWKmIB3R3qaMF0LYhHB6gJ/ha7nRI269jN7tHsmjgfa2eVREyh5slQ56SwEPMB
eogfJ7v2XvxavpWWhoRbVo+yiz0Stpr5vhfRY0O617qskcqvGnCD8DwtOryMiuebkfMvaesoJy49
lunV0A7mS1TQ38YrkNmXulbFqRfMypsqRDG/yNsUcRlbEB3TuZoa/IWGZV3imQzfChv5l94WONXb
xkGXJyuUy4nkWLZCAo4BSMKqmFUfrWcXQPz7hSpmjApLziv3P1sbRs9PK0vSZUOwSYqdZUfNOq/G
44wNdQ2Vix/sPdXb8C4WU6dfRVX0LPO5S9Z1GZovxN3MN34ro7Vng7qsTDhhg+rRexgjn27hV1pB
6tC7PhuitcoawlfTIaJUpIpipqp6h+DZPByrjd0mxus4khSExJijlj861rUI+8jcK88qn3RR4hWW
yWi9iCpEr1VMqKhROKbTbdiWxpc5VdF6crr4BHk5/WSU/XRuaY/t33+/fvmteLIFJBj+82jjYq1X
77zRwMczsjPFWO9JOZLAHiBhZg0XuSeYg8WSRIZVMGT2dRJarNCrcYD+eu0zn0wPcWmRNUUDUzi7
1Atw/jqzg7ky53wOoaopTrPbHKVwB6i6uRx3Q5bYL7AbQ39ntTqE1VDAxh2HimcBWMgpH/t+w6eD
yeh7L9uyPxCeBJP2SRhO+ZC2Qr90bdpfh5TWj/ksUXM6tvA39PScU+2NyRXpKulzTgrECkmbd2W0
3OwQGTw4kcHL1hIcyjqfaWV7s02KLV4RTDZeh9IC4pa/gH/m17lWeh+6fbRnP3e+KB8CEb6XqmpW
ljNPHLftPCt2Edtiei7Khr8rImlm5zcQKmzkHyhUs5UUTZCDUC/6SwxeGz62KtbOkoA4D2Z8U/lV
BkQtUeHeGiJrJ8rUIX2J/MQqnIxmVTCHLdHsZlW4Lyyzfxga9wVqMiwBz3ym9aCBd8tukSsA2Zi3
iCFuqgRK87pHi7iD+gvcKkBWhVgT9SsxTDiVR9IfOcU3d/2SCNkv2ZBKaywz5EOcRvDRKwbDHJBw
oS4Ik2FL7ux8wlpA2GSB9GatlgRKRDvmyqs0KupYQJ9SS1alu6RW1nadyTUN42JXD6Ra2s2wcO6X
rMtxSb3sWqe/GZkL3TKfKq7oeXt3iBeA06QSR4QZLPGZyXuUZrikapbRUsuryQxe5EzqZrzkb2qR
55/xFx+F5tbPS0pn/R7Ymb+Hd+rcIcjT5Gfe5vd4TyNfoj6h2HcPHS7dfKuklW7HVIJVIz9o/oBZ
w6TvTWqodEAuz2bbPOFB0Xu7C4iNwvjSAGNLWhNPnZ5p3chywKme1gBFxxpZtGKhsFZjqcyNXDJM
FQm89+k0988R39850rCa8iO49KVUnxNQsaj88cuRB0XLJSwAsdUenWyzG/FhpkFjrYO6FWtR2umj
j1uSo2iJpIPjZn4lh7yAjyqydGXmNpwdx28pliM5kemS1Gulq7dmNrutyLR9bOIuODd6NB6RSLP4
jzYc20hNOdiKuhwgl4azoBeGXCpAT7KBIjrf2z5DhU3vj/Hr+8rSFUP8JZqq4lQ2vKGciyzAOstb
BLHWe5hm1iihiPX2DZNlVS7kByQH7DCCMnM/wVo9MlywXV4HZV8sb/kgRCrTBoMAv0kpQZ5ycEcQ
kCojqs9s2/oMbaPRm6YhGrwf0avCa/Wu/imX/i/lkkNXhsH1f8aLPn0WRLAO39ZKf/zM11rJ+sUN
lta2Y1r2eyjxv2slMKEIn00WCRaC7+GiNNnJJGZqHljvQnMqrK/9J5uQRLo8zM8pcRjkB/9NsbRM
2b/pPtm4nHFMU47RJCWfwfxhCh9a9FEyDCsHwCO8XYQQrPKkc1bfXJO/6PL/qKcO0bzyHemyLUmQ
QFG/L8hipNK20yQYSfIaPq80AQOHHBzBHpK0V/mBcyxnRKsbnuH29eefvdyvb78isBSLDpsZEkdI
F5CL/f2HA3QG0lSE0SGBfUoAjoArKieLz8UwcMmJQ35Loqqlk1NnzqafdfZ5MrDPbn3hO6SnWTN5
MXCDBxmWa6czutO4qBv7MK8NOgeYEQYtYG4nCeVbH2Co9Uu1+X/4EsiWI6Z8qCaQKn//JUzhtg51
VHSAkGJvJ7rzO1gZ7jELlP7QOQTLxVZB5phRsW/TQWxfVURQjtckS1criyZ6BRjPG5ovK1PO2R7C
CFENIfZXel3FLpTKeqyycdhpDn6wbBYq9s+/A4/sn+5DGDB0ouGKefTHRmfvOlROAW4rOl9gzfFi
40lBWR80+Zeff9IPLdX3Ox6GTMrc0IO/uyi6v9VZexIpWGvxSe9pDogHuHl+2J0A03b3IP2r31VJ
/3GI9cNL9P55kRlQGfCIM8hansBvWri21dd1ZZR8XpKJe1aUfjWPSXT982/1F9fPpV8DcThEg+m4
P5xqIuQxYYml8yBIRthD4vzSOlF2KPrw8ecftLTEf7xTns3EmaKWdeFPi0KOBi9SPIMHmw3rOAfg
/NOIZ0ZrbpwmHALHako90zRDcdGS8AFi8AoQkbjJU3agq8rzunuh/YU5IIkOaMGryJWkKDwkJSz1
poR0nvFsfpAJ0PO1gy3NWCWAZzmYJHzI1LpAaEIblI3t98/Kn7PDz7+k834K/Gbpc3lCTIulgYAf
RqGRx7H427sWg5gZ01lMB5U7pKcnKBKDJO6PtFIK2AS9jRa2+UI9YWy8AmYOD29+KKt8JOGkHQhB
EOLcArfJVrCANx29uGeL3vjZi7T7MVBVhUrW3wpL2Q9WVC2GeVVC5fHpx6Amxs+PmWeDy2T6gNPK
3tAd1HtmZ1Yuk48sZ8XBHzzvNhlt7yDJmLhid0kPVRtTaGE2O9AAhDkHwmyb2q61750mfBSxlx9z
I682NaKSYZkj/pay8awris6j287ytgV32K3kHLjXVdiVe0new7aVNpFrLl1nf/Rhkg1WggVeNMXT
QNuaID6MP5U2br2oxeCrNfC1Mh22CdOGvRe7OQwKP8UOVrTkcAezew+h0Hxsx756hglbfEFV1Uyr
AjYEGX2IwBHlNqazaup0egnCGhZGZYt30sUx18hJqEf9W78kyQuNFsW2U2Xqdhzq7tcaePCb2QFV
naJ8ncbFZ6MwwhsAkMYG7mOyNQJxqioK29K3ui3hQ8dJGvUZzQWO/4m0aWI0kJ3ivttT4l4v13OD
UQArQRQaNPMVftfKefVSH035lNK/L6rqmp6m/mCUBQc0NC/z2RrJzlxBSCbogv2F87Aiu7WJwuNI
D/FNxH5/l3Od6uNALua6C3rnsXB3ddryREiA/2PnOG9NJ5odaYrGxmknlDdLI/lDrYG8NiiruTWg
j/qpSQ5Kj7s0ZYgbkynE2iaPA0m4ADmwKi7Kpk8O8+iN8K32XovyJotxWBjEL3AULmnxx4UgQgWP
rjDNE6imZGUmLgi6aEoe6jy5gQ34MZ20eUiHwbzE1qzxN/jPeijoedf1RmFfxQzqR08QAMKdI4R1
HUyj4iRJsge4NJRWJjm0Y94ZK3IQMLEC+GCJopdtLQAsN2+mKyNMon0B+GcN8ip+BXem+WWmeMfE
yV2nxXIiJt1C8nBJFWzYhopdhvW9JjWdrLsx8e0981fjypth5Q3YadeCE8lbrnrzfsx64m9rjfFm
Zdp5ezuTDL/kHVvdldaWe0yJuD9YTka6T8Pr4huaWPtV1NlzMW45jaarFBbkah5SOLVmXv8mpJu8
5LE1fvKDXr84UqhTFYbyWEiQ0zJp3WsBs20PihUDeWzK44ix89bQBZynUtNx5dgR9NaxJsdtRknc
YVetzKRaTcY8fXAl/hDHtNOjCXZv65Zk6+V6jFeRM2Z7y+/q64xuDvpGMt+RQRGiB7O03WTE8p6i
FmOhj+EdIzXBXd2SNxLn5LNisVfN2dRJuYlbioJZEmkilsCR1ubYkSXsHO8JeLY5EgktyaLhG4sT
R1h7qwT9cuAMpMoMZv88R8q9tXlRz7AMunFTxAyuVmbbEFWbk/rDkG9m4JGL39JgSjjUZ8FTSm47
HOnAejRM6gsCIVIGgWQIv6fZ0u9dAGUREUIxuMZuNVocG9G0F5cycbuX95hAXOhqkxnUhYYHNaQs
LOeoOFjv2iXgqhkIAumYD3yaDQg8ZU42Ty74kl1L+eWDMzvNHMUPWjvt2UkJFA16olu0ckj75AyG
poq++DYSZMJAGE1voyUn2Rsde/uekIN8Nrmdg5amHC2XJSE0KvvnxCcUZxQOv0lBzC2ytYGvZICa
WQ0IGxgxFrm3dSL4I9YSqgsROdu3g020Xu6X6ygA5EmtQpYNJuAVdaQ4SZ/n1XLISqYGlk+ZJPLX
aUi8o8tPtCS1jb23mL7tyZHzrgZBhqDmA9INgybKizggPMNj/PSRsFgU2MTlDBfmbPxTkYwXpoHd
0sSzXggouOrpH+4D2TUEVtuzWlEvOlfeZO6HjkXBEqPDgb4D9rf4yioiNQDY5OmuceJ024D9s2LD
xqgwZGgblAc/3rwTcc2ItEgTmB6t1Omeyx8Uv4Eu7NJr0Vcd3SON72qY6lEj4hTmRtCBiq+juPJa
VlaNzKWG65qeJ2VP1Xx8397/EYj9rUDMWsrP/3xgXfr7N5+n7Lfm2zOrTSQEP/ZVM2Eusm/SEJzI
MbE9fisSM7FL4jymTU8fP/AXudYfDX4n4IeI0YhCe5F0fdfgp/fP2QV5uYWgwuZI+9+cWb0f6m0z
YoCKaNHjBGxxpP6xEiajqJxVUufXAoSbfnNxebFQusHgbk1oLUvBoITKNSeNpq+MY2OnrSeYPQf1
oVGkHuDr158EgAQUs2ZLmDZCy/lqqv3gcyfKgEU28MXcHeohYXBPS7RU2n3Ahz6HI3Hro21jnCoB
KdGK0iQeeFs0P3kKCzUzhuBeNiO1Lj2fAT7/A0njMUZ09Afma0lCWKaJqDIAiQkokXV1ykJDracw
MEBY4KOamaETRj6l175ELxo+pHYwL6EHZsh2sbXgElIlg8+o4BVBL7O2IbLn0nzOumAgh6ZuZcjM
sDcr8kIy4qghF5rdb6nRi13QtfqOOL46WM9a5fyor435Y1vDfPg9+fGfF/BvXkDHxaD/sxfww/CW
fvvq/fED/3r1lvfL5IiMVZhgmWVK9lWutEg3fZOWDUbnCL0SB5avszXkmotKkyftX32i99eRF5J2
QcCRcZEw/aDL/JlO892b/M1pCbEnAk2Uo7RvaEPQJv7+tNR0TZY2OtQ3MOMMXGGhajWBSr6KnqrK
dY44BYqZNn3SXoGc6D9ZmkiqiWoFXkwtDqJjAG+3zXSXwwHfVpk1XVKtvTsO6v1yFCinDNwvL665
xMNRwbuxuhiBnhAjkuCM6v1DGk/0aQ5jhQzGJ4QG2bxZxsbtkhBWnRqRCwZZNo7V8IvTYuQaDwr3
8SSPmKcYRh/jAGzsCZsL0z843yZvdN0EeD7AobtETigxX3EtXQfZDcpPCne6s3Szwc2Rh0mUjDvr
4YK7Aeknr/E5rqp03wX2TLu/9uPHuqILPSOQ4JRmNcA7RuNX1JXZIy+oAHFP+tQ9fJPzMInuCEom
ARMbj2+RBdyeLTPGVFIIZnqATNZRIyEsr6NpDuz6lKNj8tCgoxSj+6OUKbsrVoVFUJkv4so0KZBV
TvgnsJ0WRqIfDFKyUWCaSZEnu9htPTvY2+icRk4V76pNy0xiawHlFaQUTBef1AFx06LnqbkLwKTs
Sv6zJTM9yQb9NysCe+vPJYzLlvzK9PnbVeGPH/p3ExmhtR3SYoJx6b+/5n+sCkH0S8CiwKoT/M4v
iP69Krw3kUPPRNNqLRYudvivTWTz/yeh6k+dKVSUjBjRAjDBD33/h86UJSFam2bCCDOEy4jeN/Fu
HaHa81yqcPPNYvkXreQ/9fYWxSavBNcCxTS9xO/XIQbvBgNqqz4GjkJMIrV1zhmUPWmuwDWEwWj7
88/7Uy/Mo/5B6E6bnnXv9y7SN7095qk26imTz6ssRDPKbIm5JOrK4jVm2auHGIiVM4XWo/Iz+286
cUsL6ptFlyMBCxQda1qYHAeWsum7FlVnmBz/exCPsyAJoSorapHSkuE1GjKiSOI5eopt8+++8l9c
YuKuQzYmxhZ/pp8MPdZ6FQawFyu65AWdnk+yrjKYRJmY7hJT/9cfyFa31Jt8YkTXdqkpv+3E5aYB
QBphxCE1YmRaqLqR7g3sEqFjfHRi6f/NSGBRvHx/XQPPdLCAwU5dOrY/gjh0b2EhiCd5GJsJ3ezo
x73NvLejSUnMSo3iasysc1jW7jHQhXXppFc/1W0bKAKnirnGjtsHFyK67HElEKoSpbNM260pml7I
1/mbp8AL/uL3xYLHu+9yN3nZKQq+vUA1AKUkp4Fz8ALC2YmsJJHpqk9KzIlJs3Alu8RSJ6a6ukxW
/eCR710n+mKA+j7YJhzOU0apeAT05L0lTo8olKkIz1If281VNYfWecpS9GbStMtqCx/UOlcEaFQE
nngouUa7h3BriAyis7bncIfFyzobIjDEdgT6ddUaerpYA5t9nEW0XWYhG+/XkCmx3lBIT3IbFp2d
XwnHYxDBKuFvshDK+SE3pfFMTlMUXzrB1BahX945YLJ6bSSw9cmUsT7zlE7g0iz8+RMQt0i691Ot
1XVtpiXbpZcjbEGqhIRsWQgEpmfcWrKngQBG8S4qOhGuJ1gHr2NuQ9wVpnP0ZYEMcZJyCSB25J3Z
92hEI7Je0TYDwsRuJby3UJjThdQt3IyVjNtXByPaxYCD+ugNDFeyOfPePOKt62Oto+nVbwaqeoZ9
tG1gVE2X0RV8U7QbePjLng/E8BU/kW7ApGvE3/5WjlxH0re5bsK1HseImzaHXfSkutl78w1/uiBG
jbadozxnB1h3CCkJDHIke5qDl9+f1TRP4AGnTqZw3xUTB5O8WVBFHl/W1rLt972S5bw2aO+klD9x
Vh0Lxlj0lZDAh+N2cO30OZVUciFHeWsDqyGYthVQJn8la999Y2pEMGrS8vIDDbmOtIieWjrhGFDr
jCcDKRGRZaBhoXhrbr+z1HkMe2jkS3+Ri/N2t68TdhDiRBsERjuJdwYFIklMxxHYTbtS5LdcMuVG
+PhQah3er787DR6IlxDlchEEGxq0ab/u6sg8v/+ZIY4hxmszZ92Y04PBd71Pg0FuVBJFu7HreYAB
rjBtHwrVHvo+j+MrC2Nlu5aIeKHaT2FEPBGYA4RWnK5GjMOhmZ+Hzu9bbxXSCpkeWhr7S4MFg7/c
lYA9liAifqAmL8Y8KmsI5ESBaNTpqUeAb+y1OeZkYieGji/kvXvlKm08eh51Og7xtT1H+pWwY/VJ
aoMuiYLzkd0pYGnquX/vpDBMkvse1QQcNfB3pBxJbPlmgQjDkx7XuX9sl87MlBE3QhtG7yLglt3S
u1HvXZwwd84khoNklOoQR3q6GsDmPPogUck0i5nJkIV6dr3CX/dLi6hfmkV0Y/3VoCfrFrDBcFFp
R4NmQC73cXAL0D+p0yNrIZtrupIkHR/cEDzmajRh6qzMZj6HYkw+dT3LJnqd4FRnqX9uzTqKV3TE
9TWGy4obPiEng46SAPNo5+FTlKW0sXpjTLIND3cExZiG0SZyZY/CJgjiJ6fukd9bKIMB9iPWFd1b
bQWklpVMxg+dYvLJHyQ4ntax5JHSBa3B1OK/rFiXpwvbHM+yHddpdvCNmF16XtqBPWNmDznR05Lm
hKg+CauFiiAntM9p/LTgrs+ta7WvGgp8SYCYepsaLJy557Ng0k8FYmzmz7mYebHQTznH2KTllzFP
O4Yt9gN4pXG9YRttHn2v2gLEqzc9X4P5jlOFHnjBGbrC3LfWx0oYxnycU3cMj04l4CWurbaHYCIs
AZvHdpxfiRTwGBzU6EqiNr5WRpvc0ZNPj0kYPWJZ6J7KQbzpChE/j6D1BOJ/3OTgfs9MSVjnPQZw
p6hp7Y/MLWjKl+kCD45U8MCUr6DfIdXRw5AvN47qiMpLrQDzWCPCXYRS6XYabfLLZ9d+qtKw3TRT
j9FWVnA8XFzYAdp310MV7MT1uQ4M99fScvjzLTuW+OClkR3/GoUqE6uua+NmNxOBWBKbUozADPvC
uMbSNXLpKvj7MyKnFx2EzSFza4CUjJGIvxwybPPIttfajvtX0kGoRdqBsaOj4HEWluS2dlEkthkh
mSwWbpkInP69xkmYh2dj0mwLFZEp783TT0Q3RpgGYVYgHpt5aFATTZc+McMlWGR5lFB4IV5LG+tM
W4u1tPNt1vQ84u+RNr+NPxA73ytuDdkeEetghUCAnISQSJsM/nCCdhSg0WpymAL7ZZtVSOEK1nsh
xUGnknVQegnBmKAawusIZeI6Dxs+OWczwasARPGudfh431PM6ALNPt4IPtiJZ/dtRrk1krLOMhmk
Yyy2cL6XR1+ZZXo3qDqsV2OrsE6MIyrV0pvlSgxG/6l2CnYOyxE8EfbceW/Y/6a7PvNYpytkVWKj
ia1Ol+yOgIoBF6a///3XsmoPkHKX5lQSsWGwfQWC1b4rhThIPU53g6T2reDSbK2Z2e6JgQogE0am
lYv/mBQ/Z22KqHlVNrLEW9tD8b3NcG1UayVnPrJGgxVc3K4t4aDSNyNtdFWmySKnU6Epg4DAd9dH
eNEDJALMrx9io/FefYabUI2EkV+rVkzoPaFXkdw3WsmjomvGgNQs/Wt3dsIetyA0hLIxGIGNqfFl
EF20T0cVTSt+Z6qczAiiJ3tSPBY06NnJu2iwHh3RsT0lKOOKnQhcehzJlC1XlIYIaWIe6oL12Iak
uVaCpeohXu4ogwxu01jxxJU9t9GwOk4NzANM+uBwy4hyKkNmRk+WoZk4cJ0oLR98JzPGB+lPoJrW
mUqTNLwwA418tiqQEAA6w6TT2U4XpPlYH/KQajnZT2qAvGpRboDmxuBuutiRiMLNNmSOM2j1tb2v
0Aji9mK2cypckZ6Rksh1ZqR6y7+x18LAO5X53N5w+7tLE7KyFDI1XiYjyk7GkMQr2eN0cXVYHRJw
7fifyIEqR4YBZdj5m9oEwGsG0ZWr+3jdYTdNQpZ0hziNHY0GayNmq1qJaeqODYnqwLtK61K7LDFQ
yIjRzVHprayCimTwq+KLkblArWQTH6K5qZivd7LZ8AYqzBr1l1p0X0hQvY0mVx15rikMxs68jYbW
vEVsKTcSEILf6+owjV63pTaOHyZ/1LucTXSDepF0Wde9dc3BvQEHX99zt9mXmQ+e2PmqvQs1Agqv
A1yr8rdJVN6MBVMmh0t1a5KK8KE1/PGVoZpzbiRGhrWTmBSQU7cvsc5ufHnnVNaFyq/e2lCUvnh+
7J2c37WulY0YFklxQDxyeMAT8hmNADfEHXmFd57nKCxxo1k2FNqGbNcGO3CP/EguK0i6TDTZr1gN
B9y9Y2dDDnYIM7jpi5KHtEpZbTBO8UTOcknGieFJ9He6UDmCXsruvzmKL6eO706nIY2IYHEv2ujX
wJJ+fyqBYptH7HjtoQVNQNEP9A/W7VL4/vwI/qfTD91QhBoI4jj2uxzcvv+cKE6HMW8GMinqRVEy
BowXu15glnEna4lzWY4u78vhzz/3T0d/PncxJfg+J1OXk+L3n8uRvASoNbWHKS/9t8EgKbnqp3La
qSBl/WqqWl98P13COMAiZH8jKqJv8+PVBWTJqZgXnF9iIe98e+bTfU73xPKbgwJ8T2xfKOxHwCfE
6QWIOUheBr3HNFZwLFkqb9sNWdzfL8A/Pfy/6djBSVoi1v/zEO2hGYf0f9Zvoimz74mkf/zo175d
+IvHXxXwBL3rO2mc/dG2C51feHG8pZu+DNFs/p+vYzTvF5vbjVDBAUH5Xa68Q5vfDU0PNf/X4cB/
0dLHXPPDIxbRBvGYI/B3+gwAzR9eYPjnRS3yrDlMMrAUAdsFtScxT+yLTJ52KAbdcQ0tJryPMoc9
z87q7AzzstlIyEa4RNhoH/M4c579PtV3qPrrB9n78Uc6dxQwVLLtIVCzd2gF0BiSn9AlM9lvNlhn
MBSqCZ8p2VgT+qGUuSLA9tLAKGA1BCJSUjqQVbqyI0Y9S4hoI8XcWhd4KwiPkDlhh9XIohegttoV
Ru/eplZOtwo8M1EAaH62Zmc4J4yDRI5zC2qQDE6K3EICzyanR/s3tiEgsQw2/sOxcpyTmumRRFNm
1gQtdvLVxItGVFYVD5/5FIs9n8xEa014QO+swrZDWB74pd6+1/9TXPuk+/gD6fMZcv1DRrB0sEXZ
Vn3JuOEHCs5FhOmphBopiz/NvocCorBU/9zOBkoDIAf9M536/rlWCFMh6tAWoC9zq8a4fmx7sP4D
zh99BeEm8TbuSGcHKmeAAKSsSivG7NkhKp/TNrwnQ0tvO7/lQiLKI7AYY208rdx8CkiwmduPVhKG
d3GJin1FmoFpbYgYBoYZlarZBQQYQN8IjlNbtbfku0V3Hgju9DoHLXbouX472XTRNdm13X5OU3Wd
jhEomve6FjBd82BZXXhv0Bw45wXwR0JhvENlobusYtD9cVMgXCUl+GRASz0SS9LcFqKTxsPsVnrr
B7l1cnulSODkjLDJ8M73B0gWhFCPoECdOut+BcLQvYqxsZ9bU+OQjahn/TW51UyejAqkz5DiUgmV
ju4nfL4gY93owSZd655wtSnZRpMgYtOTzkc7nvpFz4bTcjOkhnojNjTkYGJF123rBMlu1Ca22Cmv
swOqi2E+0tmwkS/Go3Ftx4ZUa2UH1dYxp5Cs1x7TxnBMvcIj7VG14wW2ildcp84U3bWhYTkrS/j+
h9rS7k3aG6ZK1ti7yYcDXdnMZKDBXHSI2dGEs6yMPGfMtjK4EJwbPITar5RC5EcMkeo4y/tOzP1B
6bViejd2akvXnLQkJMv2eOD8ZgynwW9H81h2FI7PTK0jAuX5F2HQPD4vQZwYD1oBxbWL+CaoKnmV
yaF/TrvqTJhLcl2OVRb9lmPSlzYotapxjVNSmQHYVBgkHzzHzHbZTB/CxAhKAKwudiapTKhiyD8E
6qiessEmjjhK/5e9M9mOG0mb7KvU6T10AIdjWvQGMUeQwUEkJWqDQ4kS5nnG0/f1UGalxMxSVva6
FjX8f6UUE+Bw/8zsWnnNebXetPCFkt6I1jFcKJsaYWHQhck19GTb2ND23N4ancVmsCubBp2bWoW8
Qvo2cD4ljCmAcoVQxhhIvgJHFdl+1mN4T0jy/XruJuUy05MD7Ex6ir3ivlzcqy5pg0OCJ3jlueV0
HGO6/ByQHRvZkR+vy2lH8Fh7tRZWmiwAyBUsO+b5UBlj0r0zrJMzkN333dKGa4rqd0TPrCejUSGx
HrbBMvflDYeUe7DPwh+ahZ+t9Tg+SmpRhoxDrVvZaHAFNR+JVZz0omq/JrNz1hcRPOM1HfcTh7z3
BRu0m2Qo2xUNXQuk8ZYK6j4wt6pmwR/jaN5JeznHtYspis3rKopoOpoN+s2JQbU0XxFcjJumrKj7
WJ7LwIGSnzk3S9VcdyMetUpEwwqXXbOrA1ASCRmU66YJxhu7pWKSBPhnj9V2Rw7f3cTBHGw5cSZ0
YVjtqiTttMd1ByVhGDSF2TVOdOgN7MXCT2Us2nVogFBInblYg9ajNpCWkQ9jUo97PQ+7RzhnHRfG
qO04SH3rGzvbzVEyb3CrGQ+DIYJP9FeDqpmCCPZ7InOmza7QD5hRx3Rv5tI6FRzDtpzx2QBWITDY
ik350YUrvJo0zbnrq8jbxQuPJqj82L0tmXNV2ItDbWYNnYvgTJxs3Dru7qFYBE9ezVTGtPIApinF
1tS64i0t6Tr3F3g7Hyu6srdGP4A9joW7zdvO25UL0+IK6M0Hrwm1TTdAtyzHYjljYypPcz2yPWS2
c2fyP1y39qQREQD6xchUX8Eu6rcUWNjnRgQGpNypS42jNSXhlZfmrueHhVWvsi7unVVKVEKNHOJl
TbvR7FuchmmwMcyzGXDMIhdOtY8G8QDnfEChS+WkdC7i+GtobPNrrdeeOAq1H7jiinod92N10s3m
3g6S8m7C2Xc2E3g+bqco+xmXgSTXOIl2NRmR3As8Whz2pMYk3km+mq3Mv/Y0nK3Z5+bo+10wgmGW
9nwsHJ7YmLxq0Gzkxx/LqB/uIy8Fj4tJZlN51GnUgfikef23OC7Cj/gmoKbOAIFaaT0W0tKuuacI
a5mp8oazzi1zHTyGjdxNZvIpsHt6v2trB8S5w/C2DCvgEB/nYfbWuF/F2nGalzrHSzuY+oE4Z4rX
WlRfQ5CkfpponBhdM9kPnPBK+qxnuVnswLhF9mg2MBzSu8Kwz0WIX5FQbL/JO8FoVyC0d6sxakYC
HUa+nMO5CzZYbV5hcz9Q/8RWiv1FvJiE2cwB0jdNy2tO8qKGjsLiSkRSbWboI+5kQ8MUT7kNfuf4
RaTpgybsUk3Y9E94euJ9GbvOV4Z897iFvgX0vdDWhEagOc8FPLg1tWE4KFLdOXpzsFxVei+BmdfP
AFcq+Nj9EdxgwNpZVRuMQpAOwgHG+DTnB3OoYOJxGEts4zEe5/Qq45r34fgZWwOTBGj1jnZWPdnh
Ra6OZTe9l0vUbun2LPyMGTMz+eW141C06sy+fA8Mg3FBu/BdB7k5r6EdDRsmoZ0/F22+BQXM4V5z
vwSkVg2O2896bZk3QF2yFbPOO7izXFfWl1zkBoSXnrYT2NUnsMyXQ+xXJx9JjRqvLSJRtAboXK0g
R497t8IS0cpKbmJGT9gm7WjHjsW5Z2oSrqNsTLbwFqYbUTgBhsTy2PCjg3jfxZF+juaWthin4hI1
3BA9cRJrMKFM9KrkEcHCvg+UG6IaYwuGlyjK+z5iPp60nP0BDVs28pPkkX6l1a1NxG956sgAqc1m
bRQ3pdOFKzl6ytLyDSfHvha0uUWafhOM7Y1qGUQ1JWzYOn5S5Z+aDNri0k4PY9vfVkZ302nFNbu1
GPDlMnPfYzcBV8zcZuhDuPnc5hYO+2FtgcKgusWR1lWRuO6VndcQ9+zGF7OD502jMRxec5H+L+73
X1o1bOOXtKkzz7y/PvgJnHb80d8PftY79DWbk5VNvkRcbJK/n/wolWBeAqvZkLbK9jF2+P3oZ78j
a470DgfKFPwxzvy/GTZM8x3/qMFEwPSs790W/+Do5+hvLRueITlfcgC0BSFC01FUvh9sDY6ipTcZ
MFYSBGoo7KkSSHY4yDFiaCCHdkMFisjVncg+BPQaywNKgEe79kLGdCVGWzHWF6Kum5KQWQ3UtTRG
VfFb5Lqvoxa95jETegi/8kBPj3EurUweOnbwVMyLpH7O2L1CXjCYHI0J6DdmtxAKYAEzEI8CGHxK
dKz0hUnLkEBr8kcQQFcGVq2X7wK1h+a2Kgu82T7nALfaicyJmg2KgvojJu6sVQpt9VbU6DyAAnjh
sdLZP3StO92Hk4X6o2xoDc3Th4CUh4LwTE5zE4oiLalMbUr3aHtOy8KkGw9ZoXRlIyL0ZxSUbK8q
SfXCTLaw51SqBmCVpxRTIcJmrxum8aBMrC+OmIjdlVq/N4fIfFxGRvsFm7B9a+poCnbeGudQ1Hx+
mm2CJ+zi/NU1mx049Wg3oPlpQnhNmphvoJDUjcVwyJ/NQHkVJrPhH7sMwXIkxpc5VLPqPuQNWMbI
ux0zXo1kBvTyQEGQetOGIGt7E59aprymm5rVM6KmOp1fhIJ+1M2zLeP8VJCHOJspo3V3CAzCS/F0
zVl/gNXjpYQa0GuYkqrvkw50JYFMOWI31zX/n+8/aIb7jFLuOGCs3qtf+CIV8JO27Ud7LmntGCn8
ASKV0qC+pq4vje+wNvARyjlR+zxG0LHvthkam5X1fC9jojGGiCZNDbZnqVmUEziIiXD3rGFfpXkE
j9YmabjN8gU2AMibb1FAoYqvDwUeoWy8Z8thkXGMbBA8AWo8dIPkzhloJ6LXr9ZWlZGLh4LJ9PNF
BASlw4WewucJtsx++ZuWQPDvTAB5b5G6iDod0iNxIf5vxGeuBtG0/LKe2ZHHvMwGcHXB48kch8ks
/X5cfJpA9AgGfMm+M1bdK+1IzAX0rjLO0VhzEzrexA9c4jwSEH9DFJs0qRBWCurZ2Wh7RNQ3eCy4
3gxuy6sSRJrcX1BK6qhmAuU3ed88bBEpctyMyNwhsStUWK4YQi3t68T4PARcofHbDeo6wcKARUKp
Oa7ZYRaxqGJ0jZa/rKt1Hn3QOzbMCFBPh8HDNIk62tAL93S5hC/iyZy25YlQIJYsdZEGNnrqaPZ8
JaMAUzlBB7rNFzbLMoIJvVVpyqfvAltXVmhpVeYqZ4RylHwf9V5uCYgRKG6xElouw+9aZ+HA2Fw/
Lw76U20pKBO5NeNBjmXwpClPiV9x2gSwUTNzyBqHm9MusS0two13WWRxYB7jnI+jM3/4TkOqL84F
IoNcYJrJTd6mA9/PxZdx0fxmfWEFwaBjHpyo9K7GMvMIqtn8hHDiuCTKir2gn9G56a56p43M26Qm
3rjWGo6PBPoXb61nlbO3rUan8FhpkPVE9IuyiYbeu5Trx5wAc2+XFpjWxuOmILLWUA0CM48VKxd0
btzP7UQvUIKHNp7JtZr0btynHsuzW6QgqnIj4++h+Fwe0pSJf9KxZOg6wndnVT3fIILcfcWFHvsi
SuvnVA/qvWe04S7oIvFwMdXZ2N2DrRuhbr9vCU5KhBSWSHPhA09g/RbKgwU/VCZwwgT6slTHsHRQ
wMwiz6IjRtZ4l+jkRXsplCd45FfK4kC+tLFgaTaCmWsKzgYX+Gwv/KxNq0J9o8cdPhUGw/1+Zq5o
0fy6Bl6IHQj6NdeLwSmMPMol28yY0c/t2jjHdPs+5HjzGk5+VRhsBk+JBI5BQO4oEyWGCFKdr2HK
oTGOmMHhLkTWU9deQ1VfciL22Ox7w8FMdbnmpaB+YaV3fOaVoG/S5Ne0jXMfD94TgQTsBExSeQkS
03VHUxFefVozW9Y3BEA4axyUuB69uXVXVe16T1T88kN+X9KS1kDJQezjUiJK1/SHxG0JzdWDHJtN
BbrnVtrcXVmWEm/sR75eE8HhcsflgyufxqKbqFqurSbaXlbWsoyQacfIrZ+M2CyKpzEM5/SDBT6e
07pUq5QxkPqSUWe9MN7D2tTX+Z0R9QIJuXglgukdmkqhx9wahIE/U+lNNSeK6JnRLQsZZxHuYBfi
DZOGCBAfAu4czXuWH5PslBH2bCF8IJ3QOOxy8U45ng36OJ0AO0LTxl52tyRgx/UYOA97XS184lHa
EK5ArTvKQueuSZURimhG3qwjlhhML6MAAkZLh/1aFvlTGRrNERxvD7RypmGCfYjZPKB5UO2sHkSt
XWQPoAOrE88Y9xZ0uB5w7w7mtqmhl9SG0Z0t3SxPLT08q4EOksfYqbHmzEXwqSb7pomyhhHrWaum
c1a6Qy/0CIDQyLVx33XzoY366uQkXpMHt3rEgdzzug8Fh/qqauutBivptpKDn+TOfSBoPvgwI/tr
PCdKmsgPeNJzVlX6prBAgmLBaiTWFVbStbDFUqwcPHsw32qZrKpS5Hvmp8wsY1m5K02m5jYtBFg1
h8Z3vZ/Go5VEabqCN84EBuhSNG9nm1EP3EEthifZ9hDYhRN5J45wy407dc6xTTwec/FEc8CkVZAe
RuNRGgM1r7pd3MSMPI+OCLh6DaROO3LpcnKTSsX9Jo6RAAVPzTRATkfrNH2odNNLJsvkcXbyR5k4
dXaV1a28q9OI7umuHd2VBJ+MhmsO31rsYp8jF2xNO1IgunCRbWrLidcuXJrtrCUeXPp6WM9TR0AS
kjntYJKWgd5sk2u3YU50zfdlvyadW2yXnoYF+hf1TRiPj55HJ2xKCfrOCcZPWOJWVpw4n2nonO8j
i2GUkcFIN1MHeldnNXctzX1sfwrOd1M+fYEu+qAlwBcZwrfXbhwtd5TFW6vS6fNtOWtyF3iDcwUa
iXhA3T7UIBETv7HZGZHCrUvmFzDzUg5hK2uMqk3IvuHItMQ44mbVyDOX7SH1enlVIgNAgp8K6EM1
HBibqCv5R3ejecR9ElYsnyskvaX6Yu2w6yRgYdzwEJjZ8g3FltYv+5A15nwXlubKLMxiL4jz7Fz1
hDDnCigg2ci9lfKDtQzWn1so+OukajyaoiyysTmj7aLQ71MwWlflnHWPYhLa1ZxXFOdorsOfG9m7
fu6GjMllANP4iA+rpr2zKz8mbN+VwyUfYq5vrE+MiFx0HVM763atr3jyOowc5bZ3LCWypzmFTI7z
wuEUA4GycBhM01ZD07RbzeGy8WdnpB9p6fqdHqTRyuLcv2LxD9cLvbK7IIy6w1BYr1UUyo3oDOWH
0jO1WhmHmUatl6DRq3oNKRvQaik27K4bdoLoNus51dNNV0v7IahZUVj5m3wTlwBEgac5cJ9pksuj
bF63gii6RSBfiReoL34Fj9HrWUjQWOt1Z+n3w5hmBgWzWUPe3YG7kdzHzO4ANQIvZfKztANDaDWP
jtRkGhdtRc/ZUFQ05QaMrks1xSYyq7EwNbG9d6lof9LgCrg89gJh+7GagzcMxBs1GXfsprwmxRyv
Y/rMnirw5odFzdI9NVVf1Hy9j1B8vMShgEdN38cQxWGNn0xN5ePvM/r0MrD31OyeweMZWlT7QYu8
/pQ37rWdMoTm4RW8z9X03xuZhfnEcQLmVheBoL2IBXkK4uuo1RcVgVXL25ITVOpCcpEaQg5ugLYv
EkSl1IjpIkwEF5Ei+E2xGC/6hXURM5zvyoa4yBzhd80jtCCaPtMMxlNX9AmV627smpDDibPmpxqf
TL1NS7Zca93Kcb0Sj8XfZfXsQWlMY7dVjC0bEXuQPJtifEPzUVee+FkwUcbIw+SpHtmWk0P/TRX/
j7SPt7YAjs4WB3vBAVpA57nQM344OvdRgNmiixMEFg/PVF6C1vuwSOZaH+WMiXwrc4/dSInzE5ra
mPLw/UFrvv3usPhX0ee3JdzB9v/+nz8XppIEQGjmjYAC4V28MSaMkW2Ui+jCvTVhDMcD2mK26T0j
EGeDkGLIZjOodrEZR+Gpq4KlIIrYBuew6IwHV++Ns8SEO3w3C/yTr4V4hIIf2cw1/tSZWph9UEY0
tu0Lja0fjemobFNcsicdOByvQOOx8+lzxtdrjfT831n6lR3iRzMKXwYvb6t/sQWn2ODngUYxOylV
5zDrrTnjKJQY9VzxxKndPOEHiWZLYxc9umAYnEA7GGr7XchMggnDdSZumGgjEfh62oXRvlMn6Kom
Yfrt4uMeCyVf/+MfEZ+/gX8GkwcW47cds4MXxpqpudm+CAZ4jNh0+1alC4hwN5jK6xUJTxhEU1u/
0Dgw39cds4o64iwfl1Nzn5OL+5t3pGY+P3+FGBJMaSpPApTxy2X3w4WtWbW29OwbgC3CmvQv9vOO
kdRTy4gHifTiMhyFaF8llttDNXC+gMGLM9Cg4ZpZZlupMxjf7K/fmPlXb0z1sFINjNHoT1YYB8d2
kzd1tEdIY4cKqaXMet8bx8aZ2BWB9X1PBacrD3OpjHwTqd/0OEgx4MAfPObxytuu6zOnZXnZFxsd
x1gt5hBFpo/t+8VknwVKaGvUrAeLOXe2lgdMS1Ksjv31zGDw9fuhNM6h4faLmgIUc0WMMVAeeICX
063ax73EBYXFxcI0O/UZQHMC+vXXId76oQhSw6yRtsHcQNre21RQZGh1PGPC3pmRxRooygXvuYvE
xjUz8e4vJn1iKAjqhVAG5SmPeFsEIpf3k2fzbYWmwenEWlDPkkzyX/my+PeJ3tJwcxkPmULZi8Ym
YUrTj/iz92XIBGxFvc8QbsKhbvbLrDJBlqD8CVl2xqfmciB4vXzY/1mQ/saC5GHH+eGy+FMZ8jqG
Fhp/6f5VfvvXiqs9/xy//Jgf/P7nf59G2/B6KTNwGUebzHvFHz4kx3lHcBgnio7biDVURf1/n0ZD
5fWk57kec2dF7PphGu2+A6fGaIa032W+/Y+AvX9+nuFv05luW5yMWH3UJ/9xGD0bBezcedL36VRS
8fstC7WbaUa0x2NUjMU+j/Vjy4HOC/qPBubMxGzXP3x5f/FI9f70UOctmDakOJPPDKpA/e8/rH0l
JsDKdWmuLIGJnAP5cfaqK4pBNkW+DVNR+XoHAsWrgNPLLLiuIPjuHCGLzSieKUUCRrkuOO9d6xBd
sWlsO8qjKsc403ASEMUhpFBhQBo4fujVFznl/EMwYvGLaOmnBL6W+q8zTB4Zz4/tUu5iLDittpkt
by8pWeF8TeMiM98ClVTvyp40Vmuaaz3tV7NZPM2EdhuuiT3FDH4OiofNyynsR8ePk+VOdlieXCXy
u9q1ZSWuz4CvZVJ+JbX+LqNxbTMV1CNrXndne8+GCdU2hAoKbGeTJ4ZPHHwlbYctlcdoHyRomUHQ
y1dNn95PWvCAzq80VSaSXfUJK5C+i7P+NmydU2IUhBf6FSjOVU2hys5eeBugRAgJFcWXfJI6yGUX
lJE+filkuA7tvr1C/LP8jJgO2xZeDNBuat6E5I2+r6T/W1z+ZnFRW9dfri43UfwzHuT7H/htOXH1
dxa7LV0XULZxL6me8z/ELRcOAdsayBM/LyeS3hQHTYzVBPifImH+IW6575CidJ5npuCwyGrzT1AF
xltty6HthWwnlCGTtQ6J7ed7ORi1kGIJy8Lqp1fBWiRLeh8p7JwlJSaCGYcdTSvLtmoYqBjjFBxd
AK/PXqtPj1aB6iTtpP1A1zLgHyzNm18vNW9XGt6d0Pn4vEE0Q/vtLgsqYxMYoyexJMnyxYokDY56
pKhJE5uuOs7mnVeBbmorbHJ/s+nkcPBmj+cS0iZIjCCpQ727iI8/rnP0FaG79XF9gK7/Ma8Dhptj
H3vXqQeBdm1XlnMldLew+Zps5zRJL34E9hR/mpZieXX6ljlNtczmMcyo4EoxkOy6jGVgQxzCvnNI
B80r/HzWIRjz7sqozGor9UoSCIVslUw59kmyXflNJGZub4fkDt4ujp7+SNpr3fcLfheXdEbNCoVb
ZEhs8Ux/buqXzPNR0F3iwa1cKFbI+nu4wgVjGlkoQ5zp0vZCCCha4RdnchhL/YMG6Y3kqfPQ43HM
GEnV7GkcuyrODX0nZB+Uc64pzWE/s9dbpZQw0rLSASxaHPASFNpStVBFRbTKxTR/RIEnJYa5y7iy
xiQg2Tp3Hyi9AcEe6zCNfd2IpgF0k8th30zn7Rhl9m7ywHRrUgCW021R36sZ0h1hMSoXIK2ChCl1
m8Oiozdrl1nsZuxpldwO5sSqGHMrEfN2QwDSdW3jsWeM+2DQ2bIpOmfsDzy8sxA4cNHdT3HvRivD
HCn2xuihb5mJByDRgg6Nj6oIhssbGS7mqZgapqhhGIsR9wgzD+b89EpUiSb31iCEhveWucBoWR+d
ZHY3kWUXtxiFpy3yMD3jPU1rvsQbRgxan4ytDgJs23QQqmcUgR0aC0HASAzbFHOgB9xqzZ3qHQAY
5PcLgVSylmWfHJfETdau1TkvZDar/QJWb+NlVbef44Ylv+N8S6IqEYwGmI5P3Wqoi1aZ7wzKqd3p
SM0M8cAEo6M7RmPlZ44VfZWjPtwYpTFZflw4+Ve20SQoCTuZfm3FOIE9OtxjwH2LZfq209jJmnvv
PdFCMpN9GvfEiZIAqsl7owE7Xvm1U9BiFKC3hqsEj6+Bm69LX4uEXT/lpE2yE3o5vqK15HBtMbuC
DKlA8OjXbe018ctA1Um19wo22Ddt20An6xdgt7qZDB9Vqtm7mi0AtAtxk34VeD19QI5Ra92XIujB
pDUez/4VpmIZb7q+KbQNlq/5mpQu1MxWdzpj0w+ct9/PZjnPezjn5Ja0oFCCQ9Hk4brpye1+Ql0E
VZRSEFdw0LQKhsRjqu9B9Ec8CrBANdEYV+uaCflLW3K2Uwc6LvVJLw+Ieuk9WBS1GDL8pwovLm6S
pXfOoscFTOWox6s16rPNES0HTbDgJa+tNlAHL9l+6GIcfT5Nqbz7KaRmDcvlso/LsWJOaZEJG2iF
9T1rYI4ZjdzI1Bb1k+b3+tR/1pOm16+TuLH0sxcgJmJjrMoXFCPPWiNawOhWS7nHJ2dszEB30yUX
8L/WDYTaxfKUtaYWl6t0NBeK7ieF/cSxJaUxv1h9zyTx6A6xzn+kpIYl19FshJJuHmMZh49FOGUx
PhtaPF/6ucu5dJqlPZUNTr66NXjHDMBKbTtSKZ/4tIXCA3RFdoPATCoYJJ5gG4cvnRlsyJChLLmx
4NxkN42VUVePeaG01i7yzmHCUgS6cOii/ConWp+wJC64swWdtQdEMXc4y5quVaYYVtCvi7ZxPjFs
HHGhxk3qrTLavYx16dqw8BgcuxAfa2d8LumbP0f27OVr6P6lH+BfO4RMfzfpiOOzNbpHiiHsw8Ao
3VKA/fGutzMzW2upDIadi64kfcONc5SGkgJSaSUBxkg9vY7MIWB4jKHvCisWYgwaDobeqLe+WKTG
ORGbBgy5Md0koqRBNCOidiXJpp8ofY6uemfBH9fVTDmn2q2sjTs1tPtoWXfwmD9T/doGsNh5zix8
ZG9eS9yp9ArUuSPI/LctdamlgAQ0dxBkd8Vozqx+g500a9Zx6gBDS24nYHh+m5vth/+dSv8blA1H
M3V2/M/BmIevRfG1bb9+/fEs+tuf+n33aLzjzPgH1vy3naOnv+MAaLI1ZAMJ39hlU/n7QdR+x+BH
t+ErY5nRDcUH+d0WJd/BFIfeC3XOAi7OXu8f2KIYc73dHnGktQ0PzjKIO063b46BztwQ8xut4qBR
eW1UuwGHfDJsAm0cqebI8aH7ajgzXnVKP8jbel4bSlPAuuPs61zGfmAFHISI9RjnVukQGDjTja20
iTC0W2s1NtRAhfb0MScNWa9n0zJfPKVsCKVx9J5F7EHpHk7gvPZFhRJiIs7z7ArXRLXrlaEUE9SA
HhuGruMRMhFUFm9qtxaufVplQHrTFFV+lIjPOKXa/NDTK4BCbW/7lk2W3g36akji8MZQOk4xx/CI
uZkRtFuJ0MMWvfwYGX29EzxZju1FEiL0aX+mpwyhaLqIRjklVteclbvHFF2O2vVFv+/HBoxx5twN
veFdQ7Gq124ehp8IISJb4PKlKqMf1mmMFzVI9GaHMaPYjzExcKVtlVXpHBr2MltbS9mC4Yq9KRzv
GMIHtsopvYUaizkT+41vzKO7YQda+r3S0xr26puxlvpKX6S88pKpPfTtou0DbSFKkkbaMWuhfqai
pnqN1OW6TfTyGu8GQl7taoh6FLs/GES3N4KzzVUIpHInsQJtRW1a/K3tclcNor12Yg3LbS8ebKUf
zqSRNu3IzjRw0vZuSfGr0qqcbW24MmutQoWUSo/sESYx73zS87jdsSlO9v0Qih3zleBpcONyS5O1
/UrnXTpfky1JrkOLusTsIoVOShV182xYx0Su9ig2zZY4eryelY4KU5R5qNJW0VK9z25TjN9CQi/b
hZZ3lygDI2TuG3kn57HNruakeox6I3l0p3J+gV+KmFssln5NB81wcjXMRmWu8yPHHnJmFRItosHG
XVOt6x4DpRSbSjMml/iICQsZWTNlvXf7Mr2bypraWboOb0TeEASuQb/5dLlS8xWTyHH2vQarcdu0
SnlAE0XAXpSWjc19m1zk7WVS9ThK8xYX+btWSjhqPhmExUMeJ4ymg3UWNG6Y4zIIory4a3Bpx/4k
lvyWh/SeuXnqgyCvrxtbvJRZ7QRXNQ6K6FQZ2Qc7bpx7nHI7NpCGdmjjXgZil3UY4h1/8MbC+wKr
oo43YTAvNwt5rNu2F27+xSsI3l/JogdZ2vWPVjWZtw3nFHzjGccLGbQJSNketTArvONYOoKdZtCi
M1aRXeG30fKE8PI8hPtKOmnzKLJRptOaAgLaBWllcUqQGa3lthpJ/EToNyyUfO/5QMtQYCdEyzbU
J+i0jNRjt9KZNJ1rtHfng06OsMb0aM3GXTF5ffCaBHWLDL54PiucH1EACBUTEzdXrpXiJcv7EUlR
Gin4G5Ua1jsv+exowazt3WJgw2eV2aj5pdv38KMvnBbllJbXI63h8DJACKWc4blSdHZKByPq9MEv
asQ2jiTylTBWl+4IVdHd58xsn9eDFjMM64iheRuA0bzkAp8B+46aVZsUhuLTbDNG6PqI0Yu1j2c2
TGU8W+wLUYvyME5Mf4i9oryBsCBKGzxTHZndCY+GpVN8gt8rdCYHA11U2DcTCfqtpcxtup4N6PUW
3zG5qmB+AEcmTg30z8ZPywbtesm9cQc+074uPFkf0tjjvp+sQBHfZbcSPZXGOFajXeEM7q6MmvS2
ENnVEnqG4zeGVV5NkRWdAtBQbHU6GXF2ch1uqiFGoe6LnnpAzrCqj3lnaUWi7lWsDUZox5sGMV/b
Qt7U3zsZbTu2aBdjBelHQ3opijNbqfLeHRz73NmkEdl4CQIKpneakeH8rG6MNb7EcNc1eBr9Zekz
3c/bZf5Sz/VnnlHNWQG3CCurkkO2uK4v9Fp/Hy5GsIVx5D6COm7vJEV7PByK7JABtbopO5dgvzbr
x4FQ/5cFa/PtHBjr1rHDA0tnsMcGoH9MHSNeQxlxnwejnkpAMaLaJ/jZTs7iLNd4o10fFwbY6XFO
SDuYhF3qki1sOG3xvkt/6vQlIV0Q0RKUDKbcJGQcbilcTGD9eLuWdrTHxSm7w2wPPfpSsezoyLZo
QTUIBi4trZZjRgsHxklKr5tJuCfcT4Cdhcm5oMEzNvL6yB3S8oVBUjOkieuWZsVxNSxRupGJF+5s
PsC2wuiHRWGUEUvjIj+amI54FoK6fwGk2l0bzmJ8JV9Wbq2OCsfUCIy93dbmB23i9ShDC9cV/rkt
FKMKREuXnVN9rJ967sNrNJnmFs+YdwV7omBIDLOWpAryqBkN57S0MI6IzN5ny/CpdmV8Ncso+hAQ
XzsHgYFrGXgLOwGKvfzehXde5qZ+bidY7quYO//WSpxpR7Ve8+I6xYqgQro2ifjcNS3+Fl/mrn3I
iaXQ5xqBtkzS8vPIGd6vplzfpADQDxQhfQio1sXSTEoJLiwwF5rLNySDG5d5BgiIItA3klKnayuO
dTborYJGNiHUCM2s1pLQEAAojhEQbXG/9W1ImlJikvM0Ti/tMNng74HcrTB2z7FfhKIDEEHvjY3Y
CkCbv00fXQyO3NTU2q3LAKiWmMg6TLhEmQDoCStBwxEn567CD+G8B3bvQpAAuhSH0UNrz1V897/9
/X+1v0dhZVr6n/f3H+L2Swm8/KfCbaaY6k/9vr+30YYItKPmWC7K0g/waE+8I95gs8dm8HjJvf97
jy+BR+NlkC4zW3mph/z3Hl8KWJWmg/eOOLzu/sM9/s8+Aemqog9iqYI1XRLDeAuTEIYepUyw7JMX
YsK/EA4tA0DtMs8otR13Djrbv7+gv5CW/uoFHeAYZN4tCvuMN9PolE/NyCK3TiaL4vrixSS8RRQc
cso+BEV4/vXr/Tz9/v4BEYf5vnD5UID5RkzzEhIaFHDKk1NG9kvi8QJmkhgPrTX8nRHl51H25aX4
qfmt4RFQ9/kWS8jQKAr71JCnNAdmFzsJuYNu4QFPzTJ8zGXxnhwKNc//BRPkLz4lV5LF1YAe7zlv
6RhjndJsoDXy1IqE+YhbsSFhSKO2TCEy9a+/UoOz5w/OiMsH5Qo0PAF3wbURQ39WFKYya3Miw/I0
lgz0fadq2POMiY7pYegcDPSFiVnyyJEOFX1uogErkKFQSkyPtJWuHPq/fkd//vi2zsVkc+CkpOdP
HqTEINWQUUV6+o4ApF4m3umwV3f/n6+FRozMwyXMhfPmggoTstygmiXVy1DReglJyulyLBCKpvjr
j6W+xz8cKOp7tklFqWYzEkuubilgxQ8qbNxVYHPKXp6GIPrWCsiHvci1v/k1/+q7YxGi9owXY5V6
82PqQyIZtWXyxDwQmoo74BBzQSWsjEV58H/9iQz17bz9SMonJths8RW+nSi4ASemhdj/KRFxysll
4DXpU8C+njUtAQsImy+Yj7hJKem6B3tqUtAKkeJv3safr2AbhR3FTt2q4GzfDDYCQcg6sFN5mtxO
HE061TGdB2StKq3lCq29PN+kqWBbPi+479eXm9eqiFKzgjT7X7+bv/oFqA7GXKB+aRA7P//MaQbQ
M08rbl5FsdR15Iix6ImFVM3foWX/6qXA90BPdni0iLdX1FS5Tdk4tXmKLb5ez1PBLS1TqHLX5pf4
9ef6ealn+ZZS98BcSZ4szp8v3yrqOHHWlXYMgFKSkmAc/FyYJGEWlfpCu2d1+PUrXnwJf1xe6iVR
WjFv2DZXswQp8/NXibtIKknVO+oBXEPpFliY2oaIEXkkgJotKThi7liTIjfBOaZgovnUoaJpBdQ3
Rg7k+hWf/bKCQHokHTQvAl9PAFMTJppB8dSv3zK2ip9uCQoLccObDhcisF8TKfjNzw+wPMEBYcpj
m/0/7s6tuWkla8N/hdr3Sul8uJip+mI7CQECCYcN3LhMYiTZOlknW/r139OSDLYTGDZN1ahGNTez
Hdru1urVq9d633ep8YXa0igmDW3lwteKdcW1Mm5otBxFqzydT9JV1tgzjcFuKeZBempWkWAwxYAw
J3PLLx9aIy4fdsSrNnqiLftKh0wXTNV8pdXnVkeD03zPXGwCODSRDXBJXfHPcsEichrBY6EpCo1d
BCexrJ30heub6MasWEDUJFfNG0JUdG4B1kD1arkCTVCr3WhXWmGJ5DKUQ9TzPIB7EI3COR2hq9Cg
t32y4TtcVrqTxgHrTbLOpAoE6iOE5VUEKRaSdRKTZP7bSwUxZ/t6mwmOQunDg2hyDVhXp768XkWb
T06W6Nl1rIXNneYir6PopQIzCJhW+FlrPF6Z0xo2mLMtJckP5MqxvXJtL9bE8i2lER1+oOZBZtQy
cULXtbWIm7V+n0Fou6o3zuYut1E/s7bOBiy1D5kB/1tb51vP4kDVGkgzirFhk4rYHI05ZWLs4BJ1
JLrG1MPLuQHps6PAKKkO36hDyHmUR++Kwm8/6DSCe+gpkl3XAG2XFw/r2NdFnzWIPW0x14yJSxrr
Q5UJqB4pCeR45gmrHK8gBNEaEuRqpRaQc8SJmnBSc3ujWnHexEG+uvKpEsLocBws24Tg19Attmmd
60AEJuD8d718Lc1goUwhALSbRaoCZ9GCbn+zCTdYzZp2CgvHFhwnOhtlFB1Tt0kmtLRCETET/lKp
nQ2KumaNLiNlFH4MHebW8axTWLTTgP2Xqj4wuljIKgdKLGQVOwjzPHUFsY8rHoyxLr+hJQa2XK8U
IJbwsER1E1lh7lWIJ2miilWWEHUvmohzmSZz4AkmGQmTV60TUeGASWQtEOJBKFjo79C+MqcRMomg
HHxfq1+19Ehxprpvm5+Tuk7euW3YvELXKJpuUBXXzldKpLkXdObLr8MopUsClS9GiXYoMyVtWk3V
Ym6/g3wZbqlciyK8Y62aG5dOmy9iM0gRnFt73iS0CmOysxRzQufI5t2a/pVgdlAluF6r4sKHTVK5
V4vktkTDKKG8WsVLmIvlV9dsyTbpTnXj2Rak4ma3IlFarfFMkzbCcSG2zlW8VJrsI83goA+Q5rLv
aYlAPgI+w8u0QJn3QjVch5RWlYVTjeZOl3VapTfeqoY3AAoz+OwbCgKJ6Me9auzAvtwkzfyFRtVo
c+kWW/sT4pyi6WXWfqanRHptmLHfnO+2Zvs5iTbrGQnWdlJoNa/RnVsIqKy3yedVtnLKaVIHxXSt
5s6lCEbhCOxgi03zPFZmG2JAIUoTX3DVLYVjgntJR7K7al0oz5P1Jnu+ylFcaKyqWc4BtM6guiq3
jZfGH8N1DTe1SUoKySHsEER1z8kZLpwSnSOkTxUIGnEwQZxEu4izlIFc5Ua0qsP9G3OYJWTTA20q
1OvScrLeeEj4nefoy/upePPZ9iWRLr0dDa2xprShps/dfM4XmZE3n5qVHzx306yAqFUEUyQ0lZke
p9X7bG1v0E1OiovKoq1yEqj3kVOkH+Ft0C/b00AHKHNjWkX8DggF8S2nEtyWFvf+0jY3W1RbVN6o
Q0vwl6njJW8g2GVvUMXGqBXw5OWimUMcVfQVW6IQsOtZmpVohvfsYt3YAW/F25YPfi6UySGaae96
TiYVDbh8DmWOmVvtLFIbYbBLQBkIjnQM+bOd6JaSfpprYG06km8nqFoWHuexW1koItNyGeZqp/St
arusuFyHJS4Ib0xglqFmrey4R6EgTQhn1632rs5Mtn4VWJsrc4esFoTrNXR1VLH5aQ4qPtDZk+gT
rDKfeA6ZUXRXU6GVrAUFghAwuNzsa5PVJikSB4mRyCmLWbIyt0tUVMEaWGvF+tuz53DzAq+4gswI
dDDZ+SHd7LVV8KWoy8Uqs4yZZYa+P0GuZ1N8jFrEX94i70ULElcP3JsadbeJHYXrWbDdbq5Wit1e
NK5IrXl+7Jwj+bV9X1t5fGf72Vc9aj/udFN7vQZ7QaEhQr5DJ6s9M6tMf/DLwH9ow3D71q8c3hw7
fjXbILns0bETkbfzOgip2myiwrlGD6ZIp7ttlNGHCNXlBoJ84UOkg9RMZSBtXm2K0rizkdpRzvN4
TZbU5i3QJ5B8wgclqSFKkVKKXu3y3HyNXln0eqOZ1V0cupBFU624N2slmqXk476knl2/KO2sFYRK
PUTT3jUgSEMSOd9W7dY7p/Mm7sKbW/BDXfO62dZf5pmyfbul4/ytVoEuQBXM+rze2vRlz5Gi56xM
IAxtGsO/8cwmfJXvkKJTvK2HbH7tFws9RFInBtg/S0KregFknaIQGMs4v9RweRcKwSyULE3XQeKY
dJ25CKLEeGevs+yqToz2bRYG85dqU7W3ZYDIgkdz+09VBMB0phaFGV7vwt3OgnGpKkiYzel7fmPv
SI5fekFVXHHLVV6uELd9T8cWHfwFlJ8E7KajrmmN425vtpzwX7V6QwP5LKsvdxyEL5JVEUfTDGEF
urZqXC8CnNslJX4NHQMiC2Xi10596+v1luT1ag4MhsJf/mm9K+lNDhbkJVgK3KihNh75O1Qe0ImI
AXWRM0z1V6XTtNZ5422QjnIjx8QhattlqtMY/cJTNu2Fn8FQNs0NPe4iu70qKie8K2Jt877SmuKD
G6HOU+/oKtSuhIgvHTHQXgkC+KbtypnSLtgJKXy2wQPNEDmHSpUmx1CtwmhqslRv6pZ7ShJBB59Y
5A9fg1vcvVfzLWDXsAQMGxob48JVjNw5TxBkv9gUDmXWVA+94rLCdr/Oo2D3d+Ya5T1im87D1i7t
8EIFKIdmF7gFUPJp5KAF5dIQFiLWJpzmAbpfVwCXvlrBzn9TrGKDUw7Q9rWx3cE8T1O0l8j0Am0z
YalT4Ujy1wqSNTNdtefl1PNFZbOFvQ2iNnXQe6nM0n2xrhAhUkyn/ghmAwV3x29Xr1Vqwer5nMbw
rxOI/+U5nZyV2wD2yIQzu9DMqzjbRrvqwy6AdjNgBv9nQLLDRARCHtBbWDa31TJv7pYwectvHa7E
px2d6l36e3+0RxU8PdCz5a9kVykdq2Q0viUPv43V/eKfjREtmFj1sPzXX4bo/i6a39C6pH/+ehYh
cjJ8rLge6AoYUFzxuTfzcPniCw8W6UfL8PMZ9uv587/52Qz6BXr+AJtNFRkkqUWwzTPNNE2HdEa/
BqRwDheBpM6ZDiIEigyquv+V6d+nVVIKM/TD9ChZross6a/M/mSEAxPwzqBpQUHk3t89gFgOZ+/R
QU4DFCPyK93Tf+GITAB6nsiT/coqLJAJSvZkF+b5fSMYcFqYIv3cnlwFQOo0iCI/qpHoE88IN4LK
m5NbBLwB/TmRioIjdmgDLkUYk+yKrlJs6Z7/0j44eX/f3cCglyU3fevMgnos6jn9JE9Wgd5oGpwz
8uRky8UzPhsgAyprA+YZfcnI6ELJ6J6TRWADnGEjsCfJ/IqH1DCrPiJ3wE3zUc/a7pT6J+eieYYr
oEZjDq/6xCkCHzxDPd7w8Ahjm7/TVSHldoLg6gH24tzv3rF4yYf+QFPZKiJVbPcuZ0RvH6SlyFpL
TV8j6uHtijz4ybwt5k3NilVBcG+Mxm8RyEnOnk6vuoVujKfByRomefTyu+WBMsyx27uIse0ASGT9
ruzVBn4rMDY57+mKC4i4nyMVrsNFAHtAxYlCAXXF7un97og2Anq5/GapfQDHDnQDMGpkGLrnxA04
xAsdtlof3exdFC0kZ28Q+OIEbCBevQmwsQ5NwLHOTFuQ3tAs6J7RLQLlWVM2JgQug5iEwMsMQdHJ
RnAIB6BbG2TFR+cGwBvLXpB1Wm54QOq4+j1pBC5+AAQmkAmEbsQzvgNRHFayW0E/s5GocdGI6Wd5
4ghoP8IF2gDMMXjD8a2CCX1XchVMpHYBoMHDH4zhZCtodFS3LS4Q1OrHthcGUJ3cccD00DOgAj+4
ghOHSLLIoWxNCDLWvfAUU/2fXg1M9QzoHSDbDhKHUzixAjwCnyCBTEKpe0a4Fyiqyu4F9QwuvMgL
DdfEx7YA8sqGnPz98MT4RhQfQfMSaQ65HaFzT/JsXTf664DIxx6GCPRqOsNUTBQahy0zNr8ABFGQ
+uVWQeTGuC8Mvr9LCRyuAqIwLtBRD2hWf4b2xjciW8BUXdlIgXCRGxPySfsbAct6uArk0AQXERTt
cKce3xlhoQAlawsO3lEjnewyU/Gcpo901D5AXsML7kOJ/gtHZQveEMr+/u2RoFkFNE1SffALJ7bg
GeTcyR+K4kX3jC+TCPBY1hYMl9jYdHSx8bvnJGr00GkBbs0lezgjxneDEIYquSNIp5Ay0lG2GnLn
p/ECDfpcx0Eib4iaRucXAKq7smeEocKsZsejUNP7hZN4wdM4Q5DZ0REC657xVZkoM/Wv5vf9gqGR
MoCRQhnp6R3hnRlUWdgw321lXFETUC7peqtpnQldavDr3/f94Ulpe2dQaRCPg203TlugIC59RuAd
UW0CLHeyExyb+4NGDWZfb+233ohOSGqkQ/nz93cCd2nXMR0PGH3/jh97RYcyHEHE8PnoTkid9Lds
zGja7AR0zVCaeNofgExAkEJ07xndxYH2ybLTZwsYtkO8PMSCp9cnkWTnYITtMhjB6I5GQcxg/8pd
n+AqkmEnofB0sKiplKNMVhvKz+isgLhGev5UGSgmGY4z1Foxq8PjAAAKkQNtr/ZViNG5AkRVRDdv
KSsQYaKmI44Km6V7Thyi456JG7YlCEHdM75jAT8lHSARAHE7JDT4nio4tAVNQ7zHAoNB49n9lWJc
ARJSmOLOK2ULpoFCEdxQb2/xJ9dHai7w3CA+U5TpnvGdDvQ/k14FUowALIQg6LdZHtqCQzoa4KIO
Ybd/xucdDcJYWVsgxYimuynAV91zagvWGfhMFWsZguXReUegWYIUK7cjSCtxcwJtQwGie47PCCyE
m5XALe2NofvCMQXNAlknuwrUWnWXCstQcD4tPQi/ACVYFfCs7hnfGYEYdv+jfv/qYIDBQWOK9Fq/
IU7BSR4nKdAsuiAMJ2UfoIzJFky2q6wtAFgFikiJBbm67jnZEV2ilcAJnNbY9oIA7PY1gN+3Ai6Q
aG6I3inDW2aWh6eD8Aicxdyuhm03ovdvwJyXjpQsILlkidQhEDq9O1FuoPeGIGsP50ZvcGNaBROy
tuQuoOiCKLWIhQZncHJ36NCqDmlFBAVHtwugb8jeoNkFiKajQyDkzw/NH2gWSiqw+MGods/ors5E
BdJVaBIIwNUpNpEv654TJwBqnx4MUOfUIYT8BwfiL+yUb3ygSRBGDzNB2gmXxVOEoR/9wZ4B8/jz
gf0iKC6C43H0h0KPv//uHgAv/v+/j6DxXaH94MN94b37nuGfDxN8/NVH37Wf1f4/XoXLfJHfB033
QTP8zJtFDJvo/6LFl0W8OBRrZd1Z8++/5F9/Hf3Og+3/HwYu1ifjijS09LhI8qfJ8cAdhF5+4PUi
KRbF/id2TKUOlSo78mQRhV/TPDnuz9LDfqXHTqM0Xzwc9Wro0eTyIyPke1+G91V5uCQ9RlV28Oky
WmwX+fJw5B7/KT3yr7XF+TFb79ul52fWfcGqhw/HVthDF2V//+Uyzf1jS9EIB7iHyI58xYqH4X6c
zrx74L3swM8fFsGRAdKVTiD3pMel0XmShsc7kuoucaj00MlDuDjxIj2gRHrkdHtsFmaHTZAd9sVj
39SX+6UHZoDqft3s17Szi76GLjv0y7QKi0fL3FemZcd+RRO1I+8xVDnlx4XLvkgeDpdjKB3KD10U
i3sI+suyPLLpAfMtPX54H4T+4phr2tf95IcWou5peWTZQzVNfuyiCPlflh35poEq/SdGT6v8dGhR
B5MeOk3KEx8y1JZkR75ZfskXJ9ETMAtRtpEful4cn1vcuEUNQH7g7bOrRZwVQXh8rA/Z9T8x/vUy
L5ZHngrioEha/4nBXy134f3RMTawEv/E4J/SfL3/md39oE8zSw9Nz8ng2WRBs6Pw+DQbyLV/5gum
i/Xp3u8TxLLD/6jLmGR09nodEZEc32rAkYs0pvQvzpf0sd+P073KPjMoO/Ab+mYUTVQvTq4JA9pX
dvi7IH1YPntePDrb+hy37PBv0+oHhjgw/f/MFzw2xCEvKTv8T7uWSFrju+Xu+FZp9LA02d/8vlwE
h4YIQEsk52SH/bDMY062/UDCxKlpirSX9MghN5sT8x7q8LJD/73g3En88nhrQmUQ6GjpwZdF+ezD
Uz++z4dJj/8zSW1J4/u7SZHP8PeL0L3NnkXx81/9VKbpGxfkcf5pLw7z1D87Tq6Jv7iPlov83/8P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ea typeface="Calibri"/>
            <a:cs typeface="Times New Roman" panose="02020603050405020304" pitchFamily="18"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1123950</xdr:colOff>
      <xdr:row>7</xdr:row>
      <xdr:rowOff>42862</xdr:rowOff>
    </xdr:from>
    <xdr:to>
      <xdr:col>11</xdr:col>
      <xdr:colOff>38100</xdr:colOff>
      <xdr:row>21</xdr:row>
      <xdr:rowOff>119062</xdr:rowOff>
    </xdr:to>
    <xdr:graphicFrame macro="">
      <xdr:nvGraphicFramePr>
        <xdr:cNvPr id="2" name="Chart 1">
          <a:extLst>
            <a:ext uri="{FF2B5EF4-FFF2-40B4-BE49-F238E27FC236}">
              <a16:creationId xmlns:a16="http://schemas.microsoft.com/office/drawing/2014/main" id="{E74CBDC4-0C84-D9DB-1217-33143CD01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590550</xdr:colOff>
      <xdr:row>23</xdr:row>
      <xdr:rowOff>52386</xdr:rowOff>
    </xdr:from>
    <xdr:to>
      <xdr:col>14</xdr:col>
      <xdr:colOff>323850</xdr:colOff>
      <xdr:row>43</xdr:row>
      <xdr:rowOff>152399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0B0978A-130F-7851-90EF-1721A08D8E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29400" y="4433886"/>
              <a:ext cx="5219700" cy="39100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12</xdr:row>
      <xdr:rowOff>57150</xdr:rowOff>
    </xdr:from>
    <xdr:to>
      <xdr:col>12</xdr:col>
      <xdr:colOff>190500</xdr:colOff>
      <xdr:row>35</xdr:row>
      <xdr:rowOff>47625</xdr:rowOff>
    </xdr:to>
    <xdr:graphicFrame macro="">
      <xdr:nvGraphicFramePr>
        <xdr:cNvPr id="3" name="Chart 2">
          <a:extLst>
            <a:ext uri="{FF2B5EF4-FFF2-40B4-BE49-F238E27FC236}">
              <a16:creationId xmlns:a16="http://schemas.microsoft.com/office/drawing/2014/main" id="{D4F7D79C-0353-4E1E-BA65-B898FB56C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609600</xdr:colOff>
      <xdr:row>3</xdr:row>
      <xdr:rowOff>85725</xdr:rowOff>
    </xdr:from>
    <xdr:to>
      <xdr:col>12</xdr:col>
      <xdr:colOff>152400</xdr:colOff>
      <xdr:row>11</xdr:row>
      <xdr:rowOff>180975</xdr:rowOff>
    </xdr:to>
    <mc:AlternateContent xmlns:mc="http://schemas.openxmlformats.org/markup-compatibility/2006">
      <mc:Choice xmlns:tsle="http://schemas.microsoft.com/office/drawing/2012/timeslicer" Requires="tsle">
        <xdr:graphicFrame macro="">
          <xdr:nvGraphicFramePr>
            <xdr:cNvPr id="4" name="Invoice Date">
              <a:extLst>
                <a:ext uri="{FF2B5EF4-FFF2-40B4-BE49-F238E27FC236}">
                  <a16:creationId xmlns:a16="http://schemas.microsoft.com/office/drawing/2014/main" id="{264A5A03-2DD0-C0F4-240F-0D4B911F9024}"/>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1771650" y="1019175"/>
              <a:ext cx="6276975" cy="14192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12</xdr:col>
      <xdr:colOff>161925</xdr:colOff>
      <xdr:row>3</xdr:row>
      <xdr:rowOff>85725</xdr:rowOff>
    </xdr:from>
    <xdr:to>
      <xdr:col>18</xdr:col>
      <xdr:colOff>2019300</xdr:colOff>
      <xdr:row>34</xdr:row>
      <xdr:rowOff>171450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A2C7675-CDCF-445D-9B69-86BA4E0812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58150" y="1019175"/>
              <a:ext cx="9696450" cy="5924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7</xdr:row>
      <xdr:rowOff>133350</xdr:rowOff>
    </xdr:from>
    <xdr:to>
      <xdr:col>2</xdr:col>
      <xdr:colOff>619125</xdr:colOff>
      <xdr:row>16</xdr:row>
      <xdr:rowOff>180975</xdr:rowOff>
    </xdr:to>
    <mc:AlternateContent xmlns:mc="http://schemas.openxmlformats.org/markup-compatibility/2006">
      <mc:Choice xmlns:a14="http://schemas.microsoft.com/office/drawing/2010/main" Requires="a14">
        <xdr:graphicFrame macro="">
          <xdr:nvGraphicFramePr>
            <xdr:cNvPr id="6" name="Retailer">
              <a:extLst>
                <a:ext uri="{FF2B5EF4-FFF2-40B4-BE49-F238E27FC236}">
                  <a16:creationId xmlns:a16="http://schemas.microsoft.com/office/drawing/2014/main" id="{17F2DAFD-79D4-5CFC-1996-681F345833B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0" y="1628775"/>
              <a:ext cx="1781175" cy="1762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28576</xdr:rowOff>
    </xdr:from>
    <xdr:to>
      <xdr:col>2</xdr:col>
      <xdr:colOff>666750</xdr:colOff>
      <xdr:row>25</xdr:row>
      <xdr:rowOff>95251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CF05280-5C06-6268-5E74-EEC1B5E3CF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38501"/>
              <a:ext cx="18288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2</xdr:col>
      <xdr:colOff>666750</xdr:colOff>
      <xdr:row>36</xdr:row>
      <xdr:rowOff>85724</xdr:rowOff>
    </xdr:to>
    <mc:AlternateContent xmlns:mc="http://schemas.openxmlformats.org/markup-compatibility/2006">
      <mc:Choice xmlns:a14="http://schemas.microsoft.com/office/drawing/2010/main" Requires="a14">
        <xdr:graphicFrame macro="">
          <xdr:nvGraphicFramePr>
            <xdr:cNvPr id="8" name="Beverage Brand">
              <a:extLst>
                <a:ext uri="{FF2B5EF4-FFF2-40B4-BE49-F238E27FC236}">
                  <a16:creationId xmlns:a16="http://schemas.microsoft.com/office/drawing/2014/main" id="{EDB7A932-2A1D-A916-A9F9-3650493B2EAB}"/>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0" y="4972050"/>
              <a:ext cx="1828800" cy="2285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628650</xdr:colOff>
      <xdr:row>7</xdr:row>
      <xdr:rowOff>95249</xdr:rowOff>
    </xdr:to>
    <xdr:pic>
      <xdr:nvPicPr>
        <xdr:cNvPr id="12" name="Picture 11">
          <a:extLst>
            <a:ext uri="{FF2B5EF4-FFF2-40B4-BE49-F238E27FC236}">
              <a16:creationId xmlns:a16="http://schemas.microsoft.com/office/drawing/2014/main" id="{67F9445E-E47B-9938-0DA7-DB625DA5C6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790700" cy="1590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100.927198379628" createdVersion="8" refreshedVersion="8" minRefreshableVersion="3" recordCount="3888" xr:uid="{180F1038-E045-4464-B94D-DAF9CE5FBE84}">
  <cacheSource type="worksheet">
    <worksheetSource name="Table1"/>
  </cacheSource>
  <cacheFields count="15">
    <cacheField name="Column1" numFmtId="0">
      <sharedItems containsBlank="1"/>
    </cacheField>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3">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Months (Invoice Date)" numFmtId="0" databaseField="0">
      <fieldGroup base="3">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1223408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x v="0"/>
    <n v="1185732"/>
    <x v="0"/>
    <x v="0"/>
    <x v="0"/>
    <s v="New York"/>
    <x v="0"/>
    <n v="0.5"/>
    <n v="12000"/>
    <n v="6000"/>
    <n v="3000"/>
    <n v="0.5"/>
  </r>
  <r>
    <m/>
    <x v="0"/>
    <n v="1185732"/>
    <x v="0"/>
    <x v="0"/>
    <x v="0"/>
    <s v="New York"/>
    <x v="1"/>
    <n v="0.5"/>
    <n v="10000"/>
    <n v="5000"/>
    <n v="1500"/>
    <n v="0.3"/>
  </r>
  <r>
    <m/>
    <x v="0"/>
    <n v="1185732"/>
    <x v="0"/>
    <x v="0"/>
    <x v="0"/>
    <s v="New York"/>
    <x v="2"/>
    <n v="0.4"/>
    <n v="10000"/>
    <n v="4000"/>
    <n v="1400"/>
    <n v="0.35"/>
  </r>
  <r>
    <m/>
    <x v="0"/>
    <n v="1185732"/>
    <x v="0"/>
    <x v="0"/>
    <x v="0"/>
    <s v="New York"/>
    <x v="3"/>
    <n v="0.45"/>
    <n v="8500"/>
    <n v="3825"/>
    <n v="1338.75"/>
    <n v="0.35"/>
  </r>
  <r>
    <m/>
    <x v="0"/>
    <n v="1185732"/>
    <x v="0"/>
    <x v="0"/>
    <x v="0"/>
    <s v="New York"/>
    <x v="4"/>
    <n v="0.6"/>
    <n v="9000"/>
    <n v="5400"/>
    <n v="1620"/>
    <n v="0.3"/>
  </r>
  <r>
    <m/>
    <x v="0"/>
    <n v="1185732"/>
    <x v="0"/>
    <x v="0"/>
    <x v="0"/>
    <s v="New York"/>
    <x v="5"/>
    <n v="0.5"/>
    <n v="10000"/>
    <n v="5000"/>
    <n v="1250"/>
    <n v="0.25"/>
  </r>
  <r>
    <m/>
    <x v="0"/>
    <n v="1185732"/>
    <x v="1"/>
    <x v="0"/>
    <x v="0"/>
    <s v="New York"/>
    <x v="0"/>
    <n v="0.5"/>
    <n v="12500"/>
    <n v="6250"/>
    <n v="3125"/>
    <n v="0.5"/>
  </r>
  <r>
    <m/>
    <x v="0"/>
    <n v="1185732"/>
    <x v="1"/>
    <x v="0"/>
    <x v="0"/>
    <s v="New York"/>
    <x v="1"/>
    <n v="0.5"/>
    <n v="9000"/>
    <n v="4500"/>
    <n v="1350"/>
    <n v="0.3"/>
  </r>
  <r>
    <m/>
    <x v="0"/>
    <n v="1185732"/>
    <x v="1"/>
    <x v="0"/>
    <x v="0"/>
    <s v="New York"/>
    <x v="2"/>
    <n v="0.4"/>
    <n v="9500"/>
    <n v="3800"/>
    <n v="1330"/>
    <n v="0.35"/>
  </r>
  <r>
    <m/>
    <x v="0"/>
    <n v="1185732"/>
    <x v="1"/>
    <x v="0"/>
    <x v="0"/>
    <s v="New York"/>
    <x v="3"/>
    <n v="0.45"/>
    <n v="8250"/>
    <n v="3712.5"/>
    <n v="1299.375"/>
    <n v="0.35"/>
  </r>
  <r>
    <m/>
    <x v="0"/>
    <n v="1185732"/>
    <x v="1"/>
    <x v="0"/>
    <x v="0"/>
    <s v="New York"/>
    <x v="4"/>
    <n v="0.6"/>
    <n v="9000"/>
    <n v="5400"/>
    <n v="1620"/>
    <n v="0.3"/>
  </r>
  <r>
    <m/>
    <x v="0"/>
    <n v="1185732"/>
    <x v="1"/>
    <x v="0"/>
    <x v="0"/>
    <s v="New York"/>
    <x v="5"/>
    <n v="0.5"/>
    <n v="10000"/>
    <n v="5000"/>
    <n v="1250"/>
    <n v="0.25"/>
  </r>
  <r>
    <m/>
    <x v="0"/>
    <n v="1185732"/>
    <x v="2"/>
    <x v="0"/>
    <x v="0"/>
    <s v="New York"/>
    <x v="0"/>
    <n v="0.5"/>
    <n v="12200"/>
    <n v="6100"/>
    <n v="3050"/>
    <n v="0.5"/>
  </r>
  <r>
    <m/>
    <x v="0"/>
    <n v="1185732"/>
    <x v="2"/>
    <x v="0"/>
    <x v="0"/>
    <s v="New York"/>
    <x v="1"/>
    <n v="0.5"/>
    <n v="9250"/>
    <n v="4625"/>
    <n v="1387.5"/>
    <n v="0.3"/>
  </r>
  <r>
    <m/>
    <x v="0"/>
    <n v="1185732"/>
    <x v="2"/>
    <x v="0"/>
    <x v="0"/>
    <s v="New York"/>
    <x v="2"/>
    <n v="0.4"/>
    <n v="9500"/>
    <n v="3800"/>
    <n v="1330"/>
    <n v="0.35"/>
  </r>
  <r>
    <m/>
    <x v="0"/>
    <n v="1185732"/>
    <x v="2"/>
    <x v="0"/>
    <x v="0"/>
    <s v="New York"/>
    <x v="3"/>
    <n v="0.45"/>
    <n v="8000"/>
    <n v="3600"/>
    <n v="1260"/>
    <n v="0.35"/>
  </r>
  <r>
    <m/>
    <x v="0"/>
    <n v="1185732"/>
    <x v="2"/>
    <x v="0"/>
    <x v="0"/>
    <s v="New York"/>
    <x v="4"/>
    <n v="0.6"/>
    <n v="8500"/>
    <n v="5100"/>
    <n v="1530"/>
    <n v="0.3"/>
  </r>
  <r>
    <m/>
    <x v="0"/>
    <n v="1185732"/>
    <x v="2"/>
    <x v="0"/>
    <x v="0"/>
    <s v="New York"/>
    <x v="5"/>
    <n v="0.5"/>
    <n v="9500"/>
    <n v="4750"/>
    <n v="1187.5"/>
    <n v="0.25"/>
  </r>
  <r>
    <m/>
    <x v="0"/>
    <n v="1185732"/>
    <x v="3"/>
    <x v="0"/>
    <x v="0"/>
    <s v="New York"/>
    <x v="0"/>
    <n v="0.5"/>
    <n v="12000"/>
    <n v="6000"/>
    <n v="3000"/>
    <n v="0.5"/>
  </r>
  <r>
    <m/>
    <x v="0"/>
    <n v="1185732"/>
    <x v="3"/>
    <x v="0"/>
    <x v="0"/>
    <s v="New York"/>
    <x v="1"/>
    <n v="0.5"/>
    <n v="9000"/>
    <n v="4500"/>
    <n v="1350"/>
    <n v="0.3"/>
  </r>
  <r>
    <m/>
    <x v="0"/>
    <n v="1185732"/>
    <x v="3"/>
    <x v="0"/>
    <x v="0"/>
    <s v="New York"/>
    <x v="2"/>
    <n v="0.4"/>
    <n v="9000"/>
    <n v="3600"/>
    <n v="1260"/>
    <n v="0.35"/>
  </r>
  <r>
    <m/>
    <x v="0"/>
    <n v="1185732"/>
    <x v="3"/>
    <x v="0"/>
    <x v="0"/>
    <s v="New York"/>
    <x v="3"/>
    <n v="0.45"/>
    <n v="8250"/>
    <n v="3712.5"/>
    <n v="1299.375"/>
    <n v="0.35"/>
  </r>
  <r>
    <m/>
    <x v="0"/>
    <n v="1185732"/>
    <x v="3"/>
    <x v="0"/>
    <x v="0"/>
    <s v="New York"/>
    <x v="4"/>
    <n v="0.6"/>
    <n v="8250"/>
    <n v="4950"/>
    <n v="1485"/>
    <n v="0.3"/>
  </r>
  <r>
    <m/>
    <x v="0"/>
    <n v="1185732"/>
    <x v="3"/>
    <x v="0"/>
    <x v="0"/>
    <s v="New York"/>
    <x v="5"/>
    <n v="0.5"/>
    <n v="9500"/>
    <n v="4750"/>
    <n v="1187.5"/>
    <n v="0.25"/>
  </r>
  <r>
    <m/>
    <x v="0"/>
    <n v="1185732"/>
    <x v="4"/>
    <x v="0"/>
    <x v="0"/>
    <s v="New York"/>
    <x v="0"/>
    <n v="0.6"/>
    <n v="12200"/>
    <n v="7320"/>
    <n v="3660"/>
    <n v="0.5"/>
  </r>
  <r>
    <m/>
    <x v="0"/>
    <n v="1185732"/>
    <x v="4"/>
    <x v="0"/>
    <x v="0"/>
    <s v="New York"/>
    <x v="1"/>
    <n v="0.55000000000000004"/>
    <n v="9250"/>
    <n v="5087.5"/>
    <n v="1526.25"/>
    <n v="0.3"/>
  </r>
  <r>
    <m/>
    <x v="0"/>
    <n v="1185732"/>
    <x v="4"/>
    <x v="0"/>
    <x v="0"/>
    <s v="New York"/>
    <x v="2"/>
    <n v="0.5"/>
    <n v="9000"/>
    <n v="4500"/>
    <n v="1575"/>
    <n v="0.35"/>
  </r>
  <r>
    <m/>
    <x v="0"/>
    <n v="1185732"/>
    <x v="4"/>
    <x v="0"/>
    <x v="0"/>
    <s v="New York"/>
    <x v="3"/>
    <n v="0.5"/>
    <n v="8500"/>
    <n v="4250"/>
    <n v="1487.5"/>
    <n v="0.35"/>
  </r>
  <r>
    <m/>
    <x v="0"/>
    <n v="1185732"/>
    <x v="4"/>
    <x v="0"/>
    <x v="0"/>
    <s v="New York"/>
    <x v="4"/>
    <n v="0.6"/>
    <n v="8750"/>
    <n v="5250"/>
    <n v="1575"/>
    <n v="0.3"/>
  </r>
  <r>
    <m/>
    <x v="0"/>
    <n v="1185732"/>
    <x v="4"/>
    <x v="0"/>
    <x v="0"/>
    <s v="New York"/>
    <x v="5"/>
    <n v="0.65"/>
    <n v="10000"/>
    <n v="6500"/>
    <n v="1625"/>
    <n v="0.25"/>
  </r>
  <r>
    <m/>
    <x v="0"/>
    <n v="1185732"/>
    <x v="5"/>
    <x v="0"/>
    <x v="0"/>
    <s v="New York"/>
    <x v="0"/>
    <n v="0.6"/>
    <n v="12500"/>
    <n v="7500"/>
    <n v="3750"/>
    <n v="0.5"/>
  </r>
  <r>
    <m/>
    <x v="0"/>
    <n v="1185732"/>
    <x v="5"/>
    <x v="0"/>
    <x v="0"/>
    <s v="New York"/>
    <x v="1"/>
    <n v="0.55000000000000004"/>
    <n v="10000"/>
    <n v="5500"/>
    <n v="1650"/>
    <n v="0.3"/>
  </r>
  <r>
    <m/>
    <x v="0"/>
    <n v="1185732"/>
    <x v="5"/>
    <x v="0"/>
    <x v="0"/>
    <s v="New York"/>
    <x v="2"/>
    <n v="0.5"/>
    <n v="9250"/>
    <n v="4625"/>
    <n v="1618.75"/>
    <n v="0.35"/>
  </r>
  <r>
    <m/>
    <x v="0"/>
    <n v="1185732"/>
    <x v="5"/>
    <x v="0"/>
    <x v="0"/>
    <s v="New York"/>
    <x v="3"/>
    <n v="0.5"/>
    <n v="9000"/>
    <n v="4500"/>
    <n v="1575"/>
    <n v="0.35"/>
  </r>
  <r>
    <m/>
    <x v="0"/>
    <n v="1185732"/>
    <x v="5"/>
    <x v="0"/>
    <x v="0"/>
    <s v="New York"/>
    <x v="4"/>
    <n v="0.6"/>
    <n v="9000"/>
    <n v="5400"/>
    <n v="1620"/>
    <n v="0.3"/>
  </r>
  <r>
    <m/>
    <x v="0"/>
    <n v="1185732"/>
    <x v="5"/>
    <x v="0"/>
    <x v="0"/>
    <s v="New York"/>
    <x v="5"/>
    <n v="0.65"/>
    <n v="10500"/>
    <n v="6825"/>
    <n v="1706.25"/>
    <n v="0.25"/>
  </r>
  <r>
    <m/>
    <x v="0"/>
    <n v="1185732"/>
    <x v="6"/>
    <x v="0"/>
    <x v="0"/>
    <s v="New York"/>
    <x v="0"/>
    <n v="0.6"/>
    <n v="12750"/>
    <n v="7650"/>
    <n v="3825"/>
    <n v="0.5"/>
  </r>
  <r>
    <m/>
    <x v="0"/>
    <n v="1185732"/>
    <x v="6"/>
    <x v="0"/>
    <x v="0"/>
    <s v="New York"/>
    <x v="1"/>
    <n v="0.55000000000000004"/>
    <n v="10250"/>
    <n v="5637.5000000000009"/>
    <n v="1691.2500000000002"/>
    <n v="0.3"/>
  </r>
  <r>
    <m/>
    <x v="0"/>
    <n v="1185732"/>
    <x v="6"/>
    <x v="0"/>
    <x v="0"/>
    <s v="New York"/>
    <x v="2"/>
    <n v="0.5"/>
    <n v="9500"/>
    <n v="4750"/>
    <n v="1662.5"/>
    <n v="0.35"/>
  </r>
  <r>
    <m/>
    <x v="0"/>
    <n v="1185732"/>
    <x v="6"/>
    <x v="0"/>
    <x v="0"/>
    <s v="New York"/>
    <x v="3"/>
    <n v="0.5"/>
    <n v="9000"/>
    <n v="4500"/>
    <n v="1575"/>
    <n v="0.35"/>
  </r>
  <r>
    <m/>
    <x v="0"/>
    <n v="1185732"/>
    <x v="6"/>
    <x v="0"/>
    <x v="0"/>
    <s v="New York"/>
    <x v="4"/>
    <n v="0.6"/>
    <n v="9250"/>
    <n v="5550"/>
    <n v="1665"/>
    <n v="0.3"/>
  </r>
  <r>
    <m/>
    <x v="0"/>
    <n v="1185732"/>
    <x v="6"/>
    <x v="0"/>
    <x v="0"/>
    <s v="New York"/>
    <x v="5"/>
    <n v="0.65"/>
    <n v="11000"/>
    <n v="7150"/>
    <n v="1787.5"/>
    <n v="0.25"/>
  </r>
  <r>
    <m/>
    <x v="0"/>
    <n v="1185732"/>
    <x v="7"/>
    <x v="0"/>
    <x v="0"/>
    <s v="New York"/>
    <x v="0"/>
    <n v="0.6"/>
    <n v="12500"/>
    <n v="7500"/>
    <n v="3750"/>
    <n v="0.5"/>
  </r>
  <r>
    <m/>
    <x v="0"/>
    <n v="1185732"/>
    <x v="7"/>
    <x v="0"/>
    <x v="0"/>
    <s v="New York"/>
    <x v="1"/>
    <n v="0.55000000000000004"/>
    <n v="10250"/>
    <n v="5637.5000000000009"/>
    <n v="1691.2500000000002"/>
    <n v="0.3"/>
  </r>
  <r>
    <m/>
    <x v="0"/>
    <n v="1185732"/>
    <x v="7"/>
    <x v="0"/>
    <x v="0"/>
    <s v="New York"/>
    <x v="2"/>
    <n v="0.5"/>
    <n v="9500"/>
    <n v="4750"/>
    <n v="1662.5"/>
    <n v="0.35"/>
  </r>
  <r>
    <m/>
    <x v="0"/>
    <n v="1185732"/>
    <x v="7"/>
    <x v="0"/>
    <x v="0"/>
    <s v="New York"/>
    <x v="3"/>
    <n v="0.5"/>
    <n v="9250"/>
    <n v="4625"/>
    <n v="1618.75"/>
    <n v="0.35"/>
  </r>
  <r>
    <m/>
    <x v="0"/>
    <n v="1185732"/>
    <x v="7"/>
    <x v="0"/>
    <x v="0"/>
    <s v="New York"/>
    <x v="4"/>
    <n v="0.6"/>
    <n v="9000"/>
    <n v="5400"/>
    <n v="1620"/>
    <n v="0.3"/>
  </r>
  <r>
    <m/>
    <x v="0"/>
    <n v="1185732"/>
    <x v="7"/>
    <x v="0"/>
    <x v="0"/>
    <s v="New York"/>
    <x v="5"/>
    <n v="0.65"/>
    <n v="10750"/>
    <n v="6987.5"/>
    <n v="1746.875"/>
    <n v="0.25"/>
  </r>
  <r>
    <m/>
    <x v="0"/>
    <n v="1185732"/>
    <x v="8"/>
    <x v="0"/>
    <x v="0"/>
    <s v="New York"/>
    <x v="0"/>
    <n v="0.6"/>
    <n v="12000"/>
    <n v="7200"/>
    <n v="3600"/>
    <n v="0.5"/>
  </r>
  <r>
    <m/>
    <x v="0"/>
    <n v="1185732"/>
    <x v="8"/>
    <x v="0"/>
    <x v="0"/>
    <s v="New York"/>
    <x v="1"/>
    <n v="0.55000000000000004"/>
    <n v="10000"/>
    <n v="5500"/>
    <n v="1650"/>
    <n v="0.3"/>
  </r>
  <r>
    <m/>
    <x v="0"/>
    <n v="1185732"/>
    <x v="8"/>
    <x v="0"/>
    <x v="0"/>
    <s v="New York"/>
    <x v="2"/>
    <n v="0.5"/>
    <n v="9250"/>
    <n v="4625"/>
    <n v="1618.75"/>
    <n v="0.35"/>
  </r>
  <r>
    <m/>
    <x v="0"/>
    <n v="1185732"/>
    <x v="8"/>
    <x v="0"/>
    <x v="0"/>
    <s v="New York"/>
    <x v="3"/>
    <n v="0.5"/>
    <n v="9000"/>
    <n v="4500"/>
    <n v="1575"/>
    <n v="0.35"/>
  </r>
  <r>
    <m/>
    <x v="0"/>
    <n v="1185732"/>
    <x v="8"/>
    <x v="0"/>
    <x v="0"/>
    <s v="New York"/>
    <x v="4"/>
    <n v="0.6"/>
    <n v="9000"/>
    <n v="5400"/>
    <n v="1620"/>
    <n v="0.3"/>
  </r>
  <r>
    <m/>
    <x v="0"/>
    <n v="1185732"/>
    <x v="8"/>
    <x v="0"/>
    <x v="0"/>
    <s v="New York"/>
    <x v="5"/>
    <n v="0.65"/>
    <n v="10000"/>
    <n v="6500"/>
    <n v="1625"/>
    <n v="0.25"/>
  </r>
  <r>
    <m/>
    <x v="0"/>
    <n v="1185732"/>
    <x v="9"/>
    <x v="0"/>
    <x v="0"/>
    <s v="New York"/>
    <x v="0"/>
    <n v="0.65"/>
    <n v="11750"/>
    <n v="7637.5"/>
    <n v="3818.75"/>
    <n v="0.5"/>
  </r>
  <r>
    <m/>
    <x v="0"/>
    <n v="1185732"/>
    <x v="9"/>
    <x v="0"/>
    <x v="0"/>
    <s v="New York"/>
    <x v="1"/>
    <n v="0.55000000000000004"/>
    <n v="10000"/>
    <n v="5500"/>
    <n v="1650"/>
    <n v="0.3"/>
  </r>
  <r>
    <m/>
    <x v="0"/>
    <n v="1185732"/>
    <x v="9"/>
    <x v="0"/>
    <x v="0"/>
    <s v="New York"/>
    <x v="2"/>
    <n v="0.55000000000000004"/>
    <n v="9000"/>
    <n v="4950"/>
    <n v="1732.5"/>
    <n v="0.35"/>
  </r>
  <r>
    <m/>
    <x v="0"/>
    <n v="1185732"/>
    <x v="9"/>
    <x v="0"/>
    <x v="0"/>
    <s v="New York"/>
    <x v="3"/>
    <n v="0.55000000000000004"/>
    <n v="8750"/>
    <n v="4812.5"/>
    <n v="1684.375"/>
    <n v="0.35"/>
  </r>
  <r>
    <m/>
    <x v="0"/>
    <n v="1185732"/>
    <x v="9"/>
    <x v="0"/>
    <x v="0"/>
    <s v="New York"/>
    <x v="4"/>
    <n v="0.65"/>
    <n v="8750"/>
    <n v="5687.5"/>
    <n v="1706.25"/>
    <n v="0.3"/>
  </r>
  <r>
    <m/>
    <x v="0"/>
    <n v="1185732"/>
    <x v="9"/>
    <x v="0"/>
    <x v="0"/>
    <s v="New York"/>
    <x v="5"/>
    <n v="0.7"/>
    <n v="10000"/>
    <n v="7000"/>
    <n v="1750"/>
    <n v="0.25"/>
  </r>
  <r>
    <m/>
    <x v="0"/>
    <n v="1185732"/>
    <x v="10"/>
    <x v="0"/>
    <x v="0"/>
    <s v="New York"/>
    <x v="0"/>
    <n v="0.65"/>
    <n v="11500"/>
    <n v="7475"/>
    <n v="3737.5"/>
    <n v="0.5"/>
  </r>
  <r>
    <m/>
    <x v="0"/>
    <n v="1185732"/>
    <x v="10"/>
    <x v="0"/>
    <x v="0"/>
    <s v="New York"/>
    <x v="1"/>
    <n v="0.55000000000000004"/>
    <n v="9750"/>
    <n v="5362.5"/>
    <n v="1608.75"/>
    <n v="0.3"/>
  </r>
  <r>
    <m/>
    <x v="0"/>
    <n v="1185732"/>
    <x v="10"/>
    <x v="0"/>
    <x v="0"/>
    <s v="New York"/>
    <x v="2"/>
    <n v="0.55000000000000004"/>
    <n v="9200"/>
    <n v="5060"/>
    <n v="1771"/>
    <n v="0.35"/>
  </r>
  <r>
    <m/>
    <x v="0"/>
    <n v="1185732"/>
    <x v="10"/>
    <x v="0"/>
    <x v="0"/>
    <s v="New York"/>
    <x v="3"/>
    <n v="0.55000000000000004"/>
    <n v="9000"/>
    <n v="4950"/>
    <n v="1732.5"/>
    <n v="0.35"/>
  </r>
  <r>
    <m/>
    <x v="0"/>
    <n v="1185732"/>
    <x v="10"/>
    <x v="0"/>
    <x v="0"/>
    <s v="New York"/>
    <x v="4"/>
    <n v="0.65"/>
    <n v="8750"/>
    <n v="5687.5"/>
    <n v="1706.25"/>
    <n v="0.3"/>
  </r>
  <r>
    <m/>
    <x v="0"/>
    <n v="1185732"/>
    <x v="10"/>
    <x v="0"/>
    <x v="0"/>
    <s v="New York"/>
    <x v="5"/>
    <n v="0.7"/>
    <n v="9750"/>
    <n v="6825"/>
    <n v="1706.25"/>
    <n v="0.25"/>
  </r>
  <r>
    <m/>
    <x v="0"/>
    <n v="1185732"/>
    <x v="11"/>
    <x v="0"/>
    <x v="0"/>
    <s v="New York"/>
    <x v="0"/>
    <n v="0.65"/>
    <n v="12000"/>
    <n v="7800"/>
    <n v="3900"/>
    <n v="0.5"/>
  </r>
  <r>
    <m/>
    <x v="0"/>
    <n v="1185732"/>
    <x v="11"/>
    <x v="0"/>
    <x v="0"/>
    <s v="New York"/>
    <x v="1"/>
    <n v="0.55000000000000004"/>
    <n v="10000"/>
    <n v="5500"/>
    <n v="1650"/>
    <n v="0.3"/>
  </r>
  <r>
    <m/>
    <x v="0"/>
    <n v="1185732"/>
    <x v="11"/>
    <x v="0"/>
    <x v="0"/>
    <s v="New York"/>
    <x v="2"/>
    <n v="0.55000000000000004"/>
    <n v="9500"/>
    <n v="5225"/>
    <n v="1828.7499999999998"/>
    <n v="0.35"/>
  </r>
  <r>
    <m/>
    <x v="0"/>
    <n v="1185732"/>
    <x v="11"/>
    <x v="0"/>
    <x v="0"/>
    <s v="New York"/>
    <x v="3"/>
    <n v="0.55000000000000004"/>
    <n v="9000"/>
    <n v="4950"/>
    <n v="1732.5"/>
    <n v="0.35"/>
  </r>
  <r>
    <m/>
    <x v="0"/>
    <n v="1185732"/>
    <x v="11"/>
    <x v="0"/>
    <x v="0"/>
    <s v="New York"/>
    <x v="4"/>
    <n v="0.65"/>
    <n v="9000"/>
    <n v="5850"/>
    <n v="1755"/>
    <n v="0.3"/>
  </r>
  <r>
    <m/>
    <x v="0"/>
    <n v="1185732"/>
    <x v="11"/>
    <x v="0"/>
    <x v="0"/>
    <s v="New York"/>
    <x v="5"/>
    <n v="0.7"/>
    <n v="10000"/>
    <n v="7000"/>
    <n v="1750"/>
    <n v="0.25"/>
  </r>
  <r>
    <m/>
    <x v="1"/>
    <n v="1197831"/>
    <x v="12"/>
    <x v="1"/>
    <x v="1"/>
    <s v="Houston"/>
    <x v="0"/>
    <n v="0.25"/>
    <n v="9000"/>
    <n v="2250"/>
    <n v="787.5"/>
    <n v="0.35"/>
  </r>
  <r>
    <m/>
    <x v="1"/>
    <n v="1197831"/>
    <x v="12"/>
    <x v="1"/>
    <x v="1"/>
    <s v="Houston"/>
    <x v="1"/>
    <n v="0.35"/>
    <n v="9000"/>
    <n v="3150"/>
    <n v="1102.5"/>
    <n v="0.35"/>
  </r>
  <r>
    <m/>
    <x v="1"/>
    <n v="1197831"/>
    <x v="12"/>
    <x v="1"/>
    <x v="1"/>
    <s v="Houston"/>
    <x v="2"/>
    <n v="0.35"/>
    <n v="7000"/>
    <n v="2450"/>
    <n v="857.5"/>
    <n v="0.35"/>
  </r>
  <r>
    <m/>
    <x v="1"/>
    <n v="1197831"/>
    <x v="12"/>
    <x v="1"/>
    <x v="1"/>
    <s v="Houston"/>
    <x v="3"/>
    <n v="0.35"/>
    <n v="7000"/>
    <n v="2450"/>
    <n v="1102.5"/>
    <n v="0.45"/>
  </r>
  <r>
    <m/>
    <x v="1"/>
    <n v="1197831"/>
    <x v="12"/>
    <x v="1"/>
    <x v="1"/>
    <s v="Houston"/>
    <x v="4"/>
    <n v="0.4"/>
    <n v="5500"/>
    <n v="2200"/>
    <n v="660"/>
    <n v="0.3"/>
  </r>
  <r>
    <m/>
    <x v="1"/>
    <n v="1197831"/>
    <x v="12"/>
    <x v="1"/>
    <x v="1"/>
    <s v="Houston"/>
    <x v="5"/>
    <n v="0.35"/>
    <n v="7000"/>
    <n v="2450"/>
    <n v="1225"/>
    <n v="0.5"/>
  </r>
  <r>
    <m/>
    <x v="1"/>
    <n v="1197831"/>
    <x v="13"/>
    <x v="1"/>
    <x v="1"/>
    <s v="Houston"/>
    <x v="0"/>
    <n v="0.25"/>
    <n v="8500"/>
    <n v="2125"/>
    <n v="743.75"/>
    <n v="0.35"/>
  </r>
  <r>
    <m/>
    <x v="1"/>
    <n v="1197831"/>
    <x v="13"/>
    <x v="1"/>
    <x v="1"/>
    <s v="Houston"/>
    <x v="1"/>
    <n v="0.35"/>
    <n v="8500"/>
    <n v="2975"/>
    <n v="1041.25"/>
    <n v="0.35"/>
  </r>
  <r>
    <m/>
    <x v="1"/>
    <n v="1197831"/>
    <x v="13"/>
    <x v="1"/>
    <x v="1"/>
    <s v="Houston"/>
    <x v="2"/>
    <n v="0.35"/>
    <n v="6750"/>
    <n v="2362.5"/>
    <n v="826.875"/>
    <n v="0.35"/>
  </r>
  <r>
    <m/>
    <x v="1"/>
    <n v="1197831"/>
    <x v="13"/>
    <x v="1"/>
    <x v="1"/>
    <s v="Houston"/>
    <x v="3"/>
    <n v="0.35"/>
    <n v="6250"/>
    <n v="2187.5"/>
    <n v="984.375"/>
    <n v="0.45"/>
  </r>
  <r>
    <m/>
    <x v="1"/>
    <n v="1197831"/>
    <x v="13"/>
    <x v="1"/>
    <x v="1"/>
    <s v="Houston"/>
    <x v="4"/>
    <n v="0.4"/>
    <n v="5000"/>
    <n v="2000"/>
    <n v="600"/>
    <n v="0.3"/>
  </r>
  <r>
    <m/>
    <x v="1"/>
    <n v="1197831"/>
    <x v="13"/>
    <x v="1"/>
    <x v="1"/>
    <s v="Houston"/>
    <x v="5"/>
    <n v="0.35"/>
    <n v="7000"/>
    <n v="2450"/>
    <n v="1225"/>
    <n v="0.5"/>
  </r>
  <r>
    <m/>
    <x v="1"/>
    <n v="1197831"/>
    <x v="14"/>
    <x v="1"/>
    <x v="1"/>
    <s v="Houston"/>
    <x v="0"/>
    <n v="0.3"/>
    <n v="8750"/>
    <n v="2625"/>
    <n v="918.74999999999989"/>
    <n v="0.35"/>
  </r>
  <r>
    <m/>
    <x v="1"/>
    <n v="1197831"/>
    <x v="14"/>
    <x v="1"/>
    <x v="1"/>
    <s v="Houston"/>
    <x v="1"/>
    <n v="0.4"/>
    <n v="8750"/>
    <n v="3500"/>
    <n v="1225"/>
    <n v="0.35"/>
  </r>
  <r>
    <m/>
    <x v="1"/>
    <n v="1197831"/>
    <x v="14"/>
    <x v="1"/>
    <x v="1"/>
    <s v="Houston"/>
    <x v="2"/>
    <n v="0.35"/>
    <n v="7000"/>
    <n v="2450"/>
    <n v="857.5"/>
    <n v="0.35"/>
  </r>
  <r>
    <m/>
    <x v="1"/>
    <n v="1197831"/>
    <x v="14"/>
    <x v="1"/>
    <x v="1"/>
    <s v="Houston"/>
    <x v="3"/>
    <n v="0.4"/>
    <n v="6000"/>
    <n v="2400"/>
    <n v="1080"/>
    <n v="0.45"/>
  </r>
  <r>
    <m/>
    <x v="1"/>
    <n v="1197831"/>
    <x v="14"/>
    <x v="1"/>
    <x v="1"/>
    <s v="Houston"/>
    <x v="4"/>
    <n v="0.45"/>
    <n v="5000"/>
    <n v="2250"/>
    <n v="675"/>
    <n v="0.3"/>
  </r>
  <r>
    <m/>
    <x v="1"/>
    <n v="1197831"/>
    <x v="14"/>
    <x v="1"/>
    <x v="1"/>
    <s v="Houston"/>
    <x v="5"/>
    <n v="0.4"/>
    <n v="6500"/>
    <n v="2600"/>
    <n v="1300"/>
    <n v="0.5"/>
  </r>
  <r>
    <m/>
    <x v="1"/>
    <n v="1197831"/>
    <x v="15"/>
    <x v="1"/>
    <x v="1"/>
    <s v="Houston"/>
    <x v="0"/>
    <n v="0.3"/>
    <n v="9000"/>
    <n v="2700"/>
    <n v="944.99999999999989"/>
    <n v="0.35"/>
  </r>
  <r>
    <m/>
    <x v="1"/>
    <n v="1197831"/>
    <x v="15"/>
    <x v="1"/>
    <x v="1"/>
    <s v="Houston"/>
    <x v="1"/>
    <n v="0.4"/>
    <n v="9000"/>
    <n v="3600"/>
    <n v="1260"/>
    <n v="0.35"/>
  </r>
  <r>
    <m/>
    <x v="1"/>
    <n v="1197831"/>
    <x v="15"/>
    <x v="1"/>
    <x v="1"/>
    <s v="Houston"/>
    <x v="2"/>
    <n v="0.35"/>
    <n v="7250"/>
    <n v="2537.5"/>
    <n v="888.125"/>
    <n v="0.35"/>
  </r>
  <r>
    <m/>
    <x v="1"/>
    <n v="1197831"/>
    <x v="15"/>
    <x v="1"/>
    <x v="1"/>
    <s v="Houston"/>
    <x v="3"/>
    <n v="0.4"/>
    <n v="6250"/>
    <n v="2500"/>
    <n v="1125"/>
    <n v="0.45"/>
  </r>
  <r>
    <m/>
    <x v="1"/>
    <n v="1197831"/>
    <x v="15"/>
    <x v="1"/>
    <x v="1"/>
    <s v="Houston"/>
    <x v="4"/>
    <n v="0.45"/>
    <n v="5250"/>
    <n v="2362.5"/>
    <n v="708.75"/>
    <n v="0.3"/>
  </r>
  <r>
    <m/>
    <x v="1"/>
    <n v="1197831"/>
    <x v="15"/>
    <x v="1"/>
    <x v="1"/>
    <s v="Houston"/>
    <x v="5"/>
    <n v="0.4"/>
    <n v="8000"/>
    <n v="3200"/>
    <n v="1600"/>
    <n v="0.5"/>
  </r>
  <r>
    <m/>
    <x v="1"/>
    <n v="1197831"/>
    <x v="16"/>
    <x v="1"/>
    <x v="1"/>
    <s v="Houston"/>
    <x v="0"/>
    <n v="0.3"/>
    <n v="9250"/>
    <n v="2775"/>
    <n v="971.24999999999989"/>
    <n v="0.35"/>
  </r>
  <r>
    <m/>
    <x v="1"/>
    <n v="1197831"/>
    <x v="16"/>
    <x v="1"/>
    <x v="1"/>
    <s v="Houston"/>
    <x v="1"/>
    <n v="0.4"/>
    <n v="9250"/>
    <n v="3700"/>
    <n v="1295"/>
    <n v="0.35"/>
  </r>
  <r>
    <m/>
    <x v="1"/>
    <n v="1197831"/>
    <x v="16"/>
    <x v="1"/>
    <x v="1"/>
    <s v="Houston"/>
    <x v="2"/>
    <n v="0.35"/>
    <n v="7750"/>
    <n v="2712.5"/>
    <n v="949.37499999999989"/>
    <n v="0.35"/>
  </r>
  <r>
    <m/>
    <x v="1"/>
    <n v="1197831"/>
    <x v="16"/>
    <x v="1"/>
    <x v="1"/>
    <s v="Houston"/>
    <x v="3"/>
    <n v="0.4"/>
    <n v="7000"/>
    <n v="2800"/>
    <n v="1260"/>
    <n v="0.45"/>
  </r>
  <r>
    <m/>
    <x v="1"/>
    <n v="1197831"/>
    <x v="16"/>
    <x v="1"/>
    <x v="1"/>
    <s v="Houston"/>
    <x v="4"/>
    <n v="0.45"/>
    <n v="6000"/>
    <n v="2700"/>
    <n v="810"/>
    <n v="0.3"/>
  </r>
  <r>
    <m/>
    <x v="1"/>
    <n v="1197831"/>
    <x v="16"/>
    <x v="1"/>
    <x v="1"/>
    <s v="Houston"/>
    <x v="5"/>
    <n v="0.4"/>
    <n v="9500"/>
    <n v="3800"/>
    <n v="1900"/>
    <n v="0.5"/>
  </r>
  <r>
    <m/>
    <x v="1"/>
    <n v="1197831"/>
    <x v="17"/>
    <x v="1"/>
    <x v="1"/>
    <s v="Houston"/>
    <x v="0"/>
    <n v="0.4"/>
    <n v="9500"/>
    <n v="3800"/>
    <n v="1330"/>
    <n v="0.35"/>
  </r>
  <r>
    <m/>
    <x v="1"/>
    <n v="1197831"/>
    <x v="17"/>
    <x v="1"/>
    <x v="1"/>
    <s v="Houston"/>
    <x v="1"/>
    <n v="0.45"/>
    <n v="9500"/>
    <n v="4275"/>
    <n v="1496.25"/>
    <n v="0.35"/>
  </r>
  <r>
    <m/>
    <x v="1"/>
    <n v="1197831"/>
    <x v="17"/>
    <x v="1"/>
    <x v="1"/>
    <s v="Houston"/>
    <x v="2"/>
    <n v="0.4"/>
    <n v="8000"/>
    <n v="3200"/>
    <n v="1120"/>
    <n v="0.35"/>
  </r>
  <r>
    <m/>
    <x v="1"/>
    <n v="1197831"/>
    <x v="17"/>
    <x v="1"/>
    <x v="1"/>
    <s v="Houston"/>
    <x v="3"/>
    <n v="0.4"/>
    <n v="7500"/>
    <n v="3000"/>
    <n v="1350"/>
    <n v="0.45"/>
  </r>
  <r>
    <m/>
    <x v="1"/>
    <n v="1197831"/>
    <x v="17"/>
    <x v="1"/>
    <x v="1"/>
    <s v="Houston"/>
    <x v="4"/>
    <n v="0.45"/>
    <n v="6500"/>
    <n v="2925"/>
    <n v="877.5"/>
    <n v="0.3"/>
  </r>
  <r>
    <m/>
    <x v="1"/>
    <n v="1197831"/>
    <x v="17"/>
    <x v="1"/>
    <x v="1"/>
    <s v="Houston"/>
    <x v="5"/>
    <n v="0.5"/>
    <n v="10000"/>
    <n v="5000"/>
    <n v="2500"/>
    <n v="0.5"/>
  </r>
  <r>
    <m/>
    <x v="1"/>
    <n v="1197831"/>
    <x v="18"/>
    <x v="1"/>
    <x v="1"/>
    <s v="Houston"/>
    <x v="0"/>
    <n v="0.4"/>
    <n v="9500"/>
    <n v="3800"/>
    <n v="1330"/>
    <n v="0.35"/>
  </r>
  <r>
    <m/>
    <x v="1"/>
    <n v="1197831"/>
    <x v="18"/>
    <x v="1"/>
    <x v="1"/>
    <s v="Houston"/>
    <x v="1"/>
    <n v="0.45"/>
    <n v="9500"/>
    <n v="4275"/>
    <n v="1496.25"/>
    <n v="0.35"/>
  </r>
  <r>
    <m/>
    <x v="1"/>
    <n v="1197831"/>
    <x v="18"/>
    <x v="1"/>
    <x v="1"/>
    <s v="Houston"/>
    <x v="2"/>
    <n v="0.4"/>
    <n v="11000"/>
    <n v="4400"/>
    <n v="1540"/>
    <n v="0.35"/>
  </r>
  <r>
    <m/>
    <x v="1"/>
    <n v="1197831"/>
    <x v="18"/>
    <x v="1"/>
    <x v="1"/>
    <s v="Houston"/>
    <x v="3"/>
    <n v="0.4"/>
    <n v="7000"/>
    <n v="2800"/>
    <n v="1260"/>
    <n v="0.45"/>
  </r>
  <r>
    <m/>
    <x v="1"/>
    <n v="1197831"/>
    <x v="18"/>
    <x v="1"/>
    <x v="1"/>
    <s v="Houston"/>
    <x v="4"/>
    <n v="0.45"/>
    <n v="7000"/>
    <n v="3150"/>
    <n v="945"/>
    <n v="0.3"/>
  </r>
  <r>
    <m/>
    <x v="1"/>
    <n v="1197831"/>
    <x v="18"/>
    <x v="1"/>
    <x v="1"/>
    <s v="Houston"/>
    <x v="5"/>
    <n v="0.5"/>
    <n v="9750"/>
    <n v="4875"/>
    <n v="2437.5"/>
    <n v="0.5"/>
  </r>
  <r>
    <m/>
    <x v="1"/>
    <n v="1197831"/>
    <x v="19"/>
    <x v="1"/>
    <x v="1"/>
    <s v="Houston"/>
    <x v="0"/>
    <n v="0.4"/>
    <n v="9250"/>
    <n v="3700"/>
    <n v="1295"/>
    <n v="0.35"/>
  </r>
  <r>
    <m/>
    <x v="1"/>
    <n v="1197831"/>
    <x v="19"/>
    <x v="1"/>
    <x v="1"/>
    <s v="Houston"/>
    <x v="1"/>
    <n v="0.45"/>
    <n v="9250"/>
    <n v="4162.5"/>
    <n v="1456.875"/>
    <n v="0.35"/>
  </r>
  <r>
    <m/>
    <x v="1"/>
    <n v="1197831"/>
    <x v="19"/>
    <x v="1"/>
    <x v="1"/>
    <s v="Houston"/>
    <x v="2"/>
    <n v="0.4"/>
    <n v="11000"/>
    <n v="4400"/>
    <n v="1540"/>
    <n v="0.35"/>
  </r>
  <r>
    <m/>
    <x v="1"/>
    <n v="1197831"/>
    <x v="19"/>
    <x v="1"/>
    <x v="1"/>
    <s v="Houston"/>
    <x v="3"/>
    <n v="0.4"/>
    <n v="6500"/>
    <n v="2600"/>
    <n v="1170"/>
    <n v="0.45"/>
  </r>
  <r>
    <m/>
    <x v="1"/>
    <n v="1197831"/>
    <x v="19"/>
    <x v="1"/>
    <x v="1"/>
    <s v="Houston"/>
    <x v="4"/>
    <n v="0.45"/>
    <n v="6500"/>
    <n v="2925"/>
    <n v="877.5"/>
    <n v="0.3"/>
  </r>
  <r>
    <m/>
    <x v="1"/>
    <n v="1197831"/>
    <x v="19"/>
    <x v="1"/>
    <x v="1"/>
    <s v="Houston"/>
    <x v="5"/>
    <n v="0.5"/>
    <n v="9000"/>
    <n v="4500"/>
    <n v="2250"/>
    <n v="0.5"/>
  </r>
  <r>
    <m/>
    <x v="1"/>
    <n v="1197831"/>
    <x v="20"/>
    <x v="1"/>
    <x v="1"/>
    <s v="Houston"/>
    <x v="0"/>
    <n v="0.45"/>
    <n v="8500"/>
    <n v="3825"/>
    <n v="1338.75"/>
    <n v="0.35"/>
  </r>
  <r>
    <m/>
    <x v="1"/>
    <n v="1197831"/>
    <x v="20"/>
    <x v="1"/>
    <x v="1"/>
    <s v="Houston"/>
    <x v="1"/>
    <n v="0.45"/>
    <n v="8500"/>
    <n v="3825"/>
    <n v="1338.75"/>
    <n v="0.35"/>
  </r>
  <r>
    <m/>
    <x v="1"/>
    <n v="1197831"/>
    <x v="20"/>
    <x v="1"/>
    <x v="1"/>
    <s v="Houston"/>
    <x v="2"/>
    <n v="0.5"/>
    <n v="9000"/>
    <n v="4500"/>
    <n v="1575"/>
    <n v="0.35"/>
  </r>
  <r>
    <m/>
    <x v="1"/>
    <n v="1197831"/>
    <x v="20"/>
    <x v="1"/>
    <x v="1"/>
    <s v="Houston"/>
    <x v="3"/>
    <n v="0.5"/>
    <n v="6250"/>
    <n v="3125"/>
    <n v="1406.25"/>
    <n v="0.45"/>
  </r>
  <r>
    <m/>
    <x v="1"/>
    <n v="1197831"/>
    <x v="20"/>
    <x v="1"/>
    <x v="1"/>
    <s v="Houston"/>
    <x v="4"/>
    <n v="0.45"/>
    <n v="6250"/>
    <n v="2812.5"/>
    <n v="843.75"/>
    <n v="0.3"/>
  </r>
  <r>
    <m/>
    <x v="1"/>
    <n v="1197831"/>
    <x v="20"/>
    <x v="1"/>
    <x v="1"/>
    <s v="Houston"/>
    <x v="5"/>
    <n v="0.55000000000000004"/>
    <n v="8500"/>
    <n v="4675"/>
    <n v="2337.5"/>
    <n v="0.5"/>
  </r>
  <r>
    <m/>
    <x v="1"/>
    <n v="1197831"/>
    <x v="21"/>
    <x v="1"/>
    <x v="1"/>
    <s v="Houston"/>
    <x v="0"/>
    <n v="0.45"/>
    <n v="8000"/>
    <n v="3600"/>
    <n v="1260"/>
    <n v="0.35"/>
  </r>
  <r>
    <m/>
    <x v="1"/>
    <n v="1197831"/>
    <x v="21"/>
    <x v="1"/>
    <x v="1"/>
    <s v="Houston"/>
    <x v="1"/>
    <n v="0.45"/>
    <n v="8000"/>
    <n v="3600"/>
    <n v="1260"/>
    <n v="0.35"/>
  </r>
  <r>
    <m/>
    <x v="1"/>
    <n v="1197831"/>
    <x v="21"/>
    <x v="1"/>
    <x v="1"/>
    <s v="Houston"/>
    <x v="2"/>
    <n v="0.5"/>
    <n v="7500"/>
    <n v="3750"/>
    <n v="1312.5"/>
    <n v="0.35"/>
  </r>
  <r>
    <m/>
    <x v="1"/>
    <n v="1197831"/>
    <x v="21"/>
    <x v="1"/>
    <x v="1"/>
    <s v="Houston"/>
    <x v="3"/>
    <n v="0.5"/>
    <n v="6000"/>
    <n v="3000"/>
    <n v="1350"/>
    <n v="0.45"/>
  </r>
  <r>
    <m/>
    <x v="1"/>
    <n v="1197831"/>
    <x v="21"/>
    <x v="1"/>
    <x v="1"/>
    <s v="Houston"/>
    <x v="4"/>
    <n v="0.45"/>
    <n v="5750"/>
    <n v="2587.5"/>
    <n v="776.25"/>
    <n v="0.3"/>
  </r>
  <r>
    <m/>
    <x v="1"/>
    <n v="1197831"/>
    <x v="21"/>
    <x v="1"/>
    <x v="1"/>
    <s v="Houston"/>
    <x v="5"/>
    <n v="0.55000000000000004"/>
    <n v="7500"/>
    <n v="4125"/>
    <n v="2062.5"/>
    <n v="0.5"/>
  </r>
  <r>
    <m/>
    <x v="1"/>
    <n v="1197831"/>
    <x v="22"/>
    <x v="1"/>
    <x v="1"/>
    <s v="Houston"/>
    <x v="0"/>
    <n v="0.45"/>
    <n v="9000"/>
    <n v="4050"/>
    <n v="1417.5"/>
    <n v="0.35"/>
  </r>
  <r>
    <m/>
    <x v="1"/>
    <n v="1197831"/>
    <x v="22"/>
    <x v="1"/>
    <x v="1"/>
    <s v="Houston"/>
    <x v="1"/>
    <n v="0.45"/>
    <n v="9000"/>
    <n v="4050"/>
    <n v="1417.5"/>
    <n v="0.35"/>
  </r>
  <r>
    <m/>
    <x v="1"/>
    <n v="1197831"/>
    <x v="22"/>
    <x v="1"/>
    <x v="1"/>
    <s v="Houston"/>
    <x v="2"/>
    <n v="0.5"/>
    <n v="8250"/>
    <n v="4125"/>
    <n v="1443.75"/>
    <n v="0.35"/>
  </r>
  <r>
    <m/>
    <x v="1"/>
    <n v="1197831"/>
    <x v="22"/>
    <x v="1"/>
    <x v="1"/>
    <s v="Houston"/>
    <x v="3"/>
    <n v="0.5"/>
    <n v="6750"/>
    <n v="3375"/>
    <n v="1518.75"/>
    <n v="0.45"/>
  </r>
  <r>
    <m/>
    <x v="1"/>
    <n v="1197831"/>
    <x v="22"/>
    <x v="1"/>
    <x v="1"/>
    <s v="Houston"/>
    <x v="4"/>
    <n v="0.45"/>
    <n v="6500"/>
    <n v="2925"/>
    <n v="877.5"/>
    <n v="0.3"/>
  </r>
  <r>
    <m/>
    <x v="1"/>
    <n v="1197831"/>
    <x v="22"/>
    <x v="1"/>
    <x v="1"/>
    <s v="Houston"/>
    <x v="5"/>
    <n v="0.55000000000000004"/>
    <n v="8500"/>
    <n v="4675"/>
    <n v="2337.5"/>
    <n v="0.5"/>
  </r>
  <r>
    <m/>
    <x v="1"/>
    <n v="1197831"/>
    <x v="23"/>
    <x v="1"/>
    <x v="1"/>
    <s v="Houston"/>
    <x v="0"/>
    <n v="0.45"/>
    <n v="9500"/>
    <n v="4275"/>
    <n v="1496.25"/>
    <n v="0.35"/>
  </r>
  <r>
    <m/>
    <x v="1"/>
    <n v="1197831"/>
    <x v="23"/>
    <x v="1"/>
    <x v="1"/>
    <s v="Houston"/>
    <x v="1"/>
    <n v="0.45"/>
    <n v="9500"/>
    <n v="4275"/>
    <n v="1496.25"/>
    <n v="0.35"/>
  </r>
  <r>
    <m/>
    <x v="1"/>
    <n v="1197831"/>
    <x v="23"/>
    <x v="1"/>
    <x v="1"/>
    <s v="Houston"/>
    <x v="2"/>
    <n v="0.5"/>
    <n v="8500"/>
    <n v="4250"/>
    <n v="1487.5"/>
    <n v="0.35"/>
  </r>
  <r>
    <m/>
    <x v="1"/>
    <n v="1197831"/>
    <x v="23"/>
    <x v="1"/>
    <x v="1"/>
    <s v="Houston"/>
    <x v="3"/>
    <n v="0.5"/>
    <n v="7000"/>
    <n v="3500"/>
    <n v="1575"/>
    <n v="0.45"/>
  </r>
  <r>
    <m/>
    <x v="1"/>
    <n v="1197831"/>
    <x v="23"/>
    <x v="1"/>
    <x v="1"/>
    <s v="Houston"/>
    <x v="4"/>
    <n v="0.45"/>
    <n v="6500"/>
    <n v="2925"/>
    <n v="877.5"/>
    <n v="0.3"/>
  </r>
  <r>
    <m/>
    <x v="1"/>
    <n v="1197831"/>
    <x v="23"/>
    <x v="1"/>
    <x v="1"/>
    <s v="Houston"/>
    <x v="5"/>
    <n v="0.55000000000000004"/>
    <n v="9000"/>
    <n v="4950"/>
    <n v="2475"/>
    <n v="0.5"/>
  </r>
  <r>
    <m/>
    <x v="2"/>
    <n v="1128299"/>
    <x v="24"/>
    <x v="2"/>
    <x v="2"/>
    <s v="San Francisco"/>
    <x v="0"/>
    <n v="0.39999999999999997"/>
    <n v="7750"/>
    <n v="3099.9999999999995"/>
    <n v="1085"/>
    <n v="0.35000000000000003"/>
  </r>
  <r>
    <m/>
    <x v="2"/>
    <n v="1128299"/>
    <x v="24"/>
    <x v="2"/>
    <x v="2"/>
    <s v="San Francisco"/>
    <x v="1"/>
    <n v="0.5"/>
    <n v="7750"/>
    <n v="3875"/>
    <n v="775"/>
    <n v="0.2"/>
  </r>
  <r>
    <m/>
    <x v="2"/>
    <n v="1128299"/>
    <x v="24"/>
    <x v="2"/>
    <x v="2"/>
    <s v="San Francisco"/>
    <x v="2"/>
    <n v="0.5"/>
    <n v="7750"/>
    <n v="3875"/>
    <n v="1356.2500000000002"/>
    <n v="0.35000000000000003"/>
  </r>
  <r>
    <m/>
    <x v="2"/>
    <n v="1128299"/>
    <x v="24"/>
    <x v="2"/>
    <x v="2"/>
    <s v="San Francisco"/>
    <x v="3"/>
    <n v="0.5"/>
    <n v="6250"/>
    <n v="3125"/>
    <n v="937.5"/>
    <n v="0.3"/>
  </r>
  <r>
    <m/>
    <x v="2"/>
    <n v="1128299"/>
    <x v="24"/>
    <x v="2"/>
    <x v="2"/>
    <s v="San Francisco"/>
    <x v="4"/>
    <n v="0.55000000000000004"/>
    <n v="5750"/>
    <n v="3162.5000000000005"/>
    <n v="1581.2500000000002"/>
    <n v="0.5"/>
  </r>
  <r>
    <m/>
    <x v="2"/>
    <n v="1128299"/>
    <x v="24"/>
    <x v="2"/>
    <x v="2"/>
    <s v="San Francisco"/>
    <x v="5"/>
    <n v="0.5"/>
    <n v="7750"/>
    <n v="3875"/>
    <n v="581.25000000000011"/>
    <n v="0.15000000000000002"/>
  </r>
  <r>
    <m/>
    <x v="2"/>
    <n v="1128299"/>
    <x v="25"/>
    <x v="2"/>
    <x v="2"/>
    <s v="San Francisco"/>
    <x v="0"/>
    <n v="0.39999999999999997"/>
    <n v="8250"/>
    <n v="3299.9999999999995"/>
    <n v="1155"/>
    <n v="0.35000000000000003"/>
  </r>
  <r>
    <m/>
    <x v="2"/>
    <n v="1128299"/>
    <x v="25"/>
    <x v="2"/>
    <x v="2"/>
    <s v="San Francisco"/>
    <x v="1"/>
    <n v="0.5"/>
    <n v="7250"/>
    <n v="3625"/>
    <n v="725"/>
    <n v="0.2"/>
  </r>
  <r>
    <m/>
    <x v="2"/>
    <n v="1128299"/>
    <x v="25"/>
    <x v="2"/>
    <x v="2"/>
    <s v="San Francisco"/>
    <x v="2"/>
    <n v="0.5"/>
    <n v="7250"/>
    <n v="3625"/>
    <n v="1268.7500000000002"/>
    <n v="0.35000000000000003"/>
  </r>
  <r>
    <m/>
    <x v="2"/>
    <n v="1128299"/>
    <x v="25"/>
    <x v="2"/>
    <x v="2"/>
    <s v="San Francisco"/>
    <x v="3"/>
    <n v="0.5"/>
    <n v="5750"/>
    <n v="2875"/>
    <n v="862.5"/>
    <n v="0.3"/>
  </r>
  <r>
    <m/>
    <x v="2"/>
    <n v="1128299"/>
    <x v="25"/>
    <x v="2"/>
    <x v="2"/>
    <s v="San Francisco"/>
    <x v="4"/>
    <n v="0.55000000000000004"/>
    <n v="5000"/>
    <n v="2750"/>
    <n v="1375"/>
    <n v="0.5"/>
  </r>
  <r>
    <m/>
    <x v="2"/>
    <n v="1128299"/>
    <x v="25"/>
    <x v="2"/>
    <x v="2"/>
    <s v="San Francisco"/>
    <x v="5"/>
    <n v="0.5"/>
    <n v="7000"/>
    <n v="3500"/>
    <n v="525.00000000000011"/>
    <n v="0.15000000000000002"/>
  </r>
  <r>
    <m/>
    <x v="2"/>
    <n v="1128299"/>
    <x v="26"/>
    <x v="2"/>
    <x v="2"/>
    <s v="San Francisco"/>
    <x v="0"/>
    <n v="0.5"/>
    <n v="8500"/>
    <n v="4250"/>
    <n v="1487.5000000000002"/>
    <n v="0.35000000000000003"/>
  </r>
  <r>
    <m/>
    <x v="2"/>
    <n v="1128299"/>
    <x v="26"/>
    <x v="2"/>
    <x v="2"/>
    <s v="San Francisco"/>
    <x v="1"/>
    <n v="0.6"/>
    <n v="7000"/>
    <n v="4200"/>
    <n v="840"/>
    <n v="0.2"/>
  </r>
  <r>
    <m/>
    <x v="2"/>
    <n v="1128299"/>
    <x v="26"/>
    <x v="2"/>
    <x v="2"/>
    <s v="San Francisco"/>
    <x v="2"/>
    <n v="0.6"/>
    <n v="7000"/>
    <n v="4200"/>
    <n v="1470.0000000000002"/>
    <n v="0.35000000000000003"/>
  </r>
  <r>
    <m/>
    <x v="2"/>
    <n v="1128299"/>
    <x v="26"/>
    <x v="2"/>
    <x v="2"/>
    <s v="San Francisco"/>
    <x v="3"/>
    <n v="0.6"/>
    <n v="6000"/>
    <n v="3600"/>
    <n v="1080"/>
    <n v="0.3"/>
  </r>
  <r>
    <m/>
    <x v="2"/>
    <n v="1128299"/>
    <x v="26"/>
    <x v="2"/>
    <x v="2"/>
    <s v="San Francisco"/>
    <x v="4"/>
    <n v="0.65"/>
    <n v="5000"/>
    <n v="3250"/>
    <n v="1625"/>
    <n v="0.5"/>
  </r>
  <r>
    <m/>
    <x v="2"/>
    <n v="1128299"/>
    <x v="26"/>
    <x v="2"/>
    <x v="2"/>
    <s v="San Francisco"/>
    <x v="5"/>
    <n v="0.6"/>
    <n v="7000"/>
    <n v="4200"/>
    <n v="630.00000000000011"/>
    <n v="0.15000000000000002"/>
  </r>
  <r>
    <m/>
    <x v="2"/>
    <n v="1128299"/>
    <x v="27"/>
    <x v="2"/>
    <x v="2"/>
    <s v="San Francisco"/>
    <x v="0"/>
    <n v="0.6"/>
    <n v="8750"/>
    <n v="5250"/>
    <n v="1837.5000000000002"/>
    <n v="0.35000000000000003"/>
  </r>
  <r>
    <m/>
    <x v="2"/>
    <n v="1128299"/>
    <x v="27"/>
    <x v="2"/>
    <x v="2"/>
    <s v="San Francisco"/>
    <x v="1"/>
    <n v="0.65"/>
    <n v="6750"/>
    <n v="4387.5"/>
    <n v="877.5"/>
    <n v="0.2"/>
  </r>
  <r>
    <m/>
    <x v="2"/>
    <n v="1128299"/>
    <x v="27"/>
    <x v="2"/>
    <x v="2"/>
    <s v="San Francisco"/>
    <x v="2"/>
    <n v="0.65"/>
    <n v="7250"/>
    <n v="4712.5"/>
    <n v="1649.3750000000002"/>
    <n v="0.35000000000000003"/>
  </r>
  <r>
    <m/>
    <x v="2"/>
    <n v="1128299"/>
    <x v="27"/>
    <x v="2"/>
    <x v="2"/>
    <s v="San Francisco"/>
    <x v="3"/>
    <n v="0.6"/>
    <n v="6250"/>
    <n v="3750"/>
    <n v="1125"/>
    <n v="0.3"/>
  </r>
  <r>
    <m/>
    <x v="2"/>
    <n v="1128299"/>
    <x v="27"/>
    <x v="2"/>
    <x v="2"/>
    <s v="San Francisco"/>
    <x v="4"/>
    <n v="0.65"/>
    <n v="5250"/>
    <n v="3412.5"/>
    <n v="1706.25"/>
    <n v="0.5"/>
  </r>
  <r>
    <m/>
    <x v="2"/>
    <n v="1128299"/>
    <x v="27"/>
    <x v="2"/>
    <x v="2"/>
    <s v="San Francisco"/>
    <x v="5"/>
    <n v="0.8"/>
    <n v="7000"/>
    <n v="5600"/>
    <n v="840.00000000000011"/>
    <n v="0.15000000000000002"/>
  </r>
  <r>
    <m/>
    <x v="2"/>
    <n v="1128299"/>
    <x v="28"/>
    <x v="2"/>
    <x v="2"/>
    <s v="San Francisco"/>
    <x v="0"/>
    <n v="0.6"/>
    <n v="9000"/>
    <n v="5400"/>
    <n v="2160"/>
    <n v="0.4"/>
  </r>
  <r>
    <m/>
    <x v="2"/>
    <n v="1128299"/>
    <x v="28"/>
    <x v="2"/>
    <x v="2"/>
    <s v="San Francisco"/>
    <x v="1"/>
    <n v="0.65"/>
    <n v="7500"/>
    <n v="4875"/>
    <n v="1218.75"/>
    <n v="0.25"/>
  </r>
  <r>
    <m/>
    <x v="2"/>
    <n v="1128299"/>
    <x v="28"/>
    <x v="2"/>
    <x v="2"/>
    <s v="San Francisco"/>
    <x v="2"/>
    <n v="0.65"/>
    <n v="7500"/>
    <n v="4875"/>
    <n v="1950"/>
    <n v="0.4"/>
  </r>
  <r>
    <m/>
    <x v="2"/>
    <n v="1128299"/>
    <x v="28"/>
    <x v="2"/>
    <x v="2"/>
    <s v="San Francisco"/>
    <x v="3"/>
    <n v="0.6"/>
    <n v="6500"/>
    <n v="3900"/>
    <n v="1365"/>
    <n v="0.35"/>
  </r>
  <r>
    <m/>
    <x v="2"/>
    <n v="1128299"/>
    <x v="28"/>
    <x v="2"/>
    <x v="2"/>
    <s v="San Francisco"/>
    <x v="4"/>
    <n v="0.65"/>
    <n v="5500"/>
    <n v="3575"/>
    <n v="1966.2500000000002"/>
    <n v="0.55000000000000004"/>
  </r>
  <r>
    <m/>
    <x v="2"/>
    <n v="1128299"/>
    <x v="28"/>
    <x v="2"/>
    <x v="2"/>
    <s v="San Francisco"/>
    <x v="5"/>
    <n v="0.8"/>
    <n v="7250"/>
    <n v="5800"/>
    <n v="1160"/>
    <n v="0.2"/>
  </r>
  <r>
    <m/>
    <x v="2"/>
    <n v="1128299"/>
    <x v="29"/>
    <x v="2"/>
    <x v="2"/>
    <s v="San Francisco"/>
    <x v="0"/>
    <n v="0.6"/>
    <n v="9750"/>
    <n v="5850"/>
    <n v="2340"/>
    <n v="0.4"/>
  </r>
  <r>
    <m/>
    <x v="2"/>
    <n v="1128299"/>
    <x v="29"/>
    <x v="2"/>
    <x v="2"/>
    <s v="San Francisco"/>
    <x v="1"/>
    <n v="0.65"/>
    <n v="8250"/>
    <n v="5362.5"/>
    <n v="1340.625"/>
    <n v="0.25"/>
  </r>
  <r>
    <m/>
    <x v="2"/>
    <n v="1128299"/>
    <x v="29"/>
    <x v="2"/>
    <x v="2"/>
    <s v="San Francisco"/>
    <x v="2"/>
    <n v="0.65"/>
    <n v="8250"/>
    <n v="5362.5"/>
    <n v="2145"/>
    <n v="0.4"/>
  </r>
  <r>
    <m/>
    <x v="2"/>
    <n v="1128299"/>
    <x v="29"/>
    <x v="2"/>
    <x v="2"/>
    <s v="San Francisco"/>
    <x v="3"/>
    <n v="0.6"/>
    <n v="7000"/>
    <n v="4200"/>
    <n v="1470"/>
    <n v="0.35"/>
  </r>
  <r>
    <m/>
    <x v="2"/>
    <n v="1128299"/>
    <x v="29"/>
    <x v="2"/>
    <x v="2"/>
    <s v="San Francisco"/>
    <x v="4"/>
    <n v="0.65"/>
    <n v="5750"/>
    <n v="3737.5"/>
    <n v="2055.625"/>
    <n v="0.55000000000000004"/>
  </r>
  <r>
    <m/>
    <x v="2"/>
    <n v="1128299"/>
    <x v="29"/>
    <x v="2"/>
    <x v="2"/>
    <s v="San Francisco"/>
    <x v="5"/>
    <n v="0.8"/>
    <n v="8750"/>
    <n v="7000"/>
    <n v="1400"/>
    <n v="0.2"/>
  </r>
  <r>
    <m/>
    <x v="2"/>
    <n v="1128299"/>
    <x v="30"/>
    <x v="2"/>
    <x v="2"/>
    <s v="San Francisco"/>
    <x v="0"/>
    <n v="0.6"/>
    <n v="10250"/>
    <n v="6150"/>
    <n v="2152.5"/>
    <n v="0.35000000000000003"/>
  </r>
  <r>
    <m/>
    <x v="2"/>
    <n v="1128299"/>
    <x v="30"/>
    <x v="2"/>
    <x v="2"/>
    <s v="San Francisco"/>
    <x v="1"/>
    <n v="0.65"/>
    <n v="8750"/>
    <n v="5687.5"/>
    <n v="1137.5"/>
    <n v="0.2"/>
  </r>
  <r>
    <m/>
    <x v="2"/>
    <n v="1128299"/>
    <x v="30"/>
    <x v="2"/>
    <x v="2"/>
    <s v="San Francisco"/>
    <x v="2"/>
    <n v="0.65"/>
    <n v="8250"/>
    <n v="5362.5"/>
    <n v="1876.8750000000002"/>
    <n v="0.35000000000000003"/>
  </r>
  <r>
    <m/>
    <x v="2"/>
    <n v="1128299"/>
    <x v="30"/>
    <x v="2"/>
    <x v="2"/>
    <s v="San Francisco"/>
    <x v="3"/>
    <n v="0.6"/>
    <n v="7250"/>
    <n v="4350"/>
    <n v="1305"/>
    <n v="0.3"/>
  </r>
  <r>
    <m/>
    <x v="2"/>
    <n v="1128299"/>
    <x v="30"/>
    <x v="2"/>
    <x v="2"/>
    <s v="San Francisco"/>
    <x v="4"/>
    <n v="0.65"/>
    <n v="7750"/>
    <n v="5037.5"/>
    <n v="2518.75"/>
    <n v="0.5"/>
  </r>
  <r>
    <m/>
    <x v="2"/>
    <n v="1128299"/>
    <x v="30"/>
    <x v="2"/>
    <x v="2"/>
    <s v="San Francisco"/>
    <x v="5"/>
    <n v="0.8"/>
    <n v="7750"/>
    <n v="6200"/>
    <n v="930.00000000000011"/>
    <n v="0.15000000000000002"/>
  </r>
  <r>
    <m/>
    <x v="2"/>
    <n v="1128299"/>
    <x v="31"/>
    <x v="2"/>
    <x v="2"/>
    <s v="San Francisco"/>
    <x v="0"/>
    <n v="0.65"/>
    <n v="9750"/>
    <n v="6337.5"/>
    <n v="2218.125"/>
    <n v="0.35000000000000003"/>
  </r>
  <r>
    <m/>
    <x v="2"/>
    <n v="1128299"/>
    <x v="31"/>
    <x v="2"/>
    <x v="2"/>
    <s v="San Francisco"/>
    <x v="1"/>
    <n v="0.70000000000000007"/>
    <n v="9250"/>
    <n v="6475.0000000000009"/>
    <n v="1295.0000000000002"/>
    <n v="0.2"/>
  </r>
  <r>
    <m/>
    <x v="2"/>
    <n v="1128299"/>
    <x v="31"/>
    <x v="2"/>
    <x v="2"/>
    <s v="San Francisco"/>
    <x v="2"/>
    <n v="0.65"/>
    <n v="8000"/>
    <n v="5200"/>
    <n v="1820.0000000000002"/>
    <n v="0.35000000000000003"/>
  </r>
  <r>
    <m/>
    <x v="2"/>
    <n v="1128299"/>
    <x v="31"/>
    <x v="2"/>
    <x v="2"/>
    <s v="San Francisco"/>
    <x v="3"/>
    <n v="0.65"/>
    <n v="7500"/>
    <n v="4875"/>
    <n v="1462.5"/>
    <n v="0.3"/>
  </r>
  <r>
    <m/>
    <x v="2"/>
    <n v="1128299"/>
    <x v="31"/>
    <x v="2"/>
    <x v="2"/>
    <s v="San Francisco"/>
    <x v="4"/>
    <n v="0.75"/>
    <n v="7500"/>
    <n v="5625"/>
    <n v="2812.5"/>
    <n v="0.5"/>
  </r>
  <r>
    <m/>
    <x v="2"/>
    <n v="1128299"/>
    <x v="31"/>
    <x v="2"/>
    <x v="2"/>
    <s v="San Francisco"/>
    <x v="5"/>
    <n v="0.8"/>
    <n v="7250"/>
    <n v="5800"/>
    <n v="870.00000000000011"/>
    <n v="0.15000000000000002"/>
  </r>
  <r>
    <m/>
    <x v="2"/>
    <n v="1128299"/>
    <x v="32"/>
    <x v="2"/>
    <x v="2"/>
    <s v="San Francisco"/>
    <x v="0"/>
    <n v="0.55000000000000004"/>
    <n v="9250"/>
    <n v="5087.5"/>
    <n v="1526.2500000000002"/>
    <n v="0.30000000000000004"/>
  </r>
  <r>
    <m/>
    <x v="2"/>
    <n v="1128299"/>
    <x v="32"/>
    <x v="2"/>
    <x v="2"/>
    <s v="San Francisco"/>
    <x v="1"/>
    <n v="0.60000000000000009"/>
    <n v="9250"/>
    <n v="5550.0000000000009"/>
    <n v="832.50000000000011"/>
    <n v="0.15"/>
  </r>
  <r>
    <m/>
    <x v="2"/>
    <n v="1128299"/>
    <x v="32"/>
    <x v="2"/>
    <x v="2"/>
    <s v="San Francisco"/>
    <x v="2"/>
    <n v="0.55000000000000004"/>
    <n v="7750"/>
    <n v="4262.5"/>
    <n v="1278.7500000000002"/>
    <n v="0.30000000000000004"/>
  </r>
  <r>
    <m/>
    <x v="2"/>
    <n v="1128299"/>
    <x v="32"/>
    <x v="2"/>
    <x v="2"/>
    <s v="San Francisco"/>
    <x v="3"/>
    <n v="0.55000000000000004"/>
    <n v="7250"/>
    <n v="3987.5000000000005"/>
    <n v="996.875"/>
    <n v="0.24999999999999997"/>
  </r>
  <r>
    <m/>
    <x v="2"/>
    <n v="1128299"/>
    <x v="32"/>
    <x v="2"/>
    <x v="2"/>
    <s v="San Francisco"/>
    <x v="4"/>
    <n v="0.65"/>
    <n v="7250"/>
    <n v="4712.5"/>
    <n v="2120.6250000000005"/>
    <n v="0.45000000000000007"/>
  </r>
  <r>
    <m/>
    <x v="2"/>
    <n v="1128299"/>
    <x v="32"/>
    <x v="2"/>
    <x v="2"/>
    <s v="San Francisco"/>
    <x v="5"/>
    <n v="0.70000000000000007"/>
    <n v="7750"/>
    <n v="5425.0000000000009"/>
    <n v="542.50000000000011"/>
    <n v="0.1"/>
  </r>
  <r>
    <m/>
    <x v="2"/>
    <n v="1128299"/>
    <x v="33"/>
    <x v="2"/>
    <x v="2"/>
    <s v="San Francisco"/>
    <x v="0"/>
    <n v="0.55000000000000004"/>
    <n v="8750"/>
    <n v="4812.5"/>
    <n v="1443.7500000000002"/>
    <n v="0.30000000000000004"/>
  </r>
  <r>
    <m/>
    <x v="2"/>
    <n v="1128299"/>
    <x v="33"/>
    <x v="2"/>
    <x v="2"/>
    <s v="San Francisco"/>
    <x v="1"/>
    <n v="0.60000000000000009"/>
    <n v="8750"/>
    <n v="5250.0000000000009"/>
    <n v="787.50000000000011"/>
    <n v="0.15"/>
  </r>
  <r>
    <m/>
    <x v="2"/>
    <n v="1128299"/>
    <x v="33"/>
    <x v="2"/>
    <x v="2"/>
    <s v="San Francisco"/>
    <x v="2"/>
    <n v="0.55000000000000004"/>
    <n v="7000"/>
    <n v="3850.0000000000005"/>
    <n v="1155.0000000000002"/>
    <n v="0.30000000000000004"/>
  </r>
  <r>
    <m/>
    <x v="2"/>
    <n v="1128299"/>
    <x v="33"/>
    <x v="2"/>
    <x v="2"/>
    <s v="San Francisco"/>
    <x v="3"/>
    <n v="0.55000000000000004"/>
    <n v="6750"/>
    <n v="3712.5000000000005"/>
    <n v="928.125"/>
    <n v="0.24999999999999997"/>
  </r>
  <r>
    <m/>
    <x v="2"/>
    <n v="1128299"/>
    <x v="33"/>
    <x v="2"/>
    <x v="2"/>
    <s v="San Francisco"/>
    <x v="4"/>
    <n v="0.65"/>
    <n v="6500"/>
    <n v="4225"/>
    <n v="1901.2500000000002"/>
    <n v="0.45000000000000007"/>
  </r>
  <r>
    <m/>
    <x v="2"/>
    <n v="1128299"/>
    <x v="33"/>
    <x v="2"/>
    <x v="2"/>
    <s v="San Francisco"/>
    <x v="5"/>
    <n v="0.70000000000000007"/>
    <n v="7000"/>
    <n v="4900.0000000000009"/>
    <n v="490.00000000000011"/>
    <n v="0.1"/>
  </r>
  <r>
    <m/>
    <x v="2"/>
    <n v="1128299"/>
    <x v="34"/>
    <x v="2"/>
    <x v="2"/>
    <s v="San Francisco"/>
    <x v="0"/>
    <n v="0.55000000000000004"/>
    <n v="8750"/>
    <n v="4812.5"/>
    <n v="1443.7500000000002"/>
    <n v="0.30000000000000004"/>
  </r>
  <r>
    <m/>
    <x v="2"/>
    <n v="1128299"/>
    <x v="34"/>
    <x v="2"/>
    <x v="2"/>
    <s v="San Francisco"/>
    <x v="1"/>
    <n v="0.60000000000000009"/>
    <n v="8750"/>
    <n v="5250.0000000000009"/>
    <n v="787.50000000000011"/>
    <n v="0.15"/>
  </r>
  <r>
    <m/>
    <x v="2"/>
    <n v="1128299"/>
    <x v="34"/>
    <x v="2"/>
    <x v="2"/>
    <s v="San Francisco"/>
    <x v="2"/>
    <n v="0.55000000000000004"/>
    <n v="7250"/>
    <n v="3987.5000000000005"/>
    <n v="1196.2500000000002"/>
    <n v="0.30000000000000004"/>
  </r>
  <r>
    <m/>
    <x v="2"/>
    <n v="1128299"/>
    <x v="34"/>
    <x v="2"/>
    <x v="2"/>
    <s v="San Francisco"/>
    <x v="3"/>
    <n v="0.55000000000000004"/>
    <n v="7000"/>
    <n v="3850.0000000000005"/>
    <n v="962.5"/>
    <n v="0.24999999999999997"/>
  </r>
  <r>
    <m/>
    <x v="2"/>
    <n v="1128299"/>
    <x v="34"/>
    <x v="2"/>
    <x v="2"/>
    <s v="San Francisco"/>
    <x v="4"/>
    <n v="0.65"/>
    <n v="6500"/>
    <n v="4225"/>
    <n v="1901.2500000000002"/>
    <n v="0.45000000000000007"/>
  </r>
  <r>
    <m/>
    <x v="2"/>
    <n v="1128299"/>
    <x v="34"/>
    <x v="2"/>
    <x v="2"/>
    <s v="San Francisco"/>
    <x v="5"/>
    <n v="0.70000000000000007"/>
    <n v="7750"/>
    <n v="5425.0000000000009"/>
    <n v="542.50000000000011"/>
    <n v="0.1"/>
  </r>
  <r>
    <m/>
    <x v="2"/>
    <n v="1128299"/>
    <x v="35"/>
    <x v="2"/>
    <x v="2"/>
    <s v="San Francisco"/>
    <x v="0"/>
    <n v="0.55000000000000004"/>
    <n v="9750"/>
    <n v="5362.5"/>
    <n v="1608.7500000000002"/>
    <n v="0.30000000000000004"/>
  </r>
  <r>
    <m/>
    <x v="2"/>
    <n v="1128299"/>
    <x v="35"/>
    <x v="2"/>
    <x v="2"/>
    <s v="San Francisco"/>
    <x v="1"/>
    <n v="0.60000000000000009"/>
    <n v="9750"/>
    <n v="5850.0000000000009"/>
    <n v="877.50000000000011"/>
    <n v="0.15"/>
  </r>
  <r>
    <m/>
    <x v="2"/>
    <n v="1128299"/>
    <x v="35"/>
    <x v="2"/>
    <x v="2"/>
    <s v="San Francisco"/>
    <x v="2"/>
    <n v="0.55000000000000004"/>
    <n v="7750"/>
    <n v="4262.5"/>
    <n v="1278.7500000000002"/>
    <n v="0.30000000000000004"/>
  </r>
  <r>
    <m/>
    <x v="2"/>
    <n v="1128299"/>
    <x v="35"/>
    <x v="2"/>
    <x v="2"/>
    <s v="San Francisco"/>
    <x v="3"/>
    <n v="0.55000000000000004"/>
    <n v="7750"/>
    <n v="4262.5"/>
    <n v="1065.6249999999998"/>
    <n v="0.24999999999999997"/>
  </r>
  <r>
    <m/>
    <x v="2"/>
    <n v="1128299"/>
    <x v="35"/>
    <x v="2"/>
    <x v="2"/>
    <s v="San Francisco"/>
    <x v="4"/>
    <n v="0.65"/>
    <n v="7000"/>
    <n v="4550"/>
    <n v="2047.5000000000002"/>
    <n v="0.45000000000000007"/>
  </r>
  <r>
    <m/>
    <x v="2"/>
    <n v="1128299"/>
    <x v="35"/>
    <x v="2"/>
    <x v="2"/>
    <s v="San Francisco"/>
    <x v="5"/>
    <n v="0.70000000000000007"/>
    <n v="8000"/>
    <n v="5600.0000000000009"/>
    <n v="560.00000000000011"/>
    <n v="0.1"/>
  </r>
  <r>
    <m/>
    <x v="3"/>
    <n v="1189833"/>
    <x v="36"/>
    <x v="2"/>
    <x v="2"/>
    <s v="Los Angeles"/>
    <x v="0"/>
    <n v="0.35"/>
    <n v="7000"/>
    <n v="2450"/>
    <n v="980"/>
    <n v="0.4"/>
  </r>
  <r>
    <m/>
    <x v="3"/>
    <n v="1189833"/>
    <x v="36"/>
    <x v="2"/>
    <x v="2"/>
    <s v="Los Angeles"/>
    <x v="1"/>
    <n v="0.45"/>
    <n v="7000"/>
    <n v="3150"/>
    <n v="787.5"/>
    <n v="0.25"/>
  </r>
  <r>
    <m/>
    <x v="3"/>
    <n v="1189833"/>
    <x v="36"/>
    <x v="2"/>
    <x v="2"/>
    <s v="Los Angeles"/>
    <x v="2"/>
    <n v="0.45"/>
    <n v="7000"/>
    <n v="3150"/>
    <n v="1260"/>
    <n v="0.4"/>
  </r>
  <r>
    <m/>
    <x v="3"/>
    <n v="1189833"/>
    <x v="36"/>
    <x v="2"/>
    <x v="2"/>
    <s v="Los Angeles"/>
    <x v="3"/>
    <n v="0.45"/>
    <n v="5500"/>
    <n v="2475"/>
    <n v="866.25"/>
    <n v="0.35"/>
  </r>
  <r>
    <m/>
    <x v="3"/>
    <n v="1189833"/>
    <x v="36"/>
    <x v="2"/>
    <x v="2"/>
    <s v="Los Angeles"/>
    <x v="4"/>
    <n v="0.5"/>
    <n v="5000"/>
    <n v="2500"/>
    <n v="1375"/>
    <n v="0.55000000000000004"/>
  </r>
  <r>
    <m/>
    <x v="3"/>
    <n v="1189833"/>
    <x v="36"/>
    <x v="2"/>
    <x v="2"/>
    <s v="Los Angeles"/>
    <x v="5"/>
    <n v="0.45"/>
    <n v="7000"/>
    <n v="3150"/>
    <n v="630"/>
    <n v="0.2"/>
  </r>
  <r>
    <m/>
    <x v="3"/>
    <n v="1189833"/>
    <x v="37"/>
    <x v="2"/>
    <x v="2"/>
    <s v="Los Angeles"/>
    <x v="0"/>
    <n v="0.35"/>
    <n v="7500"/>
    <n v="2625"/>
    <n v="1050"/>
    <n v="0.4"/>
  </r>
  <r>
    <m/>
    <x v="3"/>
    <n v="1189833"/>
    <x v="37"/>
    <x v="2"/>
    <x v="2"/>
    <s v="Los Angeles"/>
    <x v="1"/>
    <n v="0.45"/>
    <n v="6500"/>
    <n v="2925"/>
    <n v="731.25"/>
    <n v="0.25"/>
  </r>
  <r>
    <m/>
    <x v="3"/>
    <n v="1189833"/>
    <x v="37"/>
    <x v="2"/>
    <x v="2"/>
    <s v="Los Angeles"/>
    <x v="2"/>
    <n v="0.45"/>
    <n v="6750"/>
    <n v="3037.5"/>
    <n v="1215"/>
    <n v="0.4"/>
  </r>
  <r>
    <m/>
    <x v="3"/>
    <n v="1189833"/>
    <x v="37"/>
    <x v="2"/>
    <x v="2"/>
    <s v="Los Angeles"/>
    <x v="3"/>
    <n v="0.45"/>
    <n v="5250"/>
    <n v="2362.5"/>
    <n v="826.875"/>
    <n v="0.35"/>
  </r>
  <r>
    <m/>
    <x v="3"/>
    <n v="1189833"/>
    <x v="37"/>
    <x v="2"/>
    <x v="2"/>
    <s v="Los Angeles"/>
    <x v="4"/>
    <n v="0.5"/>
    <n v="4500"/>
    <n v="2250"/>
    <n v="1237.5"/>
    <n v="0.55000000000000004"/>
  </r>
  <r>
    <m/>
    <x v="3"/>
    <n v="1189833"/>
    <x v="37"/>
    <x v="2"/>
    <x v="2"/>
    <s v="Los Angeles"/>
    <x v="5"/>
    <n v="0.45"/>
    <n v="6500"/>
    <n v="2925"/>
    <n v="585"/>
    <n v="0.2"/>
  </r>
  <r>
    <m/>
    <x v="3"/>
    <n v="1189833"/>
    <x v="38"/>
    <x v="2"/>
    <x v="2"/>
    <s v="Los Angeles"/>
    <x v="0"/>
    <n v="0.35"/>
    <n v="8000"/>
    <n v="2800"/>
    <n v="1120"/>
    <n v="0.4"/>
  </r>
  <r>
    <m/>
    <x v="3"/>
    <n v="1189833"/>
    <x v="38"/>
    <x v="2"/>
    <x v="2"/>
    <s v="Los Angeles"/>
    <x v="1"/>
    <n v="0.45"/>
    <n v="6500"/>
    <n v="2925"/>
    <n v="731.25"/>
    <n v="0.25"/>
  </r>
  <r>
    <m/>
    <x v="3"/>
    <n v="1189833"/>
    <x v="38"/>
    <x v="2"/>
    <x v="2"/>
    <s v="Los Angeles"/>
    <x v="2"/>
    <n v="0.45"/>
    <n v="6500"/>
    <n v="2925"/>
    <n v="1170"/>
    <n v="0.4"/>
  </r>
  <r>
    <m/>
    <x v="3"/>
    <n v="1189833"/>
    <x v="38"/>
    <x v="2"/>
    <x v="2"/>
    <s v="Los Angeles"/>
    <x v="3"/>
    <n v="0.45"/>
    <n v="5500"/>
    <n v="2475"/>
    <n v="866.25"/>
    <n v="0.35"/>
  </r>
  <r>
    <m/>
    <x v="3"/>
    <n v="1189833"/>
    <x v="38"/>
    <x v="2"/>
    <x v="2"/>
    <s v="Los Angeles"/>
    <x v="4"/>
    <n v="0.5"/>
    <n v="4250"/>
    <n v="2125"/>
    <n v="1168.75"/>
    <n v="0.55000000000000004"/>
  </r>
  <r>
    <m/>
    <x v="3"/>
    <n v="1189833"/>
    <x v="38"/>
    <x v="2"/>
    <x v="2"/>
    <s v="Los Angeles"/>
    <x v="5"/>
    <n v="0.45"/>
    <n v="6250"/>
    <n v="2812.5"/>
    <n v="562.5"/>
    <n v="0.2"/>
  </r>
  <r>
    <m/>
    <x v="3"/>
    <n v="1189833"/>
    <x v="39"/>
    <x v="2"/>
    <x v="2"/>
    <s v="Los Angeles"/>
    <x v="0"/>
    <n v="0.45"/>
    <n v="8000"/>
    <n v="3600"/>
    <n v="1440"/>
    <n v="0.4"/>
  </r>
  <r>
    <m/>
    <x v="3"/>
    <n v="1189833"/>
    <x v="39"/>
    <x v="2"/>
    <x v="2"/>
    <s v="Los Angeles"/>
    <x v="1"/>
    <n v="0.5"/>
    <n v="6000"/>
    <n v="3000"/>
    <n v="750"/>
    <n v="0.25"/>
  </r>
  <r>
    <m/>
    <x v="3"/>
    <n v="1189833"/>
    <x v="39"/>
    <x v="2"/>
    <x v="2"/>
    <s v="Los Angeles"/>
    <x v="2"/>
    <n v="0.5"/>
    <n v="6250"/>
    <n v="3125"/>
    <n v="1250"/>
    <n v="0.4"/>
  </r>
  <r>
    <m/>
    <x v="3"/>
    <n v="1189833"/>
    <x v="39"/>
    <x v="2"/>
    <x v="2"/>
    <s v="Los Angeles"/>
    <x v="3"/>
    <n v="0.45"/>
    <n v="5250"/>
    <n v="2362.5"/>
    <n v="826.875"/>
    <n v="0.35"/>
  </r>
  <r>
    <m/>
    <x v="3"/>
    <n v="1189833"/>
    <x v="39"/>
    <x v="2"/>
    <x v="2"/>
    <s v="Los Angeles"/>
    <x v="4"/>
    <n v="0.5"/>
    <n v="4250"/>
    <n v="2125"/>
    <n v="1168.75"/>
    <n v="0.55000000000000004"/>
  </r>
  <r>
    <m/>
    <x v="3"/>
    <n v="1189833"/>
    <x v="39"/>
    <x v="2"/>
    <x v="2"/>
    <s v="Los Angeles"/>
    <x v="5"/>
    <n v="0.65"/>
    <n v="6000"/>
    <n v="3900"/>
    <n v="780"/>
    <n v="0.2"/>
  </r>
  <r>
    <m/>
    <x v="3"/>
    <n v="1189833"/>
    <x v="40"/>
    <x v="2"/>
    <x v="2"/>
    <s v="Los Angeles"/>
    <x v="0"/>
    <n v="0.45"/>
    <n v="8000"/>
    <n v="3600"/>
    <n v="1440"/>
    <n v="0.4"/>
  </r>
  <r>
    <m/>
    <x v="3"/>
    <n v="1189833"/>
    <x v="40"/>
    <x v="2"/>
    <x v="2"/>
    <s v="Los Angeles"/>
    <x v="1"/>
    <n v="0.5"/>
    <n v="6500"/>
    <n v="3250"/>
    <n v="812.5"/>
    <n v="0.25"/>
  </r>
  <r>
    <m/>
    <x v="3"/>
    <n v="1189833"/>
    <x v="40"/>
    <x v="2"/>
    <x v="2"/>
    <s v="Los Angeles"/>
    <x v="2"/>
    <n v="0.5"/>
    <n v="6500"/>
    <n v="3250"/>
    <n v="1300"/>
    <n v="0.4"/>
  </r>
  <r>
    <m/>
    <x v="3"/>
    <n v="1189833"/>
    <x v="40"/>
    <x v="2"/>
    <x v="2"/>
    <s v="Los Angeles"/>
    <x v="3"/>
    <n v="0.45"/>
    <n v="5500"/>
    <n v="2475"/>
    <n v="866.25"/>
    <n v="0.35"/>
  </r>
  <r>
    <m/>
    <x v="3"/>
    <n v="1189833"/>
    <x v="40"/>
    <x v="2"/>
    <x v="2"/>
    <s v="Los Angeles"/>
    <x v="4"/>
    <n v="0.5"/>
    <n v="4500"/>
    <n v="2250"/>
    <n v="1237.5"/>
    <n v="0.55000000000000004"/>
  </r>
  <r>
    <m/>
    <x v="3"/>
    <n v="1189833"/>
    <x v="40"/>
    <x v="2"/>
    <x v="2"/>
    <s v="Los Angeles"/>
    <x v="5"/>
    <n v="0.65"/>
    <n v="6250"/>
    <n v="4062.5"/>
    <n v="812.5"/>
    <n v="0.2"/>
  </r>
  <r>
    <m/>
    <x v="3"/>
    <n v="1189833"/>
    <x v="41"/>
    <x v="2"/>
    <x v="2"/>
    <s v="Los Angeles"/>
    <x v="0"/>
    <n v="0.45"/>
    <n v="9000"/>
    <n v="4050"/>
    <n v="1620"/>
    <n v="0.4"/>
  </r>
  <r>
    <m/>
    <x v="3"/>
    <n v="1189833"/>
    <x v="41"/>
    <x v="2"/>
    <x v="2"/>
    <s v="Los Angeles"/>
    <x v="1"/>
    <n v="0.5"/>
    <n v="7500"/>
    <n v="3750"/>
    <n v="937.5"/>
    <n v="0.25"/>
  </r>
  <r>
    <m/>
    <x v="3"/>
    <n v="1189833"/>
    <x v="41"/>
    <x v="2"/>
    <x v="2"/>
    <s v="Los Angeles"/>
    <x v="2"/>
    <n v="0.5"/>
    <n v="7500"/>
    <n v="3750"/>
    <n v="1500"/>
    <n v="0.4"/>
  </r>
  <r>
    <m/>
    <x v="3"/>
    <n v="1189833"/>
    <x v="41"/>
    <x v="2"/>
    <x v="2"/>
    <s v="Los Angeles"/>
    <x v="3"/>
    <n v="0.45"/>
    <n v="6250"/>
    <n v="2812.5"/>
    <n v="984.37499999999989"/>
    <n v="0.35"/>
  </r>
  <r>
    <m/>
    <x v="3"/>
    <n v="1189833"/>
    <x v="41"/>
    <x v="2"/>
    <x v="2"/>
    <s v="Los Angeles"/>
    <x v="4"/>
    <n v="0.5"/>
    <n v="5000"/>
    <n v="2500"/>
    <n v="1375"/>
    <n v="0.55000000000000004"/>
  </r>
  <r>
    <m/>
    <x v="3"/>
    <n v="1189833"/>
    <x v="41"/>
    <x v="2"/>
    <x v="2"/>
    <s v="Los Angeles"/>
    <x v="5"/>
    <n v="0.65"/>
    <n v="8000"/>
    <n v="5200"/>
    <n v="1040"/>
    <n v="0.2"/>
  </r>
  <r>
    <m/>
    <x v="3"/>
    <n v="1189833"/>
    <x v="42"/>
    <x v="2"/>
    <x v="2"/>
    <s v="Los Angeles"/>
    <x v="0"/>
    <n v="0.45"/>
    <n v="9500"/>
    <n v="4275"/>
    <n v="1710"/>
    <n v="0.4"/>
  </r>
  <r>
    <m/>
    <x v="3"/>
    <n v="1189833"/>
    <x v="42"/>
    <x v="2"/>
    <x v="2"/>
    <s v="Los Angeles"/>
    <x v="1"/>
    <n v="0.5"/>
    <n v="8000"/>
    <n v="4000"/>
    <n v="1000"/>
    <n v="0.25"/>
  </r>
  <r>
    <m/>
    <x v="3"/>
    <n v="1189833"/>
    <x v="42"/>
    <x v="2"/>
    <x v="2"/>
    <s v="Los Angeles"/>
    <x v="2"/>
    <n v="0.5"/>
    <n v="7500"/>
    <n v="3750"/>
    <n v="1500"/>
    <n v="0.4"/>
  </r>
  <r>
    <m/>
    <x v="3"/>
    <n v="1189833"/>
    <x v="42"/>
    <x v="2"/>
    <x v="2"/>
    <s v="Los Angeles"/>
    <x v="3"/>
    <n v="0.45"/>
    <n v="6500"/>
    <n v="2925"/>
    <n v="1023.7499999999999"/>
    <n v="0.35"/>
  </r>
  <r>
    <m/>
    <x v="3"/>
    <n v="1189833"/>
    <x v="42"/>
    <x v="2"/>
    <x v="2"/>
    <s v="Los Angeles"/>
    <x v="4"/>
    <n v="0.5"/>
    <n v="7000"/>
    <n v="3500"/>
    <n v="1925.0000000000002"/>
    <n v="0.55000000000000004"/>
  </r>
  <r>
    <m/>
    <x v="3"/>
    <n v="1189833"/>
    <x v="42"/>
    <x v="2"/>
    <x v="2"/>
    <s v="Los Angeles"/>
    <x v="5"/>
    <n v="0.65"/>
    <n v="7000"/>
    <n v="4550"/>
    <n v="910"/>
    <n v="0.2"/>
  </r>
  <r>
    <m/>
    <x v="3"/>
    <n v="1189833"/>
    <x v="43"/>
    <x v="2"/>
    <x v="2"/>
    <s v="Los Angeles"/>
    <x v="0"/>
    <n v="0.5"/>
    <n v="9000"/>
    <n v="4500"/>
    <n v="1800"/>
    <n v="0.4"/>
  </r>
  <r>
    <m/>
    <x v="3"/>
    <n v="1189833"/>
    <x v="43"/>
    <x v="2"/>
    <x v="2"/>
    <s v="Los Angeles"/>
    <x v="1"/>
    <n v="0.55000000000000004"/>
    <n v="8500"/>
    <n v="4675"/>
    <n v="1168.75"/>
    <n v="0.25"/>
  </r>
  <r>
    <m/>
    <x v="3"/>
    <n v="1189833"/>
    <x v="43"/>
    <x v="2"/>
    <x v="2"/>
    <s v="Los Angeles"/>
    <x v="2"/>
    <n v="0.5"/>
    <n v="7250"/>
    <n v="3625"/>
    <n v="1450"/>
    <n v="0.4"/>
  </r>
  <r>
    <m/>
    <x v="3"/>
    <n v="1189833"/>
    <x v="43"/>
    <x v="2"/>
    <x v="2"/>
    <s v="Los Angeles"/>
    <x v="3"/>
    <n v="0.5"/>
    <n v="6750"/>
    <n v="3375"/>
    <n v="1181.25"/>
    <n v="0.35"/>
  </r>
  <r>
    <m/>
    <x v="3"/>
    <n v="1189833"/>
    <x v="43"/>
    <x v="2"/>
    <x v="2"/>
    <s v="Los Angeles"/>
    <x v="4"/>
    <n v="0.6"/>
    <n v="6750"/>
    <n v="4050"/>
    <n v="2227.5"/>
    <n v="0.55000000000000004"/>
  </r>
  <r>
    <m/>
    <x v="3"/>
    <n v="1189833"/>
    <x v="43"/>
    <x v="2"/>
    <x v="2"/>
    <s v="Los Angeles"/>
    <x v="5"/>
    <n v="0.65"/>
    <n v="6500"/>
    <n v="4225"/>
    <n v="845"/>
    <n v="0.2"/>
  </r>
  <r>
    <m/>
    <x v="3"/>
    <n v="1189833"/>
    <x v="44"/>
    <x v="2"/>
    <x v="2"/>
    <s v="Los Angeles"/>
    <x v="0"/>
    <n v="0.5"/>
    <n v="8500"/>
    <n v="4250"/>
    <n v="1700"/>
    <n v="0.4"/>
  </r>
  <r>
    <m/>
    <x v="3"/>
    <n v="1189833"/>
    <x v="44"/>
    <x v="2"/>
    <x v="2"/>
    <s v="Los Angeles"/>
    <x v="1"/>
    <n v="0.55000000000000004"/>
    <n v="8500"/>
    <n v="4675"/>
    <n v="1168.75"/>
    <n v="0.25"/>
  </r>
  <r>
    <m/>
    <x v="3"/>
    <n v="1189833"/>
    <x v="44"/>
    <x v="2"/>
    <x v="2"/>
    <s v="Los Angeles"/>
    <x v="2"/>
    <n v="0.5"/>
    <n v="7000"/>
    <n v="3500"/>
    <n v="1400"/>
    <n v="0.4"/>
  </r>
  <r>
    <m/>
    <x v="3"/>
    <n v="1189833"/>
    <x v="44"/>
    <x v="2"/>
    <x v="2"/>
    <s v="Los Angeles"/>
    <x v="3"/>
    <n v="0.5"/>
    <n v="6500"/>
    <n v="3250"/>
    <n v="1137.5"/>
    <n v="0.35"/>
  </r>
  <r>
    <m/>
    <x v="3"/>
    <n v="1189833"/>
    <x v="44"/>
    <x v="2"/>
    <x v="2"/>
    <s v="Los Angeles"/>
    <x v="4"/>
    <n v="0.6"/>
    <n v="6500"/>
    <n v="3900"/>
    <n v="2145"/>
    <n v="0.55000000000000004"/>
  </r>
  <r>
    <m/>
    <x v="3"/>
    <n v="1189833"/>
    <x v="44"/>
    <x v="2"/>
    <x v="2"/>
    <s v="Los Angeles"/>
    <x v="5"/>
    <n v="0.65"/>
    <n v="7000"/>
    <n v="4550"/>
    <n v="910"/>
    <n v="0.2"/>
  </r>
  <r>
    <m/>
    <x v="3"/>
    <n v="1189833"/>
    <x v="45"/>
    <x v="2"/>
    <x v="2"/>
    <s v="Los Angeles"/>
    <x v="0"/>
    <n v="0.5"/>
    <n v="8000"/>
    <n v="4000"/>
    <n v="1600"/>
    <n v="0.4"/>
  </r>
  <r>
    <m/>
    <x v="3"/>
    <n v="1189833"/>
    <x v="45"/>
    <x v="2"/>
    <x v="2"/>
    <s v="Los Angeles"/>
    <x v="1"/>
    <n v="0.55000000000000004"/>
    <n v="8000"/>
    <n v="4400"/>
    <n v="1100"/>
    <n v="0.25"/>
  </r>
  <r>
    <m/>
    <x v="3"/>
    <n v="1189833"/>
    <x v="45"/>
    <x v="2"/>
    <x v="2"/>
    <s v="Los Angeles"/>
    <x v="2"/>
    <n v="0.5"/>
    <n v="6500"/>
    <n v="3250"/>
    <n v="1300"/>
    <n v="0.4"/>
  </r>
  <r>
    <m/>
    <x v="3"/>
    <n v="1189833"/>
    <x v="45"/>
    <x v="2"/>
    <x v="2"/>
    <s v="Los Angeles"/>
    <x v="3"/>
    <n v="0.5"/>
    <n v="6250"/>
    <n v="3125"/>
    <n v="1093.75"/>
    <n v="0.35"/>
  </r>
  <r>
    <m/>
    <x v="3"/>
    <n v="1189833"/>
    <x v="45"/>
    <x v="2"/>
    <x v="2"/>
    <s v="Los Angeles"/>
    <x v="4"/>
    <n v="0.6"/>
    <n v="6000"/>
    <n v="3600"/>
    <n v="1980.0000000000002"/>
    <n v="0.55000000000000004"/>
  </r>
  <r>
    <m/>
    <x v="3"/>
    <n v="1189833"/>
    <x v="45"/>
    <x v="2"/>
    <x v="2"/>
    <s v="Los Angeles"/>
    <x v="5"/>
    <n v="0.65"/>
    <n v="6500"/>
    <n v="4225"/>
    <n v="845"/>
    <n v="0.2"/>
  </r>
  <r>
    <m/>
    <x v="3"/>
    <n v="1189833"/>
    <x v="46"/>
    <x v="2"/>
    <x v="2"/>
    <s v="Los Angeles"/>
    <x v="0"/>
    <n v="0.5"/>
    <n v="8250"/>
    <n v="4125"/>
    <n v="1650"/>
    <n v="0.4"/>
  </r>
  <r>
    <m/>
    <x v="3"/>
    <n v="1189833"/>
    <x v="46"/>
    <x v="2"/>
    <x v="2"/>
    <s v="Los Angeles"/>
    <x v="1"/>
    <n v="0.55000000000000004"/>
    <n v="8250"/>
    <n v="4537.5"/>
    <n v="1134.375"/>
    <n v="0.25"/>
  </r>
  <r>
    <m/>
    <x v="3"/>
    <n v="1189833"/>
    <x v="46"/>
    <x v="2"/>
    <x v="2"/>
    <s v="Los Angeles"/>
    <x v="2"/>
    <n v="0.5"/>
    <n v="6750"/>
    <n v="3375"/>
    <n v="1350"/>
    <n v="0.4"/>
  </r>
  <r>
    <m/>
    <x v="3"/>
    <n v="1189833"/>
    <x v="46"/>
    <x v="2"/>
    <x v="2"/>
    <s v="Los Angeles"/>
    <x v="3"/>
    <n v="0.5"/>
    <n v="6500"/>
    <n v="3250"/>
    <n v="1137.5"/>
    <n v="0.35"/>
  </r>
  <r>
    <m/>
    <x v="3"/>
    <n v="1189833"/>
    <x v="46"/>
    <x v="2"/>
    <x v="2"/>
    <s v="Los Angeles"/>
    <x v="4"/>
    <n v="0.6"/>
    <n v="6000"/>
    <n v="3600"/>
    <n v="1980.0000000000002"/>
    <n v="0.55000000000000004"/>
  </r>
  <r>
    <m/>
    <x v="3"/>
    <n v="1189833"/>
    <x v="46"/>
    <x v="2"/>
    <x v="2"/>
    <s v="Los Angeles"/>
    <x v="5"/>
    <n v="0.65"/>
    <n v="7000"/>
    <n v="4550"/>
    <n v="910"/>
    <n v="0.2"/>
  </r>
  <r>
    <m/>
    <x v="3"/>
    <n v="1189833"/>
    <x v="47"/>
    <x v="2"/>
    <x v="2"/>
    <s v="Los Angeles"/>
    <x v="0"/>
    <n v="0.5"/>
    <n v="9000"/>
    <n v="4500"/>
    <n v="1800"/>
    <n v="0.4"/>
  </r>
  <r>
    <m/>
    <x v="3"/>
    <n v="1189833"/>
    <x v="47"/>
    <x v="2"/>
    <x v="2"/>
    <s v="Los Angeles"/>
    <x v="1"/>
    <n v="0.55000000000000004"/>
    <n v="9000"/>
    <n v="4950"/>
    <n v="1237.5"/>
    <n v="0.25"/>
  </r>
  <r>
    <m/>
    <x v="3"/>
    <n v="1189833"/>
    <x v="47"/>
    <x v="2"/>
    <x v="2"/>
    <s v="Los Angeles"/>
    <x v="2"/>
    <n v="0.5"/>
    <n v="7000"/>
    <n v="3500"/>
    <n v="1400"/>
    <n v="0.4"/>
  </r>
  <r>
    <m/>
    <x v="3"/>
    <n v="1189833"/>
    <x v="47"/>
    <x v="2"/>
    <x v="2"/>
    <s v="Los Angeles"/>
    <x v="3"/>
    <n v="0.5"/>
    <n v="7000"/>
    <n v="3500"/>
    <n v="1225"/>
    <n v="0.35"/>
  </r>
  <r>
    <m/>
    <x v="3"/>
    <n v="1189833"/>
    <x v="47"/>
    <x v="2"/>
    <x v="2"/>
    <s v="Los Angeles"/>
    <x v="4"/>
    <n v="0.6"/>
    <n v="6250"/>
    <n v="3750"/>
    <n v="2062.5"/>
    <n v="0.55000000000000004"/>
  </r>
  <r>
    <m/>
    <x v="3"/>
    <n v="1189833"/>
    <x v="47"/>
    <x v="2"/>
    <x v="2"/>
    <s v="Los Angeles"/>
    <x v="5"/>
    <n v="0.65"/>
    <n v="7250"/>
    <n v="4712.5"/>
    <n v="942.5"/>
    <n v="0.2"/>
  </r>
  <r>
    <m/>
    <x v="0"/>
    <n v="1185732"/>
    <x v="36"/>
    <x v="3"/>
    <x v="3"/>
    <s v="Chicago"/>
    <x v="0"/>
    <n v="0.45"/>
    <n v="4750"/>
    <n v="2137.5"/>
    <n v="855"/>
    <n v="0.4"/>
  </r>
  <r>
    <m/>
    <x v="0"/>
    <n v="1185732"/>
    <x v="36"/>
    <x v="3"/>
    <x v="3"/>
    <s v="Chicago"/>
    <x v="1"/>
    <n v="0.45"/>
    <n v="2750"/>
    <n v="1237.5"/>
    <n v="433.125"/>
    <n v="0.35"/>
  </r>
  <r>
    <m/>
    <x v="0"/>
    <n v="1185732"/>
    <x v="36"/>
    <x v="3"/>
    <x v="3"/>
    <s v="Chicago"/>
    <x v="2"/>
    <n v="0.35000000000000003"/>
    <n v="2750"/>
    <n v="962.50000000000011"/>
    <n v="336.875"/>
    <n v="0.35"/>
  </r>
  <r>
    <m/>
    <x v="0"/>
    <n v="1185732"/>
    <x v="36"/>
    <x v="3"/>
    <x v="3"/>
    <s v="Chicago"/>
    <x v="3"/>
    <n v="0.4"/>
    <n v="1250"/>
    <n v="500"/>
    <n v="200"/>
    <n v="0.4"/>
  </r>
  <r>
    <m/>
    <x v="0"/>
    <n v="1185732"/>
    <x v="36"/>
    <x v="3"/>
    <x v="3"/>
    <s v="Chicago"/>
    <x v="4"/>
    <n v="0.54999999999999993"/>
    <n v="1750"/>
    <n v="962.49999999999989"/>
    <n v="336.87499999999994"/>
    <n v="0.35"/>
  </r>
  <r>
    <m/>
    <x v="0"/>
    <n v="1185732"/>
    <x v="36"/>
    <x v="3"/>
    <x v="3"/>
    <s v="Chicago"/>
    <x v="5"/>
    <n v="0.45"/>
    <n v="2750"/>
    <n v="1237.5"/>
    <n v="618.75"/>
    <n v="0.5"/>
  </r>
  <r>
    <m/>
    <x v="0"/>
    <n v="1185732"/>
    <x v="37"/>
    <x v="3"/>
    <x v="3"/>
    <s v="Chicago"/>
    <x v="0"/>
    <n v="0.45"/>
    <n v="5250"/>
    <n v="2362.5"/>
    <n v="945"/>
    <n v="0.4"/>
  </r>
  <r>
    <m/>
    <x v="0"/>
    <n v="1185732"/>
    <x v="37"/>
    <x v="3"/>
    <x v="3"/>
    <s v="Chicago"/>
    <x v="1"/>
    <n v="0.45"/>
    <n v="1750"/>
    <n v="787.5"/>
    <n v="275.625"/>
    <n v="0.35"/>
  </r>
  <r>
    <m/>
    <x v="0"/>
    <n v="1185732"/>
    <x v="37"/>
    <x v="3"/>
    <x v="3"/>
    <s v="Chicago"/>
    <x v="2"/>
    <n v="0.35000000000000003"/>
    <n v="2250"/>
    <n v="787.50000000000011"/>
    <n v="275.625"/>
    <n v="0.35"/>
  </r>
  <r>
    <m/>
    <x v="0"/>
    <n v="1185732"/>
    <x v="37"/>
    <x v="3"/>
    <x v="3"/>
    <s v="Chicago"/>
    <x v="3"/>
    <n v="0.4"/>
    <n v="1000"/>
    <n v="400"/>
    <n v="160"/>
    <n v="0.4"/>
  </r>
  <r>
    <m/>
    <x v="0"/>
    <n v="1185732"/>
    <x v="37"/>
    <x v="3"/>
    <x v="3"/>
    <s v="Chicago"/>
    <x v="4"/>
    <n v="0.54999999999999993"/>
    <n v="1750"/>
    <n v="962.49999999999989"/>
    <n v="336.87499999999994"/>
    <n v="0.35"/>
  </r>
  <r>
    <m/>
    <x v="0"/>
    <n v="1185732"/>
    <x v="37"/>
    <x v="3"/>
    <x v="3"/>
    <s v="Chicago"/>
    <x v="5"/>
    <n v="0.45"/>
    <n v="2750"/>
    <n v="1237.5"/>
    <n v="618.75"/>
    <n v="0.5"/>
  </r>
  <r>
    <m/>
    <x v="0"/>
    <n v="1185732"/>
    <x v="38"/>
    <x v="3"/>
    <x v="3"/>
    <s v="Chicago"/>
    <x v="0"/>
    <n v="0.5"/>
    <n v="4950"/>
    <n v="2475"/>
    <n v="990"/>
    <n v="0.4"/>
  </r>
  <r>
    <m/>
    <x v="0"/>
    <n v="1185732"/>
    <x v="38"/>
    <x v="3"/>
    <x v="3"/>
    <s v="Chicago"/>
    <x v="1"/>
    <n v="0.5"/>
    <n v="2000"/>
    <n v="1000"/>
    <n v="350"/>
    <n v="0.35"/>
  </r>
  <r>
    <m/>
    <x v="0"/>
    <n v="1185732"/>
    <x v="38"/>
    <x v="3"/>
    <x v="3"/>
    <s v="Chicago"/>
    <x v="2"/>
    <n v="0.4"/>
    <n v="2250"/>
    <n v="900"/>
    <n v="315"/>
    <n v="0.35"/>
  </r>
  <r>
    <m/>
    <x v="0"/>
    <n v="1185732"/>
    <x v="38"/>
    <x v="3"/>
    <x v="3"/>
    <s v="Chicago"/>
    <x v="3"/>
    <n v="0.45"/>
    <n v="750"/>
    <n v="337.5"/>
    <n v="135"/>
    <n v="0.4"/>
  </r>
  <r>
    <m/>
    <x v="0"/>
    <n v="1185732"/>
    <x v="38"/>
    <x v="3"/>
    <x v="3"/>
    <s v="Chicago"/>
    <x v="4"/>
    <n v="0.6"/>
    <n v="1250"/>
    <n v="750"/>
    <n v="262.5"/>
    <n v="0.35"/>
  </r>
  <r>
    <m/>
    <x v="0"/>
    <n v="1185732"/>
    <x v="38"/>
    <x v="3"/>
    <x v="3"/>
    <s v="Chicago"/>
    <x v="5"/>
    <n v="0.5"/>
    <n v="2250"/>
    <n v="1125"/>
    <n v="562.5"/>
    <n v="0.5"/>
  </r>
  <r>
    <m/>
    <x v="0"/>
    <n v="1185732"/>
    <x v="39"/>
    <x v="3"/>
    <x v="3"/>
    <s v="Chicago"/>
    <x v="0"/>
    <n v="0.5"/>
    <n v="4500"/>
    <n v="2250"/>
    <n v="900"/>
    <n v="0.4"/>
  </r>
  <r>
    <m/>
    <x v="0"/>
    <n v="1185732"/>
    <x v="39"/>
    <x v="3"/>
    <x v="3"/>
    <s v="Chicago"/>
    <x v="1"/>
    <n v="0.5"/>
    <n v="1500"/>
    <n v="750"/>
    <n v="262.5"/>
    <n v="0.35"/>
  </r>
  <r>
    <m/>
    <x v="0"/>
    <n v="1185732"/>
    <x v="39"/>
    <x v="3"/>
    <x v="3"/>
    <s v="Chicago"/>
    <x v="2"/>
    <n v="0.4"/>
    <n v="1500"/>
    <n v="600"/>
    <n v="210"/>
    <n v="0.35"/>
  </r>
  <r>
    <m/>
    <x v="0"/>
    <n v="1185732"/>
    <x v="39"/>
    <x v="3"/>
    <x v="3"/>
    <s v="Chicago"/>
    <x v="3"/>
    <n v="0.45"/>
    <n v="750"/>
    <n v="337.5"/>
    <n v="135"/>
    <n v="0.4"/>
  </r>
  <r>
    <m/>
    <x v="0"/>
    <n v="1185732"/>
    <x v="39"/>
    <x v="3"/>
    <x v="3"/>
    <s v="Chicago"/>
    <x v="4"/>
    <n v="0.6"/>
    <n v="1000"/>
    <n v="600"/>
    <n v="210"/>
    <n v="0.35"/>
  </r>
  <r>
    <m/>
    <x v="0"/>
    <n v="1185732"/>
    <x v="39"/>
    <x v="3"/>
    <x v="3"/>
    <s v="Chicago"/>
    <x v="5"/>
    <n v="0.5"/>
    <n v="2250"/>
    <n v="1125"/>
    <n v="562.5"/>
    <n v="0.5"/>
  </r>
  <r>
    <m/>
    <x v="0"/>
    <n v="1185732"/>
    <x v="40"/>
    <x v="3"/>
    <x v="3"/>
    <s v="Chicago"/>
    <x v="0"/>
    <n v="0.6"/>
    <n v="4950"/>
    <n v="2970"/>
    <n v="1188"/>
    <n v="0.4"/>
  </r>
  <r>
    <m/>
    <x v="0"/>
    <n v="1185732"/>
    <x v="40"/>
    <x v="3"/>
    <x v="3"/>
    <s v="Chicago"/>
    <x v="1"/>
    <n v="0.55000000000000004"/>
    <n v="2000"/>
    <n v="1100"/>
    <n v="385"/>
    <n v="0.35"/>
  </r>
  <r>
    <m/>
    <x v="0"/>
    <n v="1185732"/>
    <x v="40"/>
    <x v="3"/>
    <x v="3"/>
    <s v="Chicago"/>
    <x v="2"/>
    <n v="0.5"/>
    <n v="1750"/>
    <n v="875"/>
    <n v="306.25"/>
    <n v="0.35"/>
  </r>
  <r>
    <m/>
    <x v="0"/>
    <n v="1185732"/>
    <x v="40"/>
    <x v="3"/>
    <x v="3"/>
    <s v="Chicago"/>
    <x v="3"/>
    <n v="0.5"/>
    <n v="1000"/>
    <n v="500"/>
    <n v="200"/>
    <n v="0.4"/>
  </r>
  <r>
    <m/>
    <x v="0"/>
    <n v="1185732"/>
    <x v="40"/>
    <x v="3"/>
    <x v="3"/>
    <s v="Chicago"/>
    <x v="4"/>
    <n v="0.6"/>
    <n v="1250"/>
    <n v="750"/>
    <n v="262.5"/>
    <n v="0.35"/>
  </r>
  <r>
    <m/>
    <x v="0"/>
    <n v="1185732"/>
    <x v="40"/>
    <x v="3"/>
    <x v="3"/>
    <s v="Chicago"/>
    <x v="5"/>
    <n v="0.65"/>
    <n v="2500"/>
    <n v="1625"/>
    <n v="812.5"/>
    <n v="0.5"/>
  </r>
  <r>
    <m/>
    <x v="0"/>
    <n v="1185732"/>
    <x v="41"/>
    <x v="3"/>
    <x v="3"/>
    <s v="Chicago"/>
    <x v="0"/>
    <n v="0.5"/>
    <n v="5000"/>
    <n v="2500"/>
    <n v="1000"/>
    <n v="0.4"/>
  </r>
  <r>
    <m/>
    <x v="0"/>
    <n v="1185732"/>
    <x v="41"/>
    <x v="3"/>
    <x v="3"/>
    <s v="Chicago"/>
    <x v="1"/>
    <n v="0.45000000000000007"/>
    <n v="2500"/>
    <n v="1125.0000000000002"/>
    <n v="393.75000000000006"/>
    <n v="0.35"/>
  </r>
  <r>
    <m/>
    <x v="0"/>
    <n v="1185732"/>
    <x v="41"/>
    <x v="3"/>
    <x v="3"/>
    <s v="Chicago"/>
    <x v="2"/>
    <n v="0.4"/>
    <n v="2000"/>
    <n v="800"/>
    <n v="280"/>
    <n v="0.35"/>
  </r>
  <r>
    <m/>
    <x v="0"/>
    <n v="1185732"/>
    <x v="41"/>
    <x v="3"/>
    <x v="3"/>
    <s v="Chicago"/>
    <x v="3"/>
    <n v="0.4"/>
    <n v="1750"/>
    <n v="700"/>
    <n v="280"/>
    <n v="0.4"/>
  </r>
  <r>
    <m/>
    <x v="0"/>
    <n v="1185732"/>
    <x v="41"/>
    <x v="3"/>
    <x v="3"/>
    <s v="Chicago"/>
    <x v="4"/>
    <n v="0.5"/>
    <n v="1750"/>
    <n v="875"/>
    <n v="306.25"/>
    <n v="0.35"/>
  </r>
  <r>
    <m/>
    <x v="0"/>
    <n v="1185732"/>
    <x v="41"/>
    <x v="3"/>
    <x v="3"/>
    <s v="Chicago"/>
    <x v="5"/>
    <n v="0.55000000000000004"/>
    <n v="3500"/>
    <n v="1925.0000000000002"/>
    <n v="962.50000000000011"/>
    <n v="0.5"/>
  </r>
  <r>
    <m/>
    <x v="0"/>
    <n v="1185732"/>
    <x v="42"/>
    <x v="3"/>
    <x v="3"/>
    <s v="Chicago"/>
    <x v="0"/>
    <n v="0.5"/>
    <n v="5750"/>
    <n v="2875"/>
    <n v="1150"/>
    <n v="0.4"/>
  </r>
  <r>
    <m/>
    <x v="0"/>
    <n v="1185732"/>
    <x v="42"/>
    <x v="3"/>
    <x v="3"/>
    <s v="Chicago"/>
    <x v="1"/>
    <n v="0.45000000000000007"/>
    <n v="3250"/>
    <n v="1462.5000000000002"/>
    <n v="511.87500000000006"/>
    <n v="0.35"/>
  </r>
  <r>
    <m/>
    <x v="0"/>
    <n v="1185732"/>
    <x v="42"/>
    <x v="3"/>
    <x v="3"/>
    <s v="Chicago"/>
    <x v="2"/>
    <n v="0.4"/>
    <n v="2500"/>
    <n v="1000"/>
    <n v="350"/>
    <n v="0.35"/>
  </r>
  <r>
    <m/>
    <x v="0"/>
    <n v="1185732"/>
    <x v="42"/>
    <x v="3"/>
    <x v="3"/>
    <s v="Chicago"/>
    <x v="3"/>
    <n v="0.4"/>
    <n v="2000"/>
    <n v="800"/>
    <n v="320"/>
    <n v="0.4"/>
  </r>
  <r>
    <m/>
    <x v="0"/>
    <n v="1185732"/>
    <x v="42"/>
    <x v="3"/>
    <x v="3"/>
    <s v="Chicago"/>
    <x v="4"/>
    <n v="0.5"/>
    <n v="2250"/>
    <n v="1125"/>
    <n v="393.75"/>
    <n v="0.35"/>
  </r>
  <r>
    <m/>
    <x v="0"/>
    <n v="1185732"/>
    <x v="42"/>
    <x v="3"/>
    <x v="3"/>
    <s v="Chicago"/>
    <x v="5"/>
    <n v="0.55000000000000004"/>
    <n v="4000"/>
    <n v="2200"/>
    <n v="1100"/>
    <n v="0.5"/>
  </r>
  <r>
    <m/>
    <x v="0"/>
    <n v="1185732"/>
    <x v="43"/>
    <x v="3"/>
    <x v="3"/>
    <s v="Chicago"/>
    <x v="0"/>
    <n v="0.5"/>
    <n v="5500"/>
    <n v="2750"/>
    <n v="1100"/>
    <n v="0.4"/>
  </r>
  <r>
    <m/>
    <x v="0"/>
    <n v="1185732"/>
    <x v="43"/>
    <x v="3"/>
    <x v="3"/>
    <s v="Chicago"/>
    <x v="1"/>
    <n v="0.45000000000000007"/>
    <n v="3250"/>
    <n v="1462.5000000000002"/>
    <n v="511.87500000000006"/>
    <n v="0.35"/>
  </r>
  <r>
    <m/>
    <x v="0"/>
    <n v="1185732"/>
    <x v="43"/>
    <x v="3"/>
    <x v="3"/>
    <s v="Chicago"/>
    <x v="2"/>
    <n v="0.4"/>
    <n v="2500"/>
    <n v="1000"/>
    <n v="350"/>
    <n v="0.35"/>
  </r>
  <r>
    <m/>
    <x v="0"/>
    <n v="1185732"/>
    <x v="43"/>
    <x v="3"/>
    <x v="3"/>
    <s v="Chicago"/>
    <x v="3"/>
    <n v="0.4"/>
    <n v="2250"/>
    <n v="900"/>
    <n v="360"/>
    <n v="0.4"/>
  </r>
  <r>
    <m/>
    <x v="0"/>
    <n v="1185732"/>
    <x v="43"/>
    <x v="3"/>
    <x v="3"/>
    <s v="Chicago"/>
    <x v="4"/>
    <n v="0.5"/>
    <n v="2000"/>
    <n v="1000"/>
    <n v="350"/>
    <n v="0.35"/>
  </r>
  <r>
    <m/>
    <x v="0"/>
    <n v="1185732"/>
    <x v="43"/>
    <x v="3"/>
    <x v="3"/>
    <s v="Chicago"/>
    <x v="5"/>
    <n v="0.55000000000000004"/>
    <n v="3750"/>
    <n v="2062.5"/>
    <n v="1031.25"/>
    <n v="0.5"/>
  </r>
  <r>
    <m/>
    <x v="0"/>
    <n v="1185732"/>
    <x v="44"/>
    <x v="3"/>
    <x v="3"/>
    <s v="Chicago"/>
    <x v="0"/>
    <n v="0.5"/>
    <n v="5000"/>
    <n v="2500"/>
    <n v="1000"/>
    <n v="0.4"/>
  </r>
  <r>
    <m/>
    <x v="0"/>
    <n v="1185732"/>
    <x v="44"/>
    <x v="3"/>
    <x v="3"/>
    <s v="Chicago"/>
    <x v="1"/>
    <n v="0.45000000000000007"/>
    <n v="3000"/>
    <n v="1350.0000000000002"/>
    <n v="472.50000000000006"/>
    <n v="0.35"/>
  </r>
  <r>
    <m/>
    <x v="0"/>
    <n v="1185732"/>
    <x v="44"/>
    <x v="3"/>
    <x v="3"/>
    <s v="Chicago"/>
    <x v="2"/>
    <n v="0.4"/>
    <n v="2000"/>
    <n v="800"/>
    <n v="280"/>
    <n v="0.35"/>
  </r>
  <r>
    <m/>
    <x v="0"/>
    <n v="1185732"/>
    <x v="44"/>
    <x v="3"/>
    <x v="3"/>
    <s v="Chicago"/>
    <x v="3"/>
    <n v="0.4"/>
    <n v="1750"/>
    <n v="700"/>
    <n v="280"/>
    <n v="0.4"/>
  </r>
  <r>
    <m/>
    <x v="0"/>
    <n v="1185732"/>
    <x v="44"/>
    <x v="3"/>
    <x v="3"/>
    <s v="Chicago"/>
    <x v="4"/>
    <n v="0.5"/>
    <n v="1750"/>
    <n v="875"/>
    <n v="306.25"/>
    <n v="0.35"/>
  </r>
  <r>
    <m/>
    <x v="0"/>
    <n v="1185732"/>
    <x v="44"/>
    <x v="3"/>
    <x v="3"/>
    <s v="Chicago"/>
    <x v="5"/>
    <n v="0.55000000000000004"/>
    <n v="2500"/>
    <n v="1375"/>
    <n v="687.5"/>
    <n v="0.5"/>
  </r>
  <r>
    <m/>
    <x v="0"/>
    <n v="1185732"/>
    <x v="45"/>
    <x v="3"/>
    <x v="3"/>
    <s v="Chicago"/>
    <x v="0"/>
    <n v="0.6"/>
    <n v="4250"/>
    <n v="2550"/>
    <n v="1020"/>
    <n v="0.4"/>
  </r>
  <r>
    <m/>
    <x v="0"/>
    <n v="1185732"/>
    <x v="45"/>
    <x v="3"/>
    <x v="3"/>
    <s v="Chicago"/>
    <x v="1"/>
    <n v="0.5"/>
    <n v="2500"/>
    <n v="1250"/>
    <n v="437.5"/>
    <n v="0.35"/>
  </r>
  <r>
    <m/>
    <x v="0"/>
    <n v="1185732"/>
    <x v="45"/>
    <x v="3"/>
    <x v="3"/>
    <s v="Chicago"/>
    <x v="2"/>
    <n v="0.5"/>
    <n v="1500"/>
    <n v="750"/>
    <n v="262.5"/>
    <n v="0.35"/>
  </r>
  <r>
    <m/>
    <x v="0"/>
    <n v="1185732"/>
    <x v="45"/>
    <x v="3"/>
    <x v="3"/>
    <s v="Chicago"/>
    <x v="3"/>
    <n v="0.5"/>
    <n v="1250"/>
    <n v="625"/>
    <n v="250"/>
    <n v="0.4"/>
  </r>
  <r>
    <m/>
    <x v="0"/>
    <n v="1185732"/>
    <x v="45"/>
    <x v="3"/>
    <x v="3"/>
    <s v="Chicago"/>
    <x v="4"/>
    <n v="0.6"/>
    <n v="1250"/>
    <n v="750"/>
    <n v="262.5"/>
    <n v="0.35"/>
  </r>
  <r>
    <m/>
    <x v="0"/>
    <n v="1185732"/>
    <x v="45"/>
    <x v="3"/>
    <x v="3"/>
    <s v="Chicago"/>
    <x v="5"/>
    <n v="0.64999999999999991"/>
    <n v="2500"/>
    <n v="1624.9999999999998"/>
    <n v="812.49999999999989"/>
    <n v="0.5"/>
  </r>
  <r>
    <m/>
    <x v="0"/>
    <n v="1185732"/>
    <x v="46"/>
    <x v="3"/>
    <x v="3"/>
    <s v="Chicago"/>
    <x v="0"/>
    <n v="0.6"/>
    <n v="4000"/>
    <n v="2400"/>
    <n v="960"/>
    <n v="0.4"/>
  </r>
  <r>
    <m/>
    <x v="0"/>
    <n v="1185732"/>
    <x v="46"/>
    <x v="3"/>
    <x v="3"/>
    <s v="Chicago"/>
    <x v="1"/>
    <n v="0.5"/>
    <n v="2500"/>
    <n v="1250"/>
    <n v="437.5"/>
    <n v="0.35"/>
  </r>
  <r>
    <m/>
    <x v="0"/>
    <n v="1185732"/>
    <x v="46"/>
    <x v="3"/>
    <x v="3"/>
    <s v="Chicago"/>
    <x v="2"/>
    <n v="0.5"/>
    <n v="1950"/>
    <n v="975"/>
    <n v="341.25"/>
    <n v="0.35"/>
  </r>
  <r>
    <m/>
    <x v="0"/>
    <n v="1185732"/>
    <x v="46"/>
    <x v="3"/>
    <x v="3"/>
    <s v="Chicago"/>
    <x v="3"/>
    <n v="0.5"/>
    <n v="1750"/>
    <n v="875"/>
    <n v="350"/>
    <n v="0.4"/>
  </r>
  <r>
    <m/>
    <x v="0"/>
    <n v="1185732"/>
    <x v="46"/>
    <x v="3"/>
    <x v="3"/>
    <s v="Chicago"/>
    <x v="4"/>
    <n v="0.6"/>
    <n v="1500"/>
    <n v="900"/>
    <n v="315"/>
    <n v="0.35"/>
  </r>
  <r>
    <m/>
    <x v="0"/>
    <n v="1185732"/>
    <x v="46"/>
    <x v="3"/>
    <x v="3"/>
    <s v="Chicago"/>
    <x v="5"/>
    <n v="0.64999999999999991"/>
    <n v="2500"/>
    <n v="1624.9999999999998"/>
    <n v="812.49999999999989"/>
    <n v="0.5"/>
  </r>
  <r>
    <m/>
    <x v="0"/>
    <n v="1185732"/>
    <x v="47"/>
    <x v="3"/>
    <x v="3"/>
    <s v="Chicago"/>
    <x v="0"/>
    <n v="0.6"/>
    <n v="5000"/>
    <n v="3000"/>
    <n v="1200"/>
    <n v="0.4"/>
  </r>
  <r>
    <m/>
    <x v="0"/>
    <n v="1185732"/>
    <x v="47"/>
    <x v="3"/>
    <x v="3"/>
    <s v="Chicago"/>
    <x v="1"/>
    <n v="0.5"/>
    <n v="3000"/>
    <n v="1500"/>
    <n v="525"/>
    <n v="0.35"/>
  </r>
  <r>
    <m/>
    <x v="0"/>
    <n v="1185732"/>
    <x v="47"/>
    <x v="3"/>
    <x v="3"/>
    <s v="Chicago"/>
    <x v="2"/>
    <n v="0.5"/>
    <n v="2500"/>
    <n v="1250"/>
    <n v="437.5"/>
    <n v="0.35"/>
  </r>
  <r>
    <m/>
    <x v="0"/>
    <n v="1185732"/>
    <x v="47"/>
    <x v="3"/>
    <x v="3"/>
    <s v="Chicago"/>
    <x v="3"/>
    <n v="0.5"/>
    <n v="2000"/>
    <n v="1000"/>
    <n v="400"/>
    <n v="0.4"/>
  </r>
  <r>
    <m/>
    <x v="0"/>
    <n v="1185732"/>
    <x v="47"/>
    <x v="3"/>
    <x v="3"/>
    <s v="Chicago"/>
    <x v="4"/>
    <n v="0.6"/>
    <n v="2000"/>
    <n v="1200"/>
    <n v="420"/>
    <n v="0.35"/>
  </r>
  <r>
    <m/>
    <x v="0"/>
    <n v="1185732"/>
    <x v="47"/>
    <x v="3"/>
    <x v="3"/>
    <s v="Chicago"/>
    <x v="5"/>
    <n v="0.64999999999999991"/>
    <n v="3000"/>
    <n v="1949.9999999999998"/>
    <n v="974.99999999999989"/>
    <n v="0.5"/>
  </r>
  <r>
    <m/>
    <x v="1"/>
    <n v="1197831"/>
    <x v="12"/>
    <x v="1"/>
    <x v="1"/>
    <s v="Dallas"/>
    <x v="0"/>
    <n v="0.2"/>
    <n v="7250"/>
    <n v="1450"/>
    <n v="435"/>
    <n v="0.3"/>
  </r>
  <r>
    <m/>
    <x v="1"/>
    <n v="1197831"/>
    <x v="12"/>
    <x v="1"/>
    <x v="1"/>
    <s v="Dallas"/>
    <x v="1"/>
    <n v="0.3"/>
    <n v="7250"/>
    <n v="2175"/>
    <n v="652.5"/>
    <n v="0.3"/>
  </r>
  <r>
    <m/>
    <x v="1"/>
    <n v="1197831"/>
    <x v="12"/>
    <x v="1"/>
    <x v="1"/>
    <s v="Dallas"/>
    <x v="2"/>
    <n v="0.3"/>
    <n v="5250"/>
    <n v="1575"/>
    <n v="472.5"/>
    <n v="0.3"/>
  </r>
  <r>
    <m/>
    <x v="1"/>
    <n v="1197831"/>
    <x v="12"/>
    <x v="1"/>
    <x v="1"/>
    <s v="Dallas"/>
    <x v="3"/>
    <n v="0.35"/>
    <n v="5250"/>
    <n v="1837.4999999999998"/>
    <n v="735"/>
    <n v="0.4"/>
  </r>
  <r>
    <m/>
    <x v="1"/>
    <n v="1197831"/>
    <x v="12"/>
    <x v="1"/>
    <x v="1"/>
    <s v="Dallas"/>
    <x v="4"/>
    <n v="0.4"/>
    <n v="3750"/>
    <n v="1500"/>
    <n v="375"/>
    <n v="0.25"/>
  </r>
  <r>
    <m/>
    <x v="1"/>
    <n v="1197831"/>
    <x v="12"/>
    <x v="1"/>
    <x v="1"/>
    <s v="Dallas"/>
    <x v="5"/>
    <n v="0.35"/>
    <n v="5250"/>
    <n v="1837.4999999999998"/>
    <n v="826.87499999999989"/>
    <n v="0.45"/>
  </r>
  <r>
    <m/>
    <x v="1"/>
    <n v="1197831"/>
    <x v="13"/>
    <x v="1"/>
    <x v="1"/>
    <s v="Dallas"/>
    <x v="0"/>
    <n v="0.25"/>
    <n v="6750"/>
    <n v="1687.5"/>
    <n v="506.25"/>
    <n v="0.3"/>
  </r>
  <r>
    <m/>
    <x v="1"/>
    <n v="1197831"/>
    <x v="13"/>
    <x v="1"/>
    <x v="1"/>
    <s v="Dallas"/>
    <x v="1"/>
    <n v="0.35"/>
    <n v="6500"/>
    <n v="2275"/>
    <n v="682.5"/>
    <n v="0.3"/>
  </r>
  <r>
    <m/>
    <x v="1"/>
    <n v="1197831"/>
    <x v="13"/>
    <x v="1"/>
    <x v="1"/>
    <s v="Dallas"/>
    <x v="2"/>
    <n v="0.35"/>
    <n v="4750"/>
    <n v="1662.5"/>
    <n v="498.75"/>
    <n v="0.3"/>
  </r>
  <r>
    <m/>
    <x v="1"/>
    <n v="1197831"/>
    <x v="13"/>
    <x v="1"/>
    <x v="1"/>
    <s v="Dallas"/>
    <x v="3"/>
    <n v="0.35"/>
    <n v="4250"/>
    <n v="1487.5"/>
    <n v="595"/>
    <n v="0.4"/>
  </r>
  <r>
    <m/>
    <x v="1"/>
    <n v="1197831"/>
    <x v="13"/>
    <x v="1"/>
    <x v="1"/>
    <s v="Dallas"/>
    <x v="4"/>
    <n v="0.4"/>
    <n v="3000"/>
    <n v="1200"/>
    <n v="300"/>
    <n v="0.25"/>
  </r>
  <r>
    <m/>
    <x v="1"/>
    <n v="1197831"/>
    <x v="13"/>
    <x v="1"/>
    <x v="1"/>
    <s v="Dallas"/>
    <x v="5"/>
    <n v="0.35"/>
    <n v="5000"/>
    <n v="1750"/>
    <n v="787.5"/>
    <n v="0.45"/>
  </r>
  <r>
    <m/>
    <x v="1"/>
    <n v="1197831"/>
    <x v="14"/>
    <x v="1"/>
    <x v="1"/>
    <s v="Dallas"/>
    <x v="0"/>
    <n v="0.3"/>
    <n v="6750"/>
    <n v="2025"/>
    <n v="708.75"/>
    <n v="0.35"/>
  </r>
  <r>
    <m/>
    <x v="1"/>
    <n v="1197831"/>
    <x v="14"/>
    <x v="1"/>
    <x v="1"/>
    <s v="Dallas"/>
    <x v="1"/>
    <n v="0.4"/>
    <n v="6750"/>
    <n v="2700"/>
    <n v="944.99999999999989"/>
    <n v="0.35"/>
  </r>
  <r>
    <m/>
    <x v="1"/>
    <n v="1197831"/>
    <x v="14"/>
    <x v="1"/>
    <x v="1"/>
    <s v="Dallas"/>
    <x v="2"/>
    <n v="0.3"/>
    <n v="5000"/>
    <n v="1500"/>
    <n v="525"/>
    <n v="0.35"/>
  </r>
  <r>
    <m/>
    <x v="1"/>
    <n v="1197831"/>
    <x v="14"/>
    <x v="1"/>
    <x v="1"/>
    <s v="Dallas"/>
    <x v="3"/>
    <n v="0.35000000000000003"/>
    <n v="4000"/>
    <n v="1400.0000000000002"/>
    <n v="630.00000000000011"/>
    <n v="0.45"/>
  </r>
  <r>
    <m/>
    <x v="1"/>
    <n v="1197831"/>
    <x v="14"/>
    <x v="1"/>
    <x v="1"/>
    <s v="Dallas"/>
    <x v="4"/>
    <n v="0.4"/>
    <n v="3000"/>
    <n v="1200"/>
    <n v="360"/>
    <n v="0.3"/>
  </r>
  <r>
    <m/>
    <x v="1"/>
    <n v="1197831"/>
    <x v="14"/>
    <x v="1"/>
    <x v="1"/>
    <s v="Dallas"/>
    <x v="5"/>
    <n v="0.35000000000000003"/>
    <n v="4500"/>
    <n v="1575.0000000000002"/>
    <n v="787.50000000000011"/>
    <n v="0.5"/>
  </r>
  <r>
    <m/>
    <x v="1"/>
    <n v="1197831"/>
    <x v="15"/>
    <x v="1"/>
    <x v="1"/>
    <s v="Dallas"/>
    <x v="0"/>
    <n v="0.19999999999999998"/>
    <n v="7000"/>
    <n v="1399.9999999999998"/>
    <n v="489.99999999999989"/>
    <n v="0.35"/>
  </r>
  <r>
    <m/>
    <x v="1"/>
    <n v="1197831"/>
    <x v="15"/>
    <x v="1"/>
    <x v="1"/>
    <s v="Dallas"/>
    <x v="1"/>
    <n v="0.30000000000000004"/>
    <n v="7000"/>
    <n v="2100.0000000000005"/>
    <n v="735.00000000000011"/>
    <n v="0.35"/>
  </r>
  <r>
    <m/>
    <x v="1"/>
    <n v="1197831"/>
    <x v="15"/>
    <x v="1"/>
    <x v="1"/>
    <s v="Dallas"/>
    <x v="2"/>
    <n v="0.24999999999999997"/>
    <n v="5250"/>
    <n v="1312.4999999999998"/>
    <n v="459.37499999999989"/>
    <n v="0.35"/>
  </r>
  <r>
    <m/>
    <x v="1"/>
    <n v="1197831"/>
    <x v="15"/>
    <x v="1"/>
    <x v="1"/>
    <s v="Dallas"/>
    <x v="3"/>
    <n v="0.30000000000000004"/>
    <n v="4250"/>
    <n v="1275.0000000000002"/>
    <n v="573.75000000000011"/>
    <n v="0.45"/>
  </r>
  <r>
    <m/>
    <x v="1"/>
    <n v="1197831"/>
    <x v="15"/>
    <x v="1"/>
    <x v="1"/>
    <s v="Dallas"/>
    <x v="4"/>
    <n v="0.35"/>
    <n v="3250"/>
    <n v="1137.5"/>
    <n v="341.25"/>
    <n v="0.3"/>
  </r>
  <r>
    <m/>
    <x v="1"/>
    <n v="1197831"/>
    <x v="15"/>
    <x v="1"/>
    <x v="1"/>
    <s v="Dallas"/>
    <x v="5"/>
    <n v="0.30000000000000004"/>
    <n v="6000"/>
    <n v="1800.0000000000002"/>
    <n v="900.00000000000011"/>
    <n v="0.5"/>
  </r>
  <r>
    <m/>
    <x v="1"/>
    <n v="1197831"/>
    <x v="16"/>
    <x v="1"/>
    <x v="1"/>
    <s v="Dallas"/>
    <x v="0"/>
    <n v="0.19999999999999998"/>
    <n v="7500"/>
    <n v="1499.9999999999998"/>
    <n v="524.99999999999989"/>
    <n v="0.35"/>
  </r>
  <r>
    <m/>
    <x v="1"/>
    <n v="1197831"/>
    <x v="16"/>
    <x v="1"/>
    <x v="1"/>
    <s v="Dallas"/>
    <x v="1"/>
    <n v="0.30000000000000004"/>
    <n v="7750"/>
    <n v="2325.0000000000005"/>
    <n v="813.75000000000011"/>
    <n v="0.35"/>
  </r>
  <r>
    <m/>
    <x v="1"/>
    <n v="1197831"/>
    <x v="16"/>
    <x v="1"/>
    <x v="1"/>
    <s v="Dallas"/>
    <x v="2"/>
    <n v="0.24999999999999997"/>
    <n v="6250"/>
    <n v="1562.4999999999998"/>
    <n v="546.87499999999989"/>
    <n v="0.35"/>
  </r>
  <r>
    <m/>
    <x v="1"/>
    <n v="1197831"/>
    <x v="16"/>
    <x v="1"/>
    <x v="1"/>
    <s v="Dallas"/>
    <x v="3"/>
    <n v="0.35000000000000003"/>
    <n v="5500"/>
    <n v="1925.0000000000002"/>
    <n v="866.25000000000011"/>
    <n v="0.45"/>
  </r>
  <r>
    <m/>
    <x v="1"/>
    <n v="1197831"/>
    <x v="16"/>
    <x v="1"/>
    <x v="1"/>
    <s v="Dallas"/>
    <x v="4"/>
    <n v="0.5"/>
    <n v="4500"/>
    <n v="2250"/>
    <n v="675"/>
    <n v="0.3"/>
  </r>
  <r>
    <m/>
    <x v="1"/>
    <n v="1197831"/>
    <x v="16"/>
    <x v="1"/>
    <x v="1"/>
    <s v="Dallas"/>
    <x v="5"/>
    <n v="0.45"/>
    <n v="8000"/>
    <n v="3600"/>
    <n v="1800"/>
    <n v="0.5"/>
  </r>
  <r>
    <m/>
    <x v="1"/>
    <n v="1197831"/>
    <x v="17"/>
    <x v="1"/>
    <x v="1"/>
    <s v="Dallas"/>
    <x v="0"/>
    <n v="0.45"/>
    <n v="8000"/>
    <n v="3600"/>
    <n v="1260"/>
    <n v="0.35"/>
  </r>
  <r>
    <m/>
    <x v="1"/>
    <n v="1197831"/>
    <x v="17"/>
    <x v="1"/>
    <x v="1"/>
    <s v="Dallas"/>
    <x v="1"/>
    <n v="0.5"/>
    <n v="8000"/>
    <n v="4000"/>
    <n v="1400"/>
    <n v="0.35"/>
  </r>
  <r>
    <m/>
    <x v="1"/>
    <n v="1197831"/>
    <x v="17"/>
    <x v="1"/>
    <x v="1"/>
    <s v="Dallas"/>
    <x v="2"/>
    <n v="0.45"/>
    <n v="6500"/>
    <n v="2925"/>
    <n v="1023.7499999999999"/>
    <n v="0.35"/>
  </r>
  <r>
    <m/>
    <x v="1"/>
    <n v="1197831"/>
    <x v="17"/>
    <x v="1"/>
    <x v="1"/>
    <s v="Dallas"/>
    <x v="3"/>
    <n v="0.45"/>
    <n v="6000"/>
    <n v="2700"/>
    <n v="1215"/>
    <n v="0.45"/>
  </r>
  <r>
    <m/>
    <x v="1"/>
    <n v="1197831"/>
    <x v="17"/>
    <x v="1"/>
    <x v="1"/>
    <s v="Dallas"/>
    <x v="4"/>
    <n v="0.5"/>
    <n v="5000"/>
    <n v="2500"/>
    <n v="750"/>
    <n v="0.3"/>
  </r>
  <r>
    <m/>
    <x v="1"/>
    <n v="1197831"/>
    <x v="17"/>
    <x v="1"/>
    <x v="1"/>
    <s v="Dallas"/>
    <x v="5"/>
    <n v="0.55000000000000004"/>
    <n v="8750"/>
    <n v="4812.5"/>
    <n v="2406.25"/>
    <n v="0.5"/>
  </r>
  <r>
    <m/>
    <x v="1"/>
    <n v="1197831"/>
    <x v="18"/>
    <x v="1"/>
    <x v="1"/>
    <s v="Dallas"/>
    <x v="0"/>
    <n v="0.45"/>
    <n v="8250"/>
    <n v="3712.5"/>
    <n v="1484.9999999999998"/>
    <n v="0.39999999999999997"/>
  </r>
  <r>
    <m/>
    <x v="1"/>
    <n v="1197831"/>
    <x v="18"/>
    <x v="1"/>
    <x v="1"/>
    <s v="Dallas"/>
    <x v="1"/>
    <n v="0.5"/>
    <n v="8250"/>
    <n v="4125"/>
    <n v="1649.9999999999998"/>
    <n v="0.39999999999999997"/>
  </r>
  <r>
    <m/>
    <x v="1"/>
    <n v="1197831"/>
    <x v="18"/>
    <x v="1"/>
    <x v="1"/>
    <s v="Dallas"/>
    <x v="2"/>
    <n v="0.45"/>
    <n v="9750"/>
    <n v="4387.5"/>
    <n v="1754.9999999999998"/>
    <n v="0.39999999999999997"/>
  </r>
  <r>
    <m/>
    <x v="1"/>
    <n v="1197831"/>
    <x v="18"/>
    <x v="1"/>
    <x v="1"/>
    <s v="Dallas"/>
    <x v="3"/>
    <n v="0.45"/>
    <n v="5750"/>
    <n v="2587.5"/>
    <n v="1293.75"/>
    <n v="0.5"/>
  </r>
  <r>
    <m/>
    <x v="1"/>
    <n v="1197831"/>
    <x v="18"/>
    <x v="1"/>
    <x v="1"/>
    <s v="Dallas"/>
    <x v="4"/>
    <n v="0.5"/>
    <n v="5750"/>
    <n v="2875"/>
    <n v="1006.2499999999999"/>
    <n v="0.35"/>
  </r>
  <r>
    <m/>
    <x v="1"/>
    <n v="1197831"/>
    <x v="18"/>
    <x v="1"/>
    <x v="1"/>
    <s v="Dallas"/>
    <x v="5"/>
    <n v="0.6"/>
    <n v="8500"/>
    <n v="5100"/>
    <n v="2805"/>
    <n v="0.55000000000000004"/>
  </r>
  <r>
    <m/>
    <x v="1"/>
    <n v="1197831"/>
    <x v="19"/>
    <x v="1"/>
    <x v="1"/>
    <s v="Dallas"/>
    <x v="0"/>
    <n v="0.5"/>
    <n v="8000"/>
    <n v="4000"/>
    <n v="1599.9999999999998"/>
    <n v="0.39999999999999997"/>
  </r>
  <r>
    <m/>
    <x v="1"/>
    <n v="1197831"/>
    <x v="19"/>
    <x v="1"/>
    <x v="1"/>
    <s v="Dallas"/>
    <x v="1"/>
    <n v="0.55000000000000004"/>
    <n v="8000"/>
    <n v="4400"/>
    <n v="1759.9999999999998"/>
    <n v="0.39999999999999997"/>
  </r>
  <r>
    <m/>
    <x v="1"/>
    <n v="1197831"/>
    <x v="19"/>
    <x v="1"/>
    <x v="1"/>
    <s v="Dallas"/>
    <x v="2"/>
    <n v="0.5"/>
    <n v="9750"/>
    <n v="4875"/>
    <n v="1949.9999999999998"/>
    <n v="0.39999999999999997"/>
  </r>
  <r>
    <m/>
    <x v="1"/>
    <n v="1197831"/>
    <x v="19"/>
    <x v="1"/>
    <x v="1"/>
    <s v="Dallas"/>
    <x v="3"/>
    <n v="0.5"/>
    <n v="5250"/>
    <n v="2625"/>
    <n v="1312.5"/>
    <n v="0.5"/>
  </r>
  <r>
    <m/>
    <x v="1"/>
    <n v="1197831"/>
    <x v="19"/>
    <x v="1"/>
    <x v="1"/>
    <s v="Dallas"/>
    <x v="4"/>
    <n v="0.55000000000000004"/>
    <n v="5250"/>
    <n v="2887.5000000000005"/>
    <n v="1010.6250000000001"/>
    <n v="0.35"/>
  </r>
  <r>
    <m/>
    <x v="1"/>
    <n v="1197831"/>
    <x v="19"/>
    <x v="1"/>
    <x v="1"/>
    <s v="Dallas"/>
    <x v="5"/>
    <n v="0.6"/>
    <n v="7750"/>
    <n v="4650"/>
    <n v="2557.5"/>
    <n v="0.55000000000000004"/>
  </r>
  <r>
    <m/>
    <x v="1"/>
    <n v="1197831"/>
    <x v="20"/>
    <x v="1"/>
    <x v="1"/>
    <s v="Dallas"/>
    <x v="0"/>
    <n v="0.55000000000000004"/>
    <n v="7250"/>
    <n v="3987.5000000000005"/>
    <n v="1595"/>
    <n v="0.39999999999999997"/>
  </r>
  <r>
    <m/>
    <x v="1"/>
    <n v="1197831"/>
    <x v="20"/>
    <x v="1"/>
    <x v="1"/>
    <s v="Dallas"/>
    <x v="1"/>
    <n v="0.55000000000000004"/>
    <n v="6750"/>
    <n v="3712.5000000000005"/>
    <n v="1485"/>
    <n v="0.39999999999999997"/>
  </r>
  <r>
    <m/>
    <x v="1"/>
    <n v="1197831"/>
    <x v="20"/>
    <x v="1"/>
    <x v="1"/>
    <s v="Dallas"/>
    <x v="2"/>
    <n v="0.6"/>
    <n v="7250"/>
    <n v="4350"/>
    <n v="1739.9999999999998"/>
    <n v="0.39999999999999997"/>
  </r>
  <r>
    <m/>
    <x v="1"/>
    <n v="1197831"/>
    <x v="20"/>
    <x v="1"/>
    <x v="1"/>
    <s v="Dallas"/>
    <x v="3"/>
    <n v="0.6"/>
    <n v="4500"/>
    <n v="2700"/>
    <n v="1350"/>
    <n v="0.5"/>
  </r>
  <r>
    <m/>
    <x v="1"/>
    <n v="1197831"/>
    <x v="20"/>
    <x v="1"/>
    <x v="1"/>
    <s v="Dallas"/>
    <x v="4"/>
    <n v="0.55000000000000004"/>
    <n v="4500"/>
    <n v="2475"/>
    <n v="866.25"/>
    <n v="0.35"/>
  </r>
  <r>
    <m/>
    <x v="1"/>
    <n v="1197831"/>
    <x v="20"/>
    <x v="1"/>
    <x v="1"/>
    <s v="Dallas"/>
    <x v="5"/>
    <n v="0.5"/>
    <n v="6750"/>
    <n v="3375"/>
    <n v="1856.2500000000002"/>
    <n v="0.55000000000000004"/>
  </r>
  <r>
    <m/>
    <x v="1"/>
    <n v="1197831"/>
    <x v="21"/>
    <x v="1"/>
    <x v="1"/>
    <s v="Dallas"/>
    <x v="0"/>
    <n v="0.4"/>
    <n v="6250"/>
    <n v="2500"/>
    <n v="999.99999999999989"/>
    <n v="0.39999999999999997"/>
  </r>
  <r>
    <m/>
    <x v="1"/>
    <n v="1197831"/>
    <x v="21"/>
    <x v="1"/>
    <x v="1"/>
    <s v="Dallas"/>
    <x v="1"/>
    <n v="0.4"/>
    <n v="6250"/>
    <n v="2500"/>
    <n v="999.99999999999989"/>
    <n v="0.39999999999999997"/>
  </r>
  <r>
    <m/>
    <x v="1"/>
    <n v="1197831"/>
    <x v="21"/>
    <x v="1"/>
    <x v="1"/>
    <s v="Dallas"/>
    <x v="2"/>
    <n v="0.45"/>
    <n v="5750"/>
    <n v="2587.5"/>
    <n v="1035"/>
    <n v="0.39999999999999997"/>
  </r>
  <r>
    <m/>
    <x v="1"/>
    <n v="1197831"/>
    <x v="21"/>
    <x v="1"/>
    <x v="1"/>
    <s v="Dallas"/>
    <x v="3"/>
    <n v="0.45"/>
    <n v="4250"/>
    <n v="1912.5"/>
    <n v="956.25"/>
    <n v="0.5"/>
  </r>
  <r>
    <m/>
    <x v="1"/>
    <n v="1197831"/>
    <x v="21"/>
    <x v="1"/>
    <x v="1"/>
    <s v="Dallas"/>
    <x v="4"/>
    <n v="0.4"/>
    <n v="4000"/>
    <n v="1600"/>
    <n v="560"/>
    <n v="0.35"/>
  </r>
  <r>
    <m/>
    <x v="1"/>
    <n v="1197831"/>
    <x v="21"/>
    <x v="1"/>
    <x v="1"/>
    <s v="Dallas"/>
    <x v="5"/>
    <n v="0.5"/>
    <n v="5750"/>
    <n v="2875"/>
    <n v="1581.2500000000002"/>
    <n v="0.55000000000000004"/>
  </r>
  <r>
    <m/>
    <x v="1"/>
    <n v="1197831"/>
    <x v="22"/>
    <x v="1"/>
    <x v="1"/>
    <s v="Dallas"/>
    <x v="0"/>
    <n v="0.4"/>
    <n v="7250"/>
    <n v="2900"/>
    <n v="1160"/>
    <n v="0.39999999999999997"/>
  </r>
  <r>
    <m/>
    <x v="1"/>
    <n v="1197831"/>
    <x v="22"/>
    <x v="1"/>
    <x v="1"/>
    <s v="Dallas"/>
    <x v="1"/>
    <n v="0.4"/>
    <n v="7250"/>
    <n v="2900"/>
    <n v="1160"/>
    <n v="0.39999999999999997"/>
  </r>
  <r>
    <m/>
    <x v="1"/>
    <n v="1197831"/>
    <x v="22"/>
    <x v="1"/>
    <x v="1"/>
    <s v="Dallas"/>
    <x v="2"/>
    <n v="0.65"/>
    <n v="6500"/>
    <n v="4225"/>
    <n v="1689.9999999999998"/>
    <n v="0.39999999999999997"/>
  </r>
  <r>
    <m/>
    <x v="1"/>
    <n v="1197831"/>
    <x v="22"/>
    <x v="1"/>
    <x v="1"/>
    <s v="Dallas"/>
    <x v="3"/>
    <n v="0.65"/>
    <n v="5000"/>
    <n v="3250"/>
    <n v="1625"/>
    <n v="0.5"/>
  </r>
  <r>
    <m/>
    <x v="1"/>
    <n v="1197831"/>
    <x v="22"/>
    <x v="1"/>
    <x v="1"/>
    <s v="Dallas"/>
    <x v="4"/>
    <n v="0.6"/>
    <n v="4750"/>
    <n v="2850"/>
    <n v="997.49999999999989"/>
    <n v="0.35"/>
  </r>
  <r>
    <m/>
    <x v="1"/>
    <n v="1197831"/>
    <x v="22"/>
    <x v="1"/>
    <x v="1"/>
    <s v="Dallas"/>
    <x v="5"/>
    <n v="0.70000000000000007"/>
    <n v="6750"/>
    <n v="4725"/>
    <n v="2598.75"/>
    <n v="0.55000000000000004"/>
  </r>
  <r>
    <m/>
    <x v="1"/>
    <n v="1197831"/>
    <x v="23"/>
    <x v="1"/>
    <x v="1"/>
    <s v="Dallas"/>
    <x v="0"/>
    <n v="0.6"/>
    <n v="8250"/>
    <n v="4950"/>
    <n v="1979.9999999999998"/>
    <n v="0.39999999999999997"/>
  </r>
  <r>
    <m/>
    <x v="1"/>
    <n v="1197831"/>
    <x v="23"/>
    <x v="1"/>
    <x v="1"/>
    <s v="Dallas"/>
    <x v="1"/>
    <n v="0.6"/>
    <n v="8250"/>
    <n v="4950"/>
    <n v="1979.9999999999998"/>
    <n v="0.39999999999999997"/>
  </r>
  <r>
    <m/>
    <x v="1"/>
    <n v="1197831"/>
    <x v="23"/>
    <x v="1"/>
    <x v="1"/>
    <s v="Dallas"/>
    <x v="2"/>
    <n v="0.65"/>
    <n v="7250"/>
    <n v="4712.5"/>
    <n v="1884.9999999999998"/>
    <n v="0.39999999999999997"/>
  </r>
  <r>
    <m/>
    <x v="1"/>
    <n v="1197831"/>
    <x v="23"/>
    <x v="1"/>
    <x v="1"/>
    <s v="Dallas"/>
    <x v="3"/>
    <n v="0.65"/>
    <n v="5750"/>
    <n v="3737.5"/>
    <n v="1868.75"/>
    <n v="0.5"/>
  </r>
  <r>
    <m/>
    <x v="1"/>
    <n v="1197831"/>
    <x v="23"/>
    <x v="1"/>
    <x v="1"/>
    <s v="Dallas"/>
    <x v="4"/>
    <n v="0.6"/>
    <n v="5250"/>
    <n v="3150"/>
    <n v="1102.5"/>
    <n v="0.35"/>
  </r>
  <r>
    <m/>
    <x v="1"/>
    <n v="1197831"/>
    <x v="23"/>
    <x v="1"/>
    <x v="1"/>
    <s v="Dallas"/>
    <x v="5"/>
    <n v="0.70000000000000007"/>
    <n v="7750"/>
    <n v="5425.0000000000009"/>
    <n v="2983.7500000000009"/>
    <n v="0.55000000000000004"/>
  </r>
  <r>
    <m/>
    <x v="0"/>
    <n v="1185732"/>
    <x v="48"/>
    <x v="0"/>
    <x v="4"/>
    <s v="Philadelphia"/>
    <x v="0"/>
    <n v="0.45"/>
    <n v="4250"/>
    <n v="1912.5"/>
    <n v="1051.875"/>
    <n v="0.55000000000000004"/>
  </r>
  <r>
    <m/>
    <x v="0"/>
    <n v="1185732"/>
    <x v="48"/>
    <x v="0"/>
    <x v="4"/>
    <s v="Philadelphia"/>
    <x v="1"/>
    <n v="0.45"/>
    <n v="2250"/>
    <n v="1012.5"/>
    <n v="354.375"/>
    <n v="0.35"/>
  </r>
  <r>
    <m/>
    <x v="0"/>
    <n v="1185732"/>
    <x v="48"/>
    <x v="0"/>
    <x v="4"/>
    <s v="Philadelphia"/>
    <x v="2"/>
    <n v="0.35000000000000003"/>
    <n v="2250"/>
    <n v="787.50000000000011"/>
    <n v="315"/>
    <n v="0.39999999999999997"/>
  </r>
  <r>
    <m/>
    <x v="0"/>
    <n v="1185732"/>
    <x v="48"/>
    <x v="0"/>
    <x v="4"/>
    <s v="Philadelphia"/>
    <x v="3"/>
    <n v="0.4"/>
    <n v="750"/>
    <n v="300"/>
    <n v="119.99999999999999"/>
    <n v="0.39999999999999997"/>
  </r>
  <r>
    <m/>
    <x v="0"/>
    <n v="1185732"/>
    <x v="48"/>
    <x v="0"/>
    <x v="4"/>
    <s v="Philadelphia"/>
    <x v="4"/>
    <n v="0.54999999999999993"/>
    <n v="1250"/>
    <n v="687.49999999999989"/>
    <n v="240.62499999999994"/>
    <n v="0.35"/>
  </r>
  <r>
    <m/>
    <x v="0"/>
    <n v="1185732"/>
    <x v="48"/>
    <x v="0"/>
    <x v="4"/>
    <s v="Philadelphia"/>
    <x v="5"/>
    <n v="0.45"/>
    <n v="2250"/>
    <n v="1012.5"/>
    <n v="303.75"/>
    <n v="0.3"/>
  </r>
  <r>
    <m/>
    <x v="0"/>
    <n v="1185732"/>
    <x v="49"/>
    <x v="0"/>
    <x v="4"/>
    <s v="Philadelphia"/>
    <x v="0"/>
    <n v="0.45"/>
    <n v="4750"/>
    <n v="2137.5"/>
    <n v="1175.625"/>
    <n v="0.55000000000000004"/>
  </r>
  <r>
    <m/>
    <x v="0"/>
    <n v="1185732"/>
    <x v="49"/>
    <x v="0"/>
    <x v="4"/>
    <s v="Philadelphia"/>
    <x v="1"/>
    <n v="0.45"/>
    <n v="1250"/>
    <n v="562.5"/>
    <n v="196.875"/>
    <n v="0.35"/>
  </r>
  <r>
    <m/>
    <x v="0"/>
    <n v="1185732"/>
    <x v="49"/>
    <x v="0"/>
    <x v="4"/>
    <s v="Philadelphia"/>
    <x v="2"/>
    <n v="0.35000000000000003"/>
    <n v="1750"/>
    <n v="612.50000000000011"/>
    <n v="245.00000000000003"/>
    <n v="0.39999999999999997"/>
  </r>
  <r>
    <m/>
    <x v="0"/>
    <n v="1185732"/>
    <x v="49"/>
    <x v="0"/>
    <x v="4"/>
    <s v="Philadelphia"/>
    <x v="3"/>
    <n v="0.4"/>
    <n v="500"/>
    <n v="200"/>
    <n v="80"/>
    <n v="0.39999999999999997"/>
  </r>
  <r>
    <m/>
    <x v="0"/>
    <n v="1185732"/>
    <x v="49"/>
    <x v="0"/>
    <x v="4"/>
    <s v="Philadelphia"/>
    <x v="4"/>
    <n v="0.54999999999999993"/>
    <n v="1250"/>
    <n v="687.49999999999989"/>
    <n v="240.62499999999994"/>
    <n v="0.35"/>
  </r>
  <r>
    <m/>
    <x v="0"/>
    <n v="1185732"/>
    <x v="49"/>
    <x v="0"/>
    <x v="4"/>
    <s v="Philadelphia"/>
    <x v="5"/>
    <n v="0.45"/>
    <n v="2250"/>
    <n v="1012.5"/>
    <n v="303.75"/>
    <n v="0.3"/>
  </r>
  <r>
    <m/>
    <x v="0"/>
    <n v="1185732"/>
    <x v="14"/>
    <x v="0"/>
    <x v="4"/>
    <s v="Philadelphia"/>
    <x v="0"/>
    <n v="0.5"/>
    <n v="4450"/>
    <n v="2225"/>
    <n v="1223.75"/>
    <n v="0.55000000000000004"/>
  </r>
  <r>
    <m/>
    <x v="0"/>
    <n v="1185732"/>
    <x v="14"/>
    <x v="0"/>
    <x v="4"/>
    <s v="Philadelphia"/>
    <x v="1"/>
    <n v="0.5"/>
    <n v="1500"/>
    <n v="750"/>
    <n v="262.5"/>
    <n v="0.35"/>
  </r>
  <r>
    <m/>
    <x v="0"/>
    <n v="1185732"/>
    <x v="14"/>
    <x v="0"/>
    <x v="4"/>
    <s v="Philadelphia"/>
    <x v="2"/>
    <n v="0.4"/>
    <n v="1750"/>
    <n v="700"/>
    <n v="280"/>
    <n v="0.39999999999999997"/>
  </r>
  <r>
    <m/>
    <x v="0"/>
    <n v="1185732"/>
    <x v="14"/>
    <x v="0"/>
    <x v="4"/>
    <s v="Philadelphia"/>
    <x v="3"/>
    <n v="0.45"/>
    <n v="250"/>
    <n v="112.5"/>
    <n v="44.999999999999993"/>
    <n v="0.39999999999999997"/>
  </r>
  <r>
    <m/>
    <x v="0"/>
    <n v="1185732"/>
    <x v="14"/>
    <x v="0"/>
    <x v="4"/>
    <s v="Philadelphia"/>
    <x v="4"/>
    <n v="0.6"/>
    <n v="750"/>
    <n v="450"/>
    <n v="135"/>
    <n v="0.3"/>
  </r>
  <r>
    <m/>
    <x v="0"/>
    <n v="1185732"/>
    <x v="14"/>
    <x v="0"/>
    <x v="4"/>
    <s v="Philadelphia"/>
    <x v="5"/>
    <n v="0.5"/>
    <n v="1750"/>
    <n v="875"/>
    <n v="218.75"/>
    <n v="0.25"/>
  </r>
  <r>
    <m/>
    <x v="0"/>
    <n v="1185732"/>
    <x v="50"/>
    <x v="0"/>
    <x v="4"/>
    <s v="Philadelphia"/>
    <x v="0"/>
    <n v="0.5"/>
    <n v="4500"/>
    <n v="2250"/>
    <n v="1125"/>
    <n v="0.5"/>
  </r>
  <r>
    <m/>
    <x v="0"/>
    <n v="1185732"/>
    <x v="50"/>
    <x v="0"/>
    <x v="4"/>
    <s v="Philadelphia"/>
    <x v="1"/>
    <n v="0.5"/>
    <n v="1500"/>
    <n v="750"/>
    <n v="225"/>
    <n v="0.3"/>
  </r>
  <r>
    <m/>
    <x v="0"/>
    <n v="1185732"/>
    <x v="50"/>
    <x v="0"/>
    <x v="4"/>
    <s v="Philadelphia"/>
    <x v="2"/>
    <n v="0.4"/>
    <n v="1500"/>
    <n v="600"/>
    <n v="210"/>
    <n v="0.35"/>
  </r>
  <r>
    <m/>
    <x v="0"/>
    <n v="1185732"/>
    <x v="50"/>
    <x v="0"/>
    <x v="4"/>
    <s v="Philadelphia"/>
    <x v="3"/>
    <n v="0.45"/>
    <n v="750"/>
    <n v="337.5"/>
    <n v="118.12499999999999"/>
    <n v="0.35"/>
  </r>
  <r>
    <m/>
    <x v="0"/>
    <n v="1185732"/>
    <x v="50"/>
    <x v="0"/>
    <x v="4"/>
    <s v="Philadelphia"/>
    <x v="4"/>
    <n v="0.6"/>
    <n v="750"/>
    <n v="450"/>
    <n v="135"/>
    <n v="0.3"/>
  </r>
  <r>
    <m/>
    <x v="0"/>
    <n v="1185732"/>
    <x v="50"/>
    <x v="0"/>
    <x v="4"/>
    <s v="Philadelphia"/>
    <x v="5"/>
    <n v="0.5"/>
    <n v="2000"/>
    <n v="1000"/>
    <n v="250"/>
    <n v="0.25"/>
  </r>
  <r>
    <m/>
    <x v="0"/>
    <n v="1185732"/>
    <x v="51"/>
    <x v="0"/>
    <x v="4"/>
    <s v="Philadelphia"/>
    <x v="0"/>
    <n v="0.6"/>
    <n v="4700"/>
    <n v="2820"/>
    <n v="1410"/>
    <n v="0.5"/>
  </r>
  <r>
    <m/>
    <x v="0"/>
    <n v="1185732"/>
    <x v="51"/>
    <x v="0"/>
    <x v="4"/>
    <s v="Philadelphia"/>
    <x v="1"/>
    <n v="0.60000000000000009"/>
    <n v="1750"/>
    <n v="1050.0000000000002"/>
    <n v="315.00000000000006"/>
    <n v="0.3"/>
  </r>
  <r>
    <m/>
    <x v="0"/>
    <n v="1185732"/>
    <x v="51"/>
    <x v="0"/>
    <x v="4"/>
    <s v="Philadelphia"/>
    <x v="2"/>
    <n v="0.55000000000000004"/>
    <n v="1500"/>
    <n v="825.00000000000011"/>
    <n v="288.75"/>
    <n v="0.35"/>
  </r>
  <r>
    <m/>
    <x v="0"/>
    <n v="1185732"/>
    <x v="51"/>
    <x v="0"/>
    <x v="4"/>
    <s v="Philadelphia"/>
    <x v="3"/>
    <n v="0.55000000000000004"/>
    <n v="1000"/>
    <n v="550"/>
    <n v="192.5"/>
    <n v="0.35"/>
  </r>
  <r>
    <m/>
    <x v="0"/>
    <n v="1185732"/>
    <x v="51"/>
    <x v="0"/>
    <x v="4"/>
    <s v="Philadelphia"/>
    <x v="4"/>
    <n v="0.65"/>
    <n v="1250"/>
    <n v="812.5"/>
    <n v="243.75"/>
    <n v="0.3"/>
  </r>
  <r>
    <m/>
    <x v="0"/>
    <n v="1185732"/>
    <x v="51"/>
    <x v="0"/>
    <x v="4"/>
    <s v="Philadelphia"/>
    <x v="5"/>
    <n v="0.70000000000000007"/>
    <n v="2500"/>
    <n v="1750.0000000000002"/>
    <n v="525"/>
    <n v="0.3"/>
  </r>
  <r>
    <m/>
    <x v="0"/>
    <n v="1185732"/>
    <x v="52"/>
    <x v="0"/>
    <x v="4"/>
    <s v="Philadelphia"/>
    <x v="0"/>
    <n v="0.65"/>
    <n v="5000"/>
    <n v="3250"/>
    <n v="1787.5000000000002"/>
    <n v="0.55000000000000004"/>
  </r>
  <r>
    <m/>
    <x v="0"/>
    <n v="1185732"/>
    <x v="52"/>
    <x v="0"/>
    <x v="4"/>
    <s v="Philadelphia"/>
    <x v="1"/>
    <n v="0.60000000000000009"/>
    <n v="2500"/>
    <n v="1500.0000000000002"/>
    <n v="525"/>
    <n v="0.35"/>
  </r>
  <r>
    <m/>
    <x v="0"/>
    <n v="1185732"/>
    <x v="52"/>
    <x v="0"/>
    <x v="4"/>
    <s v="Philadelphia"/>
    <x v="2"/>
    <n v="0.55000000000000004"/>
    <n v="1750"/>
    <n v="962.50000000000011"/>
    <n v="385"/>
    <n v="0.39999999999999997"/>
  </r>
  <r>
    <m/>
    <x v="0"/>
    <n v="1185732"/>
    <x v="52"/>
    <x v="0"/>
    <x v="4"/>
    <s v="Philadelphia"/>
    <x v="3"/>
    <n v="0.55000000000000004"/>
    <n v="1500"/>
    <n v="825.00000000000011"/>
    <n v="330"/>
    <n v="0.39999999999999997"/>
  </r>
  <r>
    <m/>
    <x v="0"/>
    <n v="1185732"/>
    <x v="52"/>
    <x v="0"/>
    <x v="4"/>
    <s v="Philadelphia"/>
    <x v="4"/>
    <n v="0.65"/>
    <n v="1500"/>
    <n v="975"/>
    <n v="341.25"/>
    <n v="0.35"/>
  </r>
  <r>
    <m/>
    <x v="0"/>
    <n v="1185732"/>
    <x v="52"/>
    <x v="0"/>
    <x v="4"/>
    <s v="Philadelphia"/>
    <x v="5"/>
    <n v="0.70000000000000007"/>
    <n v="3000"/>
    <n v="2100"/>
    <n v="630"/>
    <n v="0.3"/>
  </r>
  <r>
    <m/>
    <x v="0"/>
    <n v="1185732"/>
    <x v="18"/>
    <x v="0"/>
    <x v="4"/>
    <s v="Philadelphia"/>
    <x v="0"/>
    <n v="0.65"/>
    <n v="5000"/>
    <n v="3250"/>
    <n v="1787.5000000000002"/>
    <n v="0.55000000000000004"/>
  </r>
  <r>
    <m/>
    <x v="0"/>
    <n v="1185732"/>
    <x v="18"/>
    <x v="0"/>
    <x v="4"/>
    <s v="Philadelphia"/>
    <x v="1"/>
    <n v="0.60000000000000009"/>
    <n v="3000"/>
    <n v="1800.0000000000002"/>
    <n v="630"/>
    <n v="0.35"/>
  </r>
  <r>
    <m/>
    <x v="0"/>
    <n v="1185732"/>
    <x v="18"/>
    <x v="0"/>
    <x v="4"/>
    <s v="Philadelphia"/>
    <x v="2"/>
    <n v="0.55000000000000004"/>
    <n v="2250"/>
    <n v="1237.5"/>
    <n v="494.99999999999994"/>
    <n v="0.39999999999999997"/>
  </r>
  <r>
    <m/>
    <x v="0"/>
    <n v="1185732"/>
    <x v="18"/>
    <x v="0"/>
    <x v="4"/>
    <s v="Philadelphia"/>
    <x v="3"/>
    <n v="0.55000000000000004"/>
    <n v="1750"/>
    <n v="962.50000000000011"/>
    <n v="385"/>
    <n v="0.39999999999999997"/>
  </r>
  <r>
    <m/>
    <x v="0"/>
    <n v="1185732"/>
    <x v="18"/>
    <x v="0"/>
    <x v="4"/>
    <s v="Philadelphia"/>
    <x v="4"/>
    <n v="0.65"/>
    <n v="2000"/>
    <n v="1300"/>
    <n v="454.99999999999994"/>
    <n v="0.35"/>
  </r>
  <r>
    <m/>
    <x v="0"/>
    <n v="1185732"/>
    <x v="18"/>
    <x v="0"/>
    <x v="4"/>
    <s v="Philadelphia"/>
    <x v="5"/>
    <n v="0.70000000000000007"/>
    <n v="3750"/>
    <n v="2625.0000000000005"/>
    <n v="787.50000000000011"/>
    <n v="0.3"/>
  </r>
  <r>
    <m/>
    <x v="0"/>
    <n v="1185732"/>
    <x v="53"/>
    <x v="0"/>
    <x v="4"/>
    <s v="Philadelphia"/>
    <x v="0"/>
    <n v="0.65"/>
    <n v="5250"/>
    <n v="3412.5"/>
    <n v="1876.8750000000002"/>
    <n v="0.55000000000000004"/>
  </r>
  <r>
    <m/>
    <x v="0"/>
    <n v="1185732"/>
    <x v="53"/>
    <x v="0"/>
    <x v="4"/>
    <s v="Philadelphia"/>
    <x v="1"/>
    <n v="0.60000000000000009"/>
    <n v="3000"/>
    <n v="1800.0000000000002"/>
    <n v="630"/>
    <n v="0.35"/>
  </r>
  <r>
    <m/>
    <x v="0"/>
    <n v="1185732"/>
    <x v="53"/>
    <x v="0"/>
    <x v="4"/>
    <s v="Philadelphia"/>
    <x v="2"/>
    <n v="0.55000000000000004"/>
    <n v="2250"/>
    <n v="1237.5"/>
    <n v="494.99999999999994"/>
    <n v="0.39999999999999997"/>
  </r>
  <r>
    <m/>
    <x v="0"/>
    <n v="1185732"/>
    <x v="53"/>
    <x v="0"/>
    <x v="4"/>
    <s v="Philadelphia"/>
    <x v="3"/>
    <n v="0.55000000000000004"/>
    <n v="2000"/>
    <n v="1100"/>
    <n v="439.99999999999994"/>
    <n v="0.39999999999999997"/>
  </r>
  <r>
    <m/>
    <x v="0"/>
    <n v="1185732"/>
    <x v="53"/>
    <x v="0"/>
    <x v="4"/>
    <s v="Philadelphia"/>
    <x v="4"/>
    <n v="0.65"/>
    <n v="1750"/>
    <n v="1137.5"/>
    <n v="398.125"/>
    <n v="0.35"/>
  </r>
  <r>
    <m/>
    <x v="0"/>
    <n v="1185732"/>
    <x v="53"/>
    <x v="0"/>
    <x v="4"/>
    <s v="Philadelphia"/>
    <x v="5"/>
    <n v="0.70000000000000007"/>
    <n v="3500"/>
    <n v="2450.0000000000005"/>
    <n v="735.00000000000011"/>
    <n v="0.3"/>
  </r>
  <r>
    <m/>
    <x v="0"/>
    <n v="1185732"/>
    <x v="54"/>
    <x v="0"/>
    <x v="4"/>
    <s v="Philadelphia"/>
    <x v="0"/>
    <n v="0.65"/>
    <n v="4750"/>
    <n v="3087.5"/>
    <n v="1543.75"/>
    <n v="0.5"/>
  </r>
  <r>
    <m/>
    <x v="0"/>
    <n v="1185732"/>
    <x v="54"/>
    <x v="0"/>
    <x v="4"/>
    <s v="Philadelphia"/>
    <x v="1"/>
    <n v="0.5"/>
    <n v="2750"/>
    <n v="1375"/>
    <n v="412.5"/>
    <n v="0.3"/>
  </r>
  <r>
    <m/>
    <x v="0"/>
    <n v="1185732"/>
    <x v="54"/>
    <x v="0"/>
    <x v="4"/>
    <s v="Philadelphia"/>
    <x v="2"/>
    <n v="0.45"/>
    <n v="2000"/>
    <n v="900"/>
    <n v="315"/>
    <n v="0.35"/>
  </r>
  <r>
    <m/>
    <x v="0"/>
    <n v="1185732"/>
    <x v="54"/>
    <x v="0"/>
    <x v="4"/>
    <s v="Philadelphia"/>
    <x v="3"/>
    <n v="0.45"/>
    <n v="1750"/>
    <n v="787.5"/>
    <n v="275.625"/>
    <n v="0.35"/>
  </r>
  <r>
    <m/>
    <x v="0"/>
    <n v="1185732"/>
    <x v="54"/>
    <x v="0"/>
    <x v="4"/>
    <s v="Philadelphia"/>
    <x v="4"/>
    <n v="0.54999999999999993"/>
    <n v="1250"/>
    <n v="687.49999999999989"/>
    <n v="206.24999999999997"/>
    <n v="0.3"/>
  </r>
  <r>
    <m/>
    <x v="0"/>
    <n v="1185732"/>
    <x v="54"/>
    <x v="0"/>
    <x v="4"/>
    <s v="Philadelphia"/>
    <x v="5"/>
    <n v="0.6"/>
    <n v="2250"/>
    <n v="1350"/>
    <n v="337.5"/>
    <n v="0.25"/>
  </r>
  <r>
    <m/>
    <x v="0"/>
    <n v="1185732"/>
    <x v="55"/>
    <x v="0"/>
    <x v="4"/>
    <s v="Philadelphia"/>
    <x v="0"/>
    <n v="0.6"/>
    <n v="4000"/>
    <n v="2400"/>
    <n v="1200"/>
    <n v="0.5"/>
  </r>
  <r>
    <m/>
    <x v="0"/>
    <n v="1185732"/>
    <x v="55"/>
    <x v="0"/>
    <x v="4"/>
    <s v="Philadelphia"/>
    <x v="1"/>
    <n v="0.5"/>
    <n v="2250"/>
    <n v="1125"/>
    <n v="337.5"/>
    <n v="0.3"/>
  </r>
  <r>
    <m/>
    <x v="0"/>
    <n v="1185732"/>
    <x v="55"/>
    <x v="0"/>
    <x v="4"/>
    <s v="Philadelphia"/>
    <x v="2"/>
    <n v="0.5"/>
    <n v="1250"/>
    <n v="625"/>
    <n v="218.75"/>
    <n v="0.35"/>
  </r>
  <r>
    <m/>
    <x v="0"/>
    <n v="1185732"/>
    <x v="55"/>
    <x v="0"/>
    <x v="4"/>
    <s v="Philadelphia"/>
    <x v="3"/>
    <n v="0.5"/>
    <n v="1000"/>
    <n v="500"/>
    <n v="175"/>
    <n v="0.35"/>
  </r>
  <r>
    <m/>
    <x v="0"/>
    <n v="1185732"/>
    <x v="55"/>
    <x v="0"/>
    <x v="4"/>
    <s v="Philadelphia"/>
    <x v="4"/>
    <n v="0.6"/>
    <n v="1000"/>
    <n v="600"/>
    <n v="180"/>
    <n v="0.3"/>
  </r>
  <r>
    <m/>
    <x v="0"/>
    <n v="1185732"/>
    <x v="55"/>
    <x v="0"/>
    <x v="4"/>
    <s v="Philadelphia"/>
    <x v="5"/>
    <n v="0.64999999999999991"/>
    <n v="2250"/>
    <n v="1462.4999999999998"/>
    <n v="365.62499999999994"/>
    <n v="0.25"/>
  </r>
  <r>
    <m/>
    <x v="0"/>
    <n v="1185732"/>
    <x v="56"/>
    <x v="0"/>
    <x v="4"/>
    <s v="Philadelphia"/>
    <x v="0"/>
    <n v="0.70000000000000007"/>
    <n v="3750"/>
    <n v="2625.0000000000005"/>
    <n v="1443.7500000000005"/>
    <n v="0.55000000000000004"/>
  </r>
  <r>
    <m/>
    <x v="0"/>
    <n v="1185732"/>
    <x v="56"/>
    <x v="0"/>
    <x v="4"/>
    <s v="Philadelphia"/>
    <x v="1"/>
    <n v="0.60000000000000009"/>
    <n v="2000"/>
    <n v="1200.0000000000002"/>
    <n v="420.00000000000006"/>
    <n v="0.35"/>
  </r>
  <r>
    <m/>
    <x v="0"/>
    <n v="1185732"/>
    <x v="56"/>
    <x v="0"/>
    <x v="4"/>
    <s v="Philadelphia"/>
    <x v="2"/>
    <n v="0.60000000000000009"/>
    <n v="1950"/>
    <n v="1170.0000000000002"/>
    <n v="468.00000000000006"/>
    <n v="0.39999999999999997"/>
  </r>
  <r>
    <m/>
    <x v="0"/>
    <n v="1185732"/>
    <x v="56"/>
    <x v="0"/>
    <x v="4"/>
    <s v="Philadelphia"/>
    <x v="3"/>
    <n v="0.60000000000000009"/>
    <n v="1750"/>
    <n v="1050.0000000000002"/>
    <n v="420.00000000000006"/>
    <n v="0.39999999999999997"/>
  </r>
  <r>
    <m/>
    <x v="0"/>
    <n v="1185732"/>
    <x v="56"/>
    <x v="0"/>
    <x v="4"/>
    <s v="Philadelphia"/>
    <x v="4"/>
    <n v="0.70000000000000007"/>
    <n v="1500"/>
    <n v="1050"/>
    <n v="367.5"/>
    <n v="0.35"/>
  </r>
  <r>
    <m/>
    <x v="0"/>
    <n v="1185732"/>
    <x v="56"/>
    <x v="0"/>
    <x v="4"/>
    <s v="Philadelphia"/>
    <x v="5"/>
    <n v="0.75"/>
    <n v="2500"/>
    <n v="1875"/>
    <n v="562.5"/>
    <n v="0.3"/>
  </r>
  <r>
    <m/>
    <x v="0"/>
    <n v="1185732"/>
    <x v="57"/>
    <x v="0"/>
    <x v="4"/>
    <s v="Philadelphia"/>
    <x v="0"/>
    <n v="0.70000000000000007"/>
    <n v="4750"/>
    <n v="3325.0000000000005"/>
    <n v="1828.7500000000005"/>
    <n v="0.55000000000000004"/>
  </r>
  <r>
    <m/>
    <x v="0"/>
    <n v="1185732"/>
    <x v="57"/>
    <x v="0"/>
    <x v="4"/>
    <s v="Philadelphia"/>
    <x v="1"/>
    <n v="0.60000000000000009"/>
    <n v="2750"/>
    <n v="1650.0000000000002"/>
    <n v="577.5"/>
    <n v="0.35"/>
  </r>
  <r>
    <m/>
    <x v="0"/>
    <n v="1185732"/>
    <x v="57"/>
    <x v="0"/>
    <x v="4"/>
    <s v="Philadelphia"/>
    <x v="2"/>
    <n v="0.60000000000000009"/>
    <n v="2250"/>
    <n v="1350.0000000000002"/>
    <n v="540"/>
    <n v="0.39999999999999997"/>
  </r>
  <r>
    <m/>
    <x v="0"/>
    <n v="1185732"/>
    <x v="57"/>
    <x v="0"/>
    <x v="4"/>
    <s v="Philadelphia"/>
    <x v="3"/>
    <n v="0.60000000000000009"/>
    <n v="1750"/>
    <n v="1050.0000000000002"/>
    <n v="420.00000000000006"/>
    <n v="0.39999999999999997"/>
  </r>
  <r>
    <m/>
    <x v="0"/>
    <n v="1185732"/>
    <x v="57"/>
    <x v="0"/>
    <x v="4"/>
    <s v="Philadelphia"/>
    <x v="4"/>
    <n v="0.70000000000000007"/>
    <n v="1750"/>
    <n v="1225.0000000000002"/>
    <n v="428.75000000000006"/>
    <n v="0.35"/>
  </r>
  <r>
    <m/>
    <x v="0"/>
    <n v="1185732"/>
    <x v="57"/>
    <x v="0"/>
    <x v="4"/>
    <s v="Philadelphia"/>
    <x v="5"/>
    <n v="0.75"/>
    <n v="2750"/>
    <n v="2062.5"/>
    <n v="618.75"/>
    <n v="0.3"/>
  </r>
  <r>
    <s v="x"/>
    <x v="2"/>
    <n v="1128299"/>
    <x v="36"/>
    <x v="2"/>
    <x v="5"/>
    <s v="Las Vegas"/>
    <x v="0"/>
    <n v="0.35"/>
    <n v="4500"/>
    <n v="1575"/>
    <n v="630"/>
    <n v="0.4"/>
  </r>
  <r>
    <m/>
    <x v="2"/>
    <n v="1128299"/>
    <x v="36"/>
    <x v="2"/>
    <x v="5"/>
    <s v="Las Vegas"/>
    <x v="1"/>
    <n v="0.45"/>
    <n v="4500"/>
    <n v="2025"/>
    <n v="506.25"/>
    <n v="0.25"/>
  </r>
  <r>
    <m/>
    <x v="2"/>
    <n v="1128299"/>
    <x v="36"/>
    <x v="2"/>
    <x v="5"/>
    <s v="Las Vegas"/>
    <x v="2"/>
    <n v="0.45"/>
    <n v="4500"/>
    <n v="2025"/>
    <n v="810"/>
    <n v="0.4"/>
  </r>
  <r>
    <m/>
    <x v="2"/>
    <n v="1128299"/>
    <x v="36"/>
    <x v="2"/>
    <x v="5"/>
    <s v="Las Vegas"/>
    <x v="3"/>
    <n v="0.45"/>
    <n v="3000"/>
    <n v="1350"/>
    <n v="472.49999999999994"/>
    <n v="0.35"/>
  </r>
  <r>
    <m/>
    <x v="2"/>
    <n v="1128299"/>
    <x v="36"/>
    <x v="2"/>
    <x v="5"/>
    <s v="Las Vegas"/>
    <x v="4"/>
    <n v="0.5"/>
    <n v="2500"/>
    <n v="1250"/>
    <n v="687.5"/>
    <n v="0.55000000000000004"/>
  </r>
  <r>
    <m/>
    <x v="2"/>
    <n v="1128299"/>
    <x v="36"/>
    <x v="2"/>
    <x v="5"/>
    <s v="Las Vegas"/>
    <x v="5"/>
    <n v="0.45"/>
    <n v="4750"/>
    <n v="2137.5"/>
    <n v="427.5"/>
    <n v="0.2"/>
  </r>
  <r>
    <m/>
    <x v="2"/>
    <n v="1128299"/>
    <x v="37"/>
    <x v="2"/>
    <x v="5"/>
    <s v="Las Vegas"/>
    <x v="0"/>
    <n v="0.35"/>
    <n v="5250"/>
    <n v="1837.4999999999998"/>
    <n v="735"/>
    <n v="0.4"/>
  </r>
  <r>
    <m/>
    <x v="2"/>
    <n v="1128299"/>
    <x v="37"/>
    <x v="2"/>
    <x v="5"/>
    <s v="Las Vegas"/>
    <x v="1"/>
    <n v="0.45"/>
    <n v="4250"/>
    <n v="1912.5"/>
    <n v="478.125"/>
    <n v="0.25"/>
  </r>
  <r>
    <m/>
    <x v="2"/>
    <n v="1128299"/>
    <x v="37"/>
    <x v="2"/>
    <x v="5"/>
    <s v="Las Vegas"/>
    <x v="2"/>
    <n v="0.45"/>
    <n v="4250"/>
    <n v="1912.5"/>
    <n v="765"/>
    <n v="0.4"/>
  </r>
  <r>
    <m/>
    <x v="2"/>
    <n v="1128299"/>
    <x v="37"/>
    <x v="2"/>
    <x v="5"/>
    <s v="Las Vegas"/>
    <x v="3"/>
    <n v="0.45"/>
    <n v="2750"/>
    <n v="1237.5"/>
    <n v="433.125"/>
    <n v="0.35"/>
  </r>
  <r>
    <m/>
    <x v="2"/>
    <n v="1128299"/>
    <x v="37"/>
    <x v="2"/>
    <x v="5"/>
    <s v="Las Vegas"/>
    <x v="4"/>
    <n v="0.5"/>
    <n v="2000"/>
    <n v="1000"/>
    <n v="550"/>
    <n v="0.55000000000000004"/>
  </r>
  <r>
    <m/>
    <x v="2"/>
    <n v="1128299"/>
    <x v="37"/>
    <x v="2"/>
    <x v="5"/>
    <s v="Las Vegas"/>
    <x v="5"/>
    <n v="0.45"/>
    <n v="4000"/>
    <n v="1800"/>
    <n v="360"/>
    <n v="0.2"/>
  </r>
  <r>
    <m/>
    <x v="2"/>
    <n v="1128299"/>
    <x v="38"/>
    <x v="2"/>
    <x v="5"/>
    <s v="Las Vegas"/>
    <x v="0"/>
    <n v="0.45"/>
    <n v="5500"/>
    <n v="2475"/>
    <n v="990"/>
    <n v="0.4"/>
  </r>
  <r>
    <m/>
    <x v="2"/>
    <n v="1128299"/>
    <x v="38"/>
    <x v="2"/>
    <x v="5"/>
    <s v="Las Vegas"/>
    <x v="1"/>
    <n v="0.54999999999999993"/>
    <n v="4000"/>
    <n v="2199.9999999999995"/>
    <n v="549.99999999999989"/>
    <n v="0.25"/>
  </r>
  <r>
    <m/>
    <x v="2"/>
    <n v="1128299"/>
    <x v="38"/>
    <x v="2"/>
    <x v="5"/>
    <s v="Las Vegas"/>
    <x v="2"/>
    <n v="0.54999999999999993"/>
    <n v="4000"/>
    <n v="2199.9999999999995"/>
    <n v="879.99999999999989"/>
    <n v="0.4"/>
  </r>
  <r>
    <m/>
    <x v="2"/>
    <n v="1128299"/>
    <x v="38"/>
    <x v="2"/>
    <x v="5"/>
    <s v="Las Vegas"/>
    <x v="3"/>
    <n v="0.54999999999999993"/>
    <n v="3000"/>
    <n v="1649.9999999999998"/>
    <n v="577.49999999999989"/>
    <n v="0.35"/>
  </r>
  <r>
    <m/>
    <x v="2"/>
    <n v="1128299"/>
    <x v="38"/>
    <x v="2"/>
    <x v="5"/>
    <s v="Las Vegas"/>
    <x v="4"/>
    <n v="0.6"/>
    <n v="1750"/>
    <n v="1050"/>
    <n v="577.5"/>
    <n v="0.55000000000000004"/>
  </r>
  <r>
    <m/>
    <x v="2"/>
    <n v="1128299"/>
    <x v="38"/>
    <x v="2"/>
    <x v="5"/>
    <s v="Las Vegas"/>
    <x v="5"/>
    <n v="0.54999999999999993"/>
    <n v="3750"/>
    <n v="2062.4999999999995"/>
    <n v="412.49999999999994"/>
    <n v="0.2"/>
  </r>
  <r>
    <m/>
    <x v="2"/>
    <n v="1128299"/>
    <x v="39"/>
    <x v="2"/>
    <x v="5"/>
    <s v="Las Vegas"/>
    <x v="0"/>
    <n v="0.6"/>
    <n v="5500"/>
    <n v="3300"/>
    <n v="1320"/>
    <n v="0.4"/>
  </r>
  <r>
    <m/>
    <x v="2"/>
    <n v="1128299"/>
    <x v="39"/>
    <x v="2"/>
    <x v="5"/>
    <s v="Las Vegas"/>
    <x v="1"/>
    <n v="0.65"/>
    <n v="3500"/>
    <n v="2275"/>
    <n v="568.75"/>
    <n v="0.25"/>
  </r>
  <r>
    <m/>
    <x v="2"/>
    <n v="1128299"/>
    <x v="39"/>
    <x v="2"/>
    <x v="5"/>
    <s v="Las Vegas"/>
    <x v="2"/>
    <n v="0.65"/>
    <n v="4000"/>
    <n v="2600"/>
    <n v="1040"/>
    <n v="0.4"/>
  </r>
  <r>
    <m/>
    <x v="2"/>
    <n v="1128299"/>
    <x v="39"/>
    <x v="2"/>
    <x v="5"/>
    <s v="Las Vegas"/>
    <x v="3"/>
    <n v="0.6"/>
    <n v="3000"/>
    <n v="1800"/>
    <n v="630"/>
    <n v="0.35"/>
  </r>
  <r>
    <m/>
    <x v="2"/>
    <n v="1128299"/>
    <x v="39"/>
    <x v="2"/>
    <x v="5"/>
    <s v="Las Vegas"/>
    <x v="4"/>
    <n v="0.65"/>
    <n v="2000"/>
    <n v="1300"/>
    <n v="715.00000000000011"/>
    <n v="0.55000000000000004"/>
  </r>
  <r>
    <m/>
    <x v="2"/>
    <n v="1128299"/>
    <x v="39"/>
    <x v="2"/>
    <x v="5"/>
    <s v="Las Vegas"/>
    <x v="5"/>
    <n v="0.8"/>
    <n v="3500"/>
    <n v="2800"/>
    <n v="560"/>
    <n v="0.2"/>
  </r>
  <r>
    <m/>
    <x v="2"/>
    <n v="1128299"/>
    <x v="40"/>
    <x v="2"/>
    <x v="5"/>
    <s v="Las Vegas"/>
    <x v="0"/>
    <n v="0.6"/>
    <n v="5500"/>
    <n v="3300"/>
    <n v="1485"/>
    <n v="0.45"/>
  </r>
  <r>
    <m/>
    <x v="2"/>
    <n v="1128299"/>
    <x v="40"/>
    <x v="2"/>
    <x v="5"/>
    <s v="Las Vegas"/>
    <x v="1"/>
    <n v="0.65"/>
    <n v="4000"/>
    <n v="2600"/>
    <n v="780"/>
    <n v="0.3"/>
  </r>
  <r>
    <m/>
    <x v="2"/>
    <n v="1128299"/>
    <x v="40"/>
    <x v="2"/>
    <x v="5"/>
    <s v="Las Vegas"/>
    <x v="2"/>
    <n v="0.65"/>
    <n v="4000"/>
    <n v="2600"/>
    <n v="1170"/>
    <n v="0.45"/>
  </r>
  <r>
    <m/>
    <x v="2"/>
    <n v="1128299"/>
    <x v="40"/>
    <x v="2"/>
    <x v="5"/>
    <s v="Las Vegas"/>
    <x v="3"/>
    <n v="0.6"/>
    <n v="3000"/>
    <n v="1800"/>
    <n v="719.99999999999989"/>
    <n v="0.39999999999999997"/>
  </r>
  <r>
    <m/>
    <x v="2"/>
    <n v="1128299"/>
    <x v="40"/>
    <x v="2"/>
    <x v="5"/>
    <s v="Las Vegas"/>
    <x v="4"/>
    <n v="0.65"/>
    <n v="2000"/>
    <n v="1300"/>
    <n v="780.00000000000011"/>
    <n v="0.60000000000000009"/>
  </r>
  <r>
    <m/>
    <x v="2"/>
    <n v="1128299"/>
    <x v="40"/>
    <x v="2"/>
    <x v="5"/>
    <s v="Las Vegas"/>
    <x v="5"/>
    <n v="0.8"/>
    <n v="4500"/>
    <n v="3600"/>
    <n v="900"/>
    <n v="0.25"/>
  </r>
  <r>
    <m/>
    <x v="2"/>
    <n v="1128299"/>
    <x v="41"/>
    <x v="2"/>
    <x v="5"/>
    <s v="Las Vegas"/>
    <x v="0"/>
    <n v="0.6"/>
    <n v="7000"/>
    <n v="4200"/>
    <n v="1890"/>
    <n v="0.45"/>
  </r>
  <r>
    <m/>
    <x v="2"/>
    <n v="1128299"/>
    <x v="41"/>
    <x v="2"/>
    <x v="5"/>
    <s v="Las Vegas"/>
    <x v="1"/>
    <n v="0.65"/>
    <n v="5500"/>
    <n v="3575"/>
    <n v="1072.5"/>
    <n v="0.3"/>
  </r>
  <r>
    <m/>
    <x v="2"/>
    <n v="1128299"/>
    <x v="41"/>
    <x v="2"/>
    <x v="5"/>
    <s v="Las Vegas"/>
    <x v="2"/>
    <n v="0.65"/>
    <n v="5500"/>
    <n v="3575"/>
    <n v="1608.75"/>
    <n v="0.45"/>
  </r>
  <r>
    <m/>
    <x v="2"/>
    <n v="1128299"/>
    <x v="41"/>
    <x v="2"/>
    <x v="5"/>
    <s v="Las Vegas"/>
    <x v="3"/>
    <n v="0.6"/>
    <n v="4250"/>
    <n v="2550"/>
    <n v="1019.9999999999999"/>
    <n v="0.39999999999999997"/>
  </r>
  <r>
    <m/>
    <x v="2"/>
    <n v="1128299"/>
    <x v="41"/>
    <x v="2"/>
    <x v="5"/>
    <s v="Las Vegas"/>
    <x v="4"/>
    <n v="0.65"/>
    <n v="3000"/>
    <n v="1950"/>
    <n v="1170.0000000000002"/>
    <n v="0.60000000000000009"/>
  </r>
  <r>
    <m/>
    <x v="2"/>
    <n v="1128299"/>
    <x v="41"/>
    <x v="2"/>
    <x v="5"/>
    <s v="Las Vegas"/>
    <x v="5"/>
    <n v="0.8"/>
    <n v="6000"/>
    <n v="4800"/>
    <n v="1200"/>
    <n v="0.25"/>
  </r>
  <r>
    <m/>
    <x v="2"/>
    <n v="1128299"/>
    <x v="42"/>
    <x v="2"/>
    <x v="5"/>
    <s v="Las Vegas"/>
    <x v="0"/>
    <n v="0.6"/>
    <n v="7500"/>
    <n v="4500"/>
    <n v="1800"/>
    <n v="0.4"/>
  </r>
  <r>
    <m/>
    <x v="2"/>
    <n v="1128299"/>
    <x v="42"/>
    <x v="2"/>
    <x v="5"/>
    <s v="Las Vegas"/>
    <x v="1"/>
    <n v="0.65"/>
    <n v="6000"/>
    <n v="3900"/>
    <n v="975"/>
    <n v="0.25"/>
  </r>
  <r>
    <m/>
    <x v="2"/>
    <n v="1128299"/>
    <x v="42"/>
    <x v="2"/>
    <x v="5"/>
    <s v="Las Vegas"/>
    <x v="2"/>
    <n v="0.65"/>
    <n v="5500"/>
    <n v="3575"/>
    <n v="1430"/>
    <n v="0.4"/>
  </r>
  <r>
    <m/>
    <x v="2"/>
    <n v="1128299"/>
    <x v="42"/>
    <x v="2"/>
    <x v="5"/>
    <s v="Las Vegas"/>
    <x v="3"/>
    <n v="0.6"/>
    <n v="4500"/>
    <n v="2700"/>
    <n v="944.99999999999989"/>
    <n v="0.35"/>
  </r>
  <r>
    <m/>
    <x v="2"/>
    <n v="1128299"/>
    <x v="42"/>
    <x v="2"/>
    <x v="5"/>
    <s v="Las Vegas"/>
    <x v="4"/>
    <n v="0.65"/>
    <n v="5000"/>
    <n v="3250"/>
    <n v="1787.5000000000002"/>
    <n v="0.55000000000000004"/>
  </r>
  <r>
    <m/>
    <x v="2"/>
    <n v="1128299"/>
    <x v="42"/>
    <x v="2"/>
    <x v="5"/>
    <s v="Las Vegas"/>
    <x v="5"/>
    <n v="0.8"/>
    <n v="5000"/>
    <n v="4000"/>
    <n v="800"/>
    <n v="0.2"/>
  </r>
  <r>
    <m/>
    <x v="2"/>
    <n v="1128299"/>
    <x v="43"/>
    <x v="2"/>
    <x v="5"/>
    <s v="Las Vegas"/>
    <x v="0"/>
    <n v="0.65"/>
    <n v="7000"/>
    <n v="4550"/>
    <n v="1820"/>
    <n v="0.4"/>
  </r>
  <r>
    <m/>
    <x v="2"/>
    <n v="1128299"/>
    <x v="43"/>
    <x v="2"/>
    <x v="5"/>
    <s v="Las Vegas"/>
    <x v="1"/>
    <n v="0.70000000000000007"/>
    <n v="6500"/>
    <n v="4550"/>
    <n v="1137.5"/>
    <n v="0.25"/>
  </r>
  <r>
    <m/>
    <x v="2"/>
    <n v="1128299"/>
    <x v="43"/>
    <x v="2"/>
    <x v="5"/>
    <s v="Las Vegas"/>
    <x v="2"/>
    <n v="0.65"/>
    <n v="5250"/>
    <n v="3412.5"/>
    <n v="1365"/>
    <n v="0.4"/>
  </r>
  <r>
    <m/>
    <x v="2"/>
    <n v="1128299"/>
    <x v="43"/>
    <x v="2"/>
    <x v="5"/>
    <s v="Las Vegas"/>
    <x v="3"/>
    <n v="0.65"/>
    <n v="4750"/>
    <n v="3087.5"/>
    <n v="1080.625"/>
    <n v="0.35"/>
  </r>
  <r>
    <m/>
    <x v="2"/>
    <n v="1128299"/>
    <x v="43"/>
    <x v="2"/>
    <x v="5"/>
    <s v="Las Vegas"/>
    <x v="4"/>
    <n v="0.75"/>
    <n v="4750"/>
    <n v="3562.5"/>
    <n v="1959.3750000000002"/>
    <n v="0.55000000000000004"/>
  </r>
  <r>
    <m/>
    <x v="2"/>
    <n v="1128299"/>
    <x v="43"/>
    <x v="2"/>
    <x v="5"/>
    <s v="Las Vegas"/>
    <x v="5"/>
    <n v="0.8"/>
    <n v="4000"/>
    <n v="3200"/>
    <n v="640"/>
    <n v="0.2"/>
  </r>
  <r>
    <m/>
    <x v="2"/>
    <n v="1128299"/>
    <x v="44"/>
    <x v="2"/>
    <x v="5"/>
    <s v="Las Vegas"/>
    <x v="0"/>
    <n v="0.60000000000000009"/>
    <n v="6000"/>
    <n v="3600.0000000000005"/>
    <n v="1260.0000000000002"/>
    <n v="0.35000000000000003"/>
  </r>
  <r>
    <m/>
    <x v="2"/>
    <n v="1128299"/>
    <x v="44"/>
    <x v="2"/>
    <x v="5"/>
    <s v="Las Vegas"/>
    <x v="1"/>
    <n v="0.65000000000000013"/>
    <n v="6000"/>
    <n v="3900.0000000000009"/>
    <n v="780.00000000000023"/>
    <n v="0.2"/>
  </r>
  <r>
    <m/>
    <x v="2"/>
    <n v="1128299"/>
    <x v="44"/>
    <x v="2"/>
    <x v="5"/>
    <s v="Las Vegas"/>
    <x v="2"/>
    <n v="0.60000000000000009"/>
    <n v="4500"/>
    <n v="2700.0000000000005"/>
    <n v="945.00000000000023"/>
    <n v="0.35000000000000003"/>
  </r>
  <r>
    <m/>
    <x v="2"/>
    <n v="1128299"/>
    <x v="44"/>
    <x v="2"/>
    <x v="5"/>
    <s v="Las Vegas"/>
    <x v="3"/>
    <n v="0.60000000000000009"/>
    <n v="4000"/>
    <n v="2400.0000000000005"/>
    <n v="720.00000000000011"/>
    <n v="0.3"/>
  </r>
  <r>
    <m/>
    <x v="2"/>
    <n v="1128299"/>
    <x v="44"/>
    <x v="2"/>
    <x v="5"/>
    <s v="Las Vegas"/>
    <x v="4"/>
    <n v="0.70000000000000007"/>
    <n v="4000"/>
    <n v="2800.0000000000005"/>
    <n v="1400.0000000000005"/>
    <n v="0.50000000000000011"/>
  </r>
  <r>
    <m/>
    <x v="2"/>
    <n v="1128299"/>
    <x v="44"/>
    <x v="2"/>
    <x v="5"/>
    <s v="Las Vegas"/>
    <x v="5"/>
    <n v="0.75000000000000011"/>
    <n v="4500"/>
    <n v="3375.0000000000005"/>
    <n v="506.25000000000017"/>
    <n v="0.15000000000000002"/>
  </r>
  <r>
    <m/>
    <x v="2"/>
    <n v="1128299"/>
    <x v="45"/>
    <x v="2"/>
    <x v="5"/>
    <s v="Las Vegas"/>
    <x v="0"/>
    <n v="0.60000000000000009"/>
    <n v="5500"/>
    <n v="3300.0000000000005"/>
    <n v="1155.0000000000002"/>
    <n v="0.35000000000000003"/>
  </r>
  <r>
    <m/>
    <x v="2"/>
    <n v="1128299"/>
    <x v="45"/>
    <x v="2"/>
    <x v="5"/>
    <s v="Las Vegas"/>
    <x v="1"/>
    <n v="0.65000000000000013"/>
    <n v="5500"/>
    <n v="3575.0000000000009"/>
    <n v="715.00000000000023"/>
    <n v="0.2"/>
  </r>
  <r>
    <m/>
    <x v="2"/>
    <n v="1128299"/>
    <x v="45"/>
    <x v="2"/>
    <x v="5"/>
    <s v="Las Vegas"/>
    <x v="2"/>
    <n v="0.60000000000000009"/>
    <n v="3750"/>
    <n v="2250.0000000000005"/>
    <n v="787.50000000000023"/>
    <n v="0.35000000000000003"/>
  </r>
  <r>
    <m/>
    <x v="2"/>
    <n v="1128299"/>
    <x v="45"/>
    <x v="2"/>
    <x v="5"/>
    <s v="Las Vegas"/>
    <x v="3"/>
    <n v="0.60000000000000009"/>
    <n v="3500"/>
    <n v="2100.0000000000005"/>
    <n v="630.00000000000011"/>
    <n v="0.3"/>
  </r>
  <r>
    <m/>
    <x v="2"/>
    <n v="1128299"/>
    <x v="45"/>
    <x v="2"/>
    <x v="5"/>
    <s v="Las Vegas"/>
    <x v="4"/>
    <n v="0.70000000000000007"/>
    <n v="3250"/>
    <n v="2275"/>
    <n v="1137.5000000000002"/>
    <n v="0.50000000000000011"/>
  </r>
  <r>
    <m/>
    <x v="2"/>
    <n v="1128299"/>
    <x v="45"/>
    <x v="2"/>
    <x v="5"/>
    <s v="Las Vegas"/>
    <x v="5"/>
    <n v="0.75000000000000011"/>
    <n v="3750"/>
    <n v="2812.5000000000005"/>
    <n v="421.87500000000011"/>
    <n v="0.15000000000000002"/>
  </r>
  <r>
    <m/>
    <x v="2"/>
    <n v="1128299"/>
    <x v="46"/>
    <x v="2"/>
    <x v="5"/>
    <s v="Las Vegas"/>
    <x v="0"/>
    <n v="0.60000000000000009"/>
    <n v="5750"/>
    <n v="3450.0000000000005"/>
    <n v="1207.5000000000002"/>
    <n v="0.35000000000000003"/>
  </r>
  <r>
    <m/>
    <x v="2"/>
    <n v="1128299"/>
    <x v="46"/>
    <x v="2"/>
    <x v="5"/>
    <s v="Las Vegas"/>
    <x v="1"/>
    <n v="0.65000000000000013"/>
    <n v="5750"/>
    <n v="3737.5000000000009"/>
    <n v="747.50000000000023"/>
    <n v="0.2"/>
  </r>
  <r>
    <m/>
    <x v="2"/>
    <n v="1128299"/>
    <x v="46"/>
    <x v="2"/>
    <x v="5"/>
    <s v="Las Vegas"/>
    <x v="2"/>
    <n v="0.60000000000000009"/>
    <n v="4250"/>
    <n v="2550.0000000000005"/>
    <n v="892.50000000000023"/>
    <n v="0.35000000000000003"/>
  </r>
  <r>
    <m/>
    <x v="2"/>
    <n v="1128299"/>
    <x v="46"/>
    <x v="2"/>
    <x v="5"/>
    <s v="Las Vegas"/>
    <x v="3"/>
    <n v="0.60000000000000009"/>
    <n v="4000"/>
    <n v="2400.0000000000005"/>
    <n v="720.00000000000011"/>
    <n v="0.3"/>
  </r>
  <r>
    <m/>
    <x v="2"/>
    <n v="1128299"/>
    <x v="46"/>
    <x v="2"/>
    <x v="5"/>
    <s v="Las Vegas"/>
    <x v="4"/>
    <n v="0.70000000000000007"/>
    <n v="3500"/>
    <n v="2450.0000000000005"/>
    <n v="1225.0000000000005"/>
    <n v="0.50000000000000011"/>
  </r>
  <r>
    <m/>
    <x v="2"/>
    <n v="1128299"/>
    <x v="46"/>
    <x v="2"/>
    <x v="5"/>
    <s v="Las Vegas"/>
    <x v="5"/>
    <n v="0.75000000000000011"/>
    <n v="4750"/>
    <n v="3562.5000000000005"/>
    <n v="534.37500000000011"/>
    <n v="0.15000000000000002"/>
  </r>
  <r>
    <m/>
    <x v="2"/>
    <n v="1128299"/>
    <x v="47"/>
    <x v="2"/>
    <x v="5"/>
    <s v="Las Vegas"/>
    <x v="0"/>
    <n v="0.60000000000000009"/>
    <n v="6750"/>
    <n v="4050.0000000000005"/>
    <n v="1417.5000000000002"/>
    <n v="0.35000000000000003"/>
  </r>
  <r>
    <m/>
    <x v="2"/>
    <n v="1128299"/>
    <x v="47"/>
    <x v="2"/>
    <x v="5"/>
    <s v="Las Vegas"/>
    <x v="1"/>
    <n v="0.65000000000000013"/>
    <n v="6750"/>
    <n v="4387.5000000000009"/>
    <n v="877.50000000000023"/>
    <n v="0.2"/>
  </r>
  <r>
    <m/>
    <x v="2"/>
    <n v="1128299"/>
    <x v="47"/>
    <x v="2"/>
    <x v="5"/>
    <s v="Las Vegas"/>
    <x v="2"/>
    <n v="0.60000000000000009"/>
    <n v="4750"/>
    <n v="2850.0000000000005"/>
    <n v="997.50000000000023"/>
    <n v="0.35000000000000003"/>
  </r>
  <r>
    <m/>
    <x v="2"/>
    <n v="1128299"/>
    <x v="47"/>
    <x v="2"/>
    <x v="5"/>
    <s v="Las Vegas"/>
    <x v="3"/>
    <n v="0.60000000000000009"/>
    <n v="4750"/>
    <n v="2850.0000000000005"/>
    <n v="855.00000000000011"/>
    <n v="0.3"/>
  </r>
  <r>
    <m/>
    <x v="2"/>
    <n v="1128299"/>
    <x v="47"/>
    <x v="2"/>
    <x v="5"/>
    <s v="Las Vegas"/>
    <x v="4"/>
    <n v="0.70000000000000007"/>
    <n v="4000"/>
    <n v="2800.0000000000005"/>
    <n v="1400.0000000000005"/>
    <n v="0.50000000000000011"/>
  </r>
  <r>
    <m/>
    <x v="2"/>
    <n v="1128299"/>
    <x v="47"/>
    <x v="2"/>
    <x v="5"/>
    <s v="Las Vegas"/>
    <x v="5"/>
    <n v="0.75000000000000011"/>
    <n v="5000"/>
    <n v="3750.0000000000005"/>
    <n v="562.50000000000011"/>
    <n v="0.15000000000000002"/>
  </r>
  <r>
    <s v="x"/>
    <x v="2"/>
    <n v="1128299"/>
    <x v="58"/>
    <x v="2"/>
    <x v="6"/>
    <s v="Denver"/>
    <x v="0"/>
    <n v="0.3"/>
    <n v="4250"/>
    <n v="1275"/>
    <n v="446.25000000000006"/>
    <n v="0.35000000000000003"/>
  </r>
  <r>
    <m/>
    <x v="2"/>
    <n v="1128299"/>
    <x v="58"/>
    <x v="2"/>
    <x v="6"/>
    <s v="Denver"/>
    <x v="1"/>
    <n v="0.4"/>
    <n v="4250"/>
    <n v="1700"/>
    <n v="340"/>
    <n v="0.2"/>
  </r>
  <r>
    <m/>
    <x v="2"/>
    <n v="1128299"/>
    <x v="58"/>
    <x v="2"/>
    <x v="6"/>
    <s v="Denver"/>
    <x v="2"/>
    <n v="0.4"/>
    <n v="4250"/>
    <n v="1700"/>
    <n v="595"/>
    <n v="0.35000000000000003"/>
  </r>
  <r>
    <m/>
    <x v="2"/>
    <n v="1128299"/>
    <x v="58"/>
    <x v="2"/>
    <x v="6"/>
    <s v="Denver"/>
    <x v="3"/>
    <n v="0.4"/>
    <n v="2750"/>
    <n v="1100"/>
    <n v="330"/>
    <n v="0.3"/>
  </r>
  <r>
    <m/>
    <x v="2"/>
    <n v="1128299"/>
    <x v="58"/>
    <x v="2"/>
    <x v="6"/>
    <s v="Denver"/>
    <x v="4"/>
    <n v="0.45"/>
    <n v="2250"/>
    <n v="1012.5"/>
    <n v="506.25"/>
    <n v="0.5"/>
  </r>
  <r>
    <m/>
    <x v="2"/>
    <n v="1128299"/>
    <x v="58"/>
    <x v="2"/>
    <x v="6"/>
    <s v="Denver"/>
    <x v="5"/>
    <n v="0.4"/>
    <n v="4750"/>
    <n v="1900"/>
    <n v="285.00000000000006"/>
    <n v="0.15000000000000002"/>
  </r>
  <r>
    <m/>
    <x v="2"/>
    <n v="1128299"/>
    <x v="49"/>
    <x v="2"/>
    <x v="6"/>
    <s v="Denver"/>
    <x v="0"/>
    <n v="0.3"/>
    <n v="5250"/>
    <n v="1575"/>
    <n v="551.25"/>
    <n v="0.35000000000000003"/>
  </r>
  <r>
    <m/>
    <x v="2"/>
    <n v="1128299"/>
    <x v="49"/>
    <x v="2"/>
    <x v="6"/>
    <s v="Denver"/>
    <x v="1"/>
    <n v="0.4"/>
    <n v="4250"/>
    <n v="1700"/>
    <n v="340"/>
    <n v="0.2"/>
  </r>
  <r>
    <m/>
    <x v="2"/>
    <n v="1128299"/>
    <x v="49"/>
    <x v="2"/>
    <x v="6"/>
    <s v="Denver"/>
    <x v="2"/>
    <n v="0.4"/>
    <n v="4250"/>
    <n v="1700"/>
    <n v="595"/>
    <n v="0.35000000000000003"/>
  </r>
  <r>
    <m/>
    <x v="2"/>
    <n v="1128299"/>
    <x v="49"/>
    <x v="2"/>
    <x v="6"/>
    <s v="Denver"/>
    <x v="3"/>
    <n v="0.4"/>
    <n v="2750"/>
    <n v="1100"/>
    <n v="330"/>
    <n v="0.3"/>
  </r>
  <r>
    <m/>
    <x v="2"/>
    <n v="1128299"/>
    <x v="49"/>
    <x v="2"/>
    <x v="6"/>
    <s v="Denver"/>
    <x v="4"/>
    <n v="0.45"/>
    <n v="2000"/>
    <n v="900"/>
    <n v="450"/>
    <n v="0.5"/>
  </r>
  <r>
    <m/>
    <x v="2"/>
    <n v="1128299"/>
    <x v="49"/>
    <x v="2"/>
    <x v="6"/>
    <s v="Denver"/>
    <x v="5"/>
    <n v="0.4"/>
    <n v="4000"/>
    <n v="1600"/>
    <n v="240.00000000000003"/>
    <n v="0.15000000000000002"/>
  </r>
  <r>
    <m/>
    <x v="2"/>
    <n v="1128299"/>
    <x v="59"/>
    <x v="2"/>
    <x v="6"/>
    <s v="Denver"/>
    <x v="0"/>
    <n v="0.4"/>
    <n v="5500"/>
    <n v="2200"/>
    <n v="770.00000000000011"/>
    <n v="0.35000000000000003"/>
  </r>
  <r>
    <m/>
    <x v="2"/>
    <n v="1128299"/>
    <x v="59"/>
    <x v="2"/>
    <x v="6"/>
    <s v="Denver"/>
    <x v="1"/>
    <n v="0.49999999999999994"/>
    <n v="4000"/>
    <n v="1999.9999999999998"/>
    <n v="400"/>
    <n v="0.2"/>
  </r>
  <r>
    <m/>
    <x v="2"/>
    <n v="1128299"/>
    <x v="59"/>
    <x v="2"/>
    <x v="6"/>
    <s v="Denver"/>
    <x v="2"/>
    <n v="0.54999999999999993"/>
    <n v="4000"/>
    <n v="2199.9999999999995"/>
    <n v="769.99999999999989"/>
    <n v="0.35000000000000003"/>
  </r>
  <r>
    <m/>
    <x v="2"/>
    <n v="1128299"/>
    <x v="59"/>
    <x v="2"/>
    <x v="6"/>
    <s v="Denver"/>
    <x v="3"/>
    <n v="0.54999999999999993"/>
    <n v="3000"/>
    <n v="1649.9999999999998"/>
    <n v="494.99999999999989"/>
    <n v="0.3"/>
  </r>
  <r>
    <m/>
    <x v="2"/>
    <n v="1128299"/>
    <x v="59"/>
    <x v="2"/>
    <x v="6"/>
    <s v="Denver"/>
    <x v="4"/>
    <n v="0.6"/>
    <n v="1500"/>
    <n v="900"/>
    <n v="450"/>
    <n v="0.5"/>
  </r>
  <r>
    <m/>
    <x v="2"/>
    <n v="1128299"/>
    <x v="59"/>
    <x v="2"/>
    <x v="6"/>
    <s v="Denver"/>
    <x v="5"/>
    <n v="0.54999999999999993"/>
    <n v="3500"/>
    <n v="1924.9999999999998"/>
    <n v="288.75"/>
    <n v="0.15000000000000002"/>
  </r>
  <r>
    <m/>
    <x v="2"/>
    <n v="1128299"/>
    <x v="60"/>
    <x v="2"/>
    <x v="6"/>
    <s v="Denver"/>
    <x v="0"/>
    <n v="0.6"/>
    <n v="5250"/>
    <n v="3150"/>
    <n v="1102.5"/>
    <n v="0.35000000000000003"/>
  </r>
  <r>
    <m/>
    <x v="2"/>
    <n v="1128299"/>
    <x v="60"/>
    <x v="2"/>
    <x v="6"/>
    <s v="Denver"/>
    <x v="1"/>
    <n v="0.65"/>
    <n v="3250"/>
    <n v="2112.5"/>
    <n v="422.5"/>
    <n v="0.2"/>
  </r>
  <r>
    <m/>
    <x v="2"/>
    <n v="1128299"/>
    <x v="60"/>
    <x v="2"/>
    <x v="6"/>
    <s v="Denver"/>
    <x v="2"/>
    <n v="0.65"/>
    <n v="3750"/>
    <n v="2437.5"/>
    <n v="853.12500000000011"/>
    <n v="0.35000000000000003"/>
  </r>
  <r>
    <m/>
    <x v="2"/>
    <n v="1128299"/>
    <x v="60"/>
    <x v="2"/>
    <x v="6"/>
    <s v="Denver"/>
    <x v="3"/>
    <n v="0.6"/>
    <n v="2750"/>
    <n v="1650"/>
    <n v="495"/>
    <n v="0.3"/>
  </r>
  <r>
    <m/>
    <x v="2"/>
    <n v="1128299"/>
    <x v="60"/>
    <x v="2"/>
    <x v="6"/>
    <s v="Denver"/>
    <x v="4"/>
    <n v="0.65"/>
    <n v="1750"/>
    <n v="1137.5"/>
    <n v="568.75"/>
    <n v="0.5"/>
  </r>
  <r>
    <m/>
    <x v="2"/>
    <n v="1128299"/>
    <x v="60"/>
    <x v="2"/>
    <x v="6"/>
    <s v="Denver"/>
    <x v="5"/>
    <n v="0.8"/>
    <n v="3250"/>
    <n v="2600"/>
    <n v="390.00000000000006"/>
    <n v="0.15000000000000002"/>
  </r>
  <r>
    <m/>
    <x v="2"/>
    <n v="1128299"/>
    <x v="61"/>
    <x v="2"/>
    <x v="6"/>
    <s v="Denver"/>
    <x v="0"/>
    <n v="0.6"/>
    <n v="5250"/>
    <n v="3150"/>
    <n v="1575"/>
    <n v="0.5"/>
  </r>
  <r>
    <m/>
    <x v="2"/>
    <n v="1128299"/>
    <x v="61"/>
    <x v="2"/>
    <x v="6"/>
    <s v="Denver"/>
    <x v="1"/>
    <n v="0.65"/>
    <n v="3750"/>
    <n v="2437.5"/>
    <n v="853.125"/>
    <n v="0.35"/>
  </r>
  <r>
    <m/>
    <x v="2"/>
    <n v="1128299"/>
    <x v="61"/>
    <x v="2"/>
    <x v="6"/>
    <s v="Denver"/>
    <x v="2"/>
    <n v="0.65"/>
    <n v="3750"/>
    <n v="2437.5"/>
    <n v="1218.75"/>
    <n v="0.5"/>
  </r>
  <r>
    <m/>
    <x v="2"/>
    <n v="1128299"/>
    <x v="61"/>
    <x v="2"/>
    <x v="6"/>
    <s v="Denver"/>
    <x v="3"/>
    <n v="0.6"/>
    <n v="2750"/>
    <n v="1650"/>
    <n v="742.49999999999989"/>
    <n v="0.44999999999999996"/>
  </r>
  <r>
    <m/>
    <x v="2"/>
    <n v="1128299"/>
    <x v="61"/>
    <x v="2"/>
    <x v="6"/>
    <s v="Denver"/>
    <x v="4"/>
    <n v="0.65"/>
    <n v="1750"/>
    <n v="1137.5"/>
    <n v="739.37500000000011"/>
    <n v="0.65000000000000013"/>
  </r>
  <r>
    <m/>
    <x v="2"/>
    <n v="1128299"/>
    <x v="61"/>
    <x v="2"/>
    <x v="6"/>
    <s v="Denver"/>
    <x v="5"/>
    <n v="0.8"/>
    <n v="4750"/>
    <n v="3800"/>
    <n v="1140"/>
    <n v="0.3"/>
  </r>
  <r>
    <m/>
    <x v="2"/>
    <n v="1128299"/>
    <x v="52"/>
    <x v="2"/>
    <x v="6"/>
    <s v="Denver"/>
    <x v="0"/>
    <n v="0.6"/>
    <n v="7250"/>
    <n v="4350"/>
    <n v="2175"/>
    <n v="0.5"/>
  </r>
  <r>
    <m/>
    <x v="2"/>
    <n v="1128299"/>
    <x v="52"/>
    <x v="2"/>
    <x v="6"/>
    <s v="Denver"/>
    <x v="1"/>
    <n v="0.65"/>
    <n v="5750"/>
    <n v="3737.5"/>
    <n v="1308.125"/>
    <n v="0.35"/>
  </r>
  <r>
    <m/>
    <x v="2"/>
    <n v="1128299"/>
    <x v="52"/>
    <x v="2"/>
    <x v="6"/>
    <s v="Denver"/>
    <x v="2"/>
    <n v="0.65"/>
    <n v="5750"/>
    <n v="3737.5"/>
    <n v="1868.75"/>
    <n v="0.5"/>
  </r>
  <r>
    <m/>
    <x v="2"/>
    <n v="1128299"/>
    <x v="52"/>
    <x v="2"/>
    <x v="6"/>
    <s v="Denver"/>
    <x v="3"/>
    <n v="0.65"/>
    <n v="4500"/>
    <n v="2925"/>
    <n v="1316.2499999999998"/>
    <n v="0.44999999999999996"/>
  </r>
  <r>
    <m/>
    <x v="2"/>
    <n v="1128299"/>
    <x v="52"/>
    <x v="2"/>
    <x v="6"/>
    <s v="Denver"/>
    <x v="4"/>
    <n v="0.70000000000000007"/>
    <n v="3250"/>
    <n v="2275"/>
    <n v="1478.7500000000002"/>
    <n v="0.65000000000000013"/>
  </r>
  <r>
    <m/>
    <x v="2"/>
    <n v="1128299"/>
    <x v="52"/>
    <x v="2"/>
    <x v="6"/>
    <s v="Denver"/>
    <x v="5"/>
    <n v="0.85000000000000009"/>
    <n v="6250"/>
    <n v="5312.5000000000009"/>
    <n v="1593.7500000000002"/>
    <n v="0.3"/>
  </r>
  <r>
    <m/>
    <x v="2"/>
    <n v="1128299"/>
    <x v="62"/>
    <x v="2"/>
    <x v="6"/>
    <s v="Denver"/>
    <x v="0"/>
    <n v="0.65"/>
    <n v="7750"/>
    <n v="5037.5"/>
    <n v="2266.875"/>
    <n v="0.45"/>
  </r>
  <r>
    <m/>
    <x v="2"/>
    <n v="1128299"/>
    <x v="62"/>
    <x v="2"/>
    <x v="6"/>
    <s v="Denver"/>
    <x v="1"/>
    <n v="0.70000000000000007"/>
    <n v="6250"/>
    <n v="4375"/>
    <n v="1312.5"/>
    <n v="0.3"/>
  </r>
  <r>
    <m/>
    <x v="2"/>
    <n v="1128299"/>
    <x v="62"/>
    <x v="2"/>
    <x v="6"/>
    <s v="Denver"/>
    <x v="2"/>
    <n v="0.70000000000000007"/>
    <n v="5750"/>
    <n v="4025.0000000000005"/>
    <n v="1811.2500000000002"/>
    <n v="0.45"/>
  </r>
  <r>
    <m/>
    <x v="2"/>
    <n v="1128299"/>
    <x v="62"/>
    <x v="2"/>
    <x v="6"/>
    <s v="Denver"/>
    <x v="3"/>
    <n v="0.65"/>
    <n v="4750"/>
    <n v="3087.5"/>
    <n v="1235"/>
    <n v="0.39999999999999997"/>
  </r>
  <r>
    <m/>
    <x v="2"/>
    <n v="1128299"/>
    <x v="62"/>
    <x v="2"/>
    <x v="6"/>
    <s v="Denver"/>
    <x v="4"/>
    <n v="0.70000000000000007"/>
    <n v="5250"/>
    <n v="3675.0000000000005"/>
    <n v="2205.0000000000005"/>
    <n v="0.60000000000000009"/>
  </r>
  <r>
    <m/>
    <x v="2"/>
    <n v="1128299"/>
    <x v="62"/>
    <x v="2"/>
    <x v="6"/>
    <s v="Denver"/>
    <x v="5"/>
    <n v="0.85000000000000009"/>
    <n v="5250"/>
    <n v="4462.5000000000009"/>
    <n v="1115.6250000000002"/>
    <n v="0.25"/>
  </r>
  <r>
    <m/>
    <x v="2"/>
    <n v="1128299"/>
    <x v="19"/>
    <x v="2"/>
    <x v="6"/>
    <s v="Denver"/>
    <x v="0"/>
    <n v="0.70000000000000007"/>
    <n v="7250"/>
    <n v="5075.0000000000009"/>
    <n v="2283.7500000000005"/>
    <n v="0.45"/>
  </r>
  <r>
    <m/>
    <x v="2"/>
    <n v="1128299"/>
    <x v="19"/>
    <x v="2"/>
    <x v="6"/>
    <s v="Denver"/>
    <x v="1"/>
    <n v="0.75000000000000011"/>
    <n v="6750"/>
    <n v="5062.5000000000009"/>
    <n v="1518.7500000000002"/>
    <n v="0.3"/>
  </r>
  <r>
    <m/>
    <x v="2"/>
    <n v="1128299"/>
    <x v="19"/>
    <x v="2"/>
    <x v="6"/>
    <s v="Denver"/>
    <x v="2"/>
    <n v="0.70000000000000007"/>
    <n v="5500"/>
    <n v="3850.0000000000005"/>
    <n v="1732.5000000000002"/>
    <n v="0.45"/>
  </r>
  <r>
    <m/>
    <x v="2"/>
    <n v="1128299"/>
    <x v="19"/>
    <x v="2"/>
    <x v="6"/>
    <s v="Denver"/>
    <x v="3"/>
    <n v="0.70000000000000007"/>
    <n v="5000"/>
    <n v="3500.0000000000005"/>
    <n v="1400"/>
    <n v="0.39999999999999997"/>
  </r>
  <r>
    <m/>
    <x v="2"/>
    <n v="1128299"/>
    <x v="19"/>
    <x v="2"/>
    <x v="6"/>
    <s v="Denver"/>
    <x v="4"/>
    <n v="0.75"/>
    <n v="5000"/>
    <n v="3750"/>
    <n v="2250.0000000000005"/>
    <n v="0.60000000000000009"/>
  </r>
  <r>
    <m/>
    <x v="2"/>
    <n v="1128299"/>
    <x v="19"/>
    <x v="2"/>
    <x v="6"/>
    <s v="Denver"/>
    <x v="5"/>
    <n v="0.8"/>
    <n v="4000"/>
    <n v="3200"/>
    <n v="800"/>
    <n v="0.25"/>
  </r>
  <r>
    <m/>
    <x v="2"/>
    <n v="1128299"/>
    <x v="63"/>
    <x v="2"/>
    <x v="6"/>
    <s v="Denver"/>
    <x v="0"/>
    <n v="0.65000000000000013"/>
    <n v="6000"/>
    <n v="3900.0000000000009"/>
    <n v="1560.0000000000005"/>
    <n v="0.4"/>
  </r>
  <r>
    <m/>
    <x v="2"/>
    <n v="1128299"/>
    <x v="63"/>
    <x v="2"/>
    <x v="6"/>
    <s v="Denver"/>
    <x v="1"/>
    <n v="0.70000000000000018"/>
    <n v="6000"/>
    <n v="4200.0000000000009"/>
    <n v="1050.0000000000002"/>
    <n v="0.25"/>
  </r>
  <r>
    <m/>
    <x v="2"/>
    <n v="1128299"/>
    <x v="63"/>
    <x v="2"/>
    <x v="6"/>
    <s v="Denver"/>
    <x v="2"/>
    <n v="0.65000000000000013"/>
    <n v="4500"/>
    <n v="2925.0000000000005"/>
    <n v="1170.0000000000002"/>
    <n v="0.4"/>
  </r>
  <r>
    <m/>
    <x v="2"/>
    <n v="1128299"/>
    <x v="63"/>
    <x v="2"/>
    <x v="6"/>
    <s v="Denver"/>
    <x v="3"/>
    <n v="0.65000000000000013"/>
    <n v="4000"/>
    <n v="2600.0000000000005"/>
    <n v="910.00000000000011"/>
    <n v="0.35"/>
  </r>
  <r>
    <m/>
    <x v="2"/>
    <n v="1128299"/>
    <x v="63"/>
    <x v="2"/>
    <x v="6"/>
    <s v="Denver"/>
    <x v="4"/>
    <n v="0.75000000000000011"/>
    <n v="4000"/>
    <n v="3000.0000000000005"/>
    <n v="1650.0000000000007"/>
    <n v="0.55000000000000016"/>
  </r>
  <r>
    <m/>
    <x v="2"/>
    <n v="1128299"/>
    <x v="63"/>
    <x v="2"/>
    <x v="6"/>
    <s v="Denver"/>
    <x v="5"/>
    <n v="0.70000000000000007"/>
    <n v="4250"/>
    <n v="2975.0000000000005"/>
    <n v="595.00000000000011"/>
    <n v="0.2"/>
  </r>
  <r>
    <m/>
    <x v="2"/>
    <n v="1128299"/>
    <x v="55"/>
    <x v="2"/>
    <x v="6"/>
    <s v="Denver"/>
    <x v="0"/>
    <n v="0.55000000000000004"/>
    <n v="5250"/>
    <n v="2887.5000000000005"/>
    <n v="1155.0000000000002"/>
    <n v="0.4"/>
  </r>
  <r>
    <m/>
    <x v="2"/>
    <n v="1128299"/>
    <x v="55"/>
    <x v="2"/>
    <x v="6"/>
    <s v="Denver"/>
    <x v="1"/>
    <n v="0.60000000000000009"/>
    <n v="5250"/>
    <n v="3150.0000000000005"/>
    <n v="787.50000000000011"/>
    <n v="0.25"/>
  </r>
  <r>
    <m/>
    <x v="2"/>
    <n v="1128299"/>
    <x v="55"/>
    <x v="2"/>
    <x v="6"/>
    <s v="Denver"/>
    <x v="2"/>
    <n v="0.55000000000000004"/>
    <n v="3500"/>
    <n v="1925.0000000000002"/>
    <n v="770.00000000000011"/>
    <n v="0.4"/>
  </r>
  <r>
    <m/>
    <x v="2"/>
    <n v="1128299"/>
    <x v="55"/>
    <x v="2"/>
    <x v="6"/>
    <s v="Denver"/>
    <x v="3"/>
    <n v="0.55000000000000004"/>
    <n v="3250"/>
    <n v="1787.5000000000002"/>
    <n v="625.625"/>
    <n v="0.35"/>
  </r>
  <r>
    <m/>
    <x v="2"/>
    <n v="1128299"/>
    <x v="55"/>
    <x v="2"/>
    <x v="6"/>
    <s v="Denver"/>
    <x v="4"/>
    <n v="0.65"/>
    <n v="3000"/>
    <n v="1950"/>
    <n v="1072.5000000000002"/>
    <n v="0.55000000000000016"/>
  </r>
  <r>
    <m/>
    <x v="2"/>
    <n v="1128299"/>
    <x v="55"/>
    <x v="2"/>
    <x v="6"/>
    <s v="Denver"/>
    <x v="5"/>
    <n v="0.70000000000000007"/>
    <n v="3500"/>
    <n v="2450.0000000000005"/>
    <n v="490.00000000000011"/>
    <n v="0.2"/>
  </r>
  <r>
    <m/>
    <x v="2"/>
    <n v="1128299"/>
    <x v="64"/>
    <x v="2"/>
    <x v="6"/>
    <s v="Denver"/>
    <x v="0"/>
    <n v="0.55000000000000004"/>
    <n v="5750"/>
    <n v="3162.5000000000005"/>
    <n v="1265.0000000000002"/>
    <n v="0.4"/>
  </r>
  <r>
    <m/>
    <x v="2"/>
    <n v="1128299"/>
    <x v="64"/>
    <x v="2"/>
    <x v="6"/>
    <s v="Denver"/>
    <x v="1"/>
    <n v="0.60000000000000009"/>
    <n v="5750"/>
    <n v="3450.0000000000005"/>
    <n v="862.50000000000011"/>
    <n v="0.25"/>
  </r>
  <r>
    <m/>
    <x v="2"/>
    <n v="1128299"/>
    <x v="64"/>
    <x v="2"/>
    <x v="6"/>
    <s v="Denver"/>
    <x v="2"/>
    <n v="0.55000000000000004"/>
    <n v="4250"/>
    <n v="2337.5"/>
    <n v="935"/>
    <n v="0.4"/>
  </r>
  <r>
    <m/>
    <x v="2"/>
    <n v="1128299"/>
    <x v="64"/>
    <x v="2"/>
    <x v="6"/>
    <s v="Denver"/>
    <x v="3"/>
    <n v="0.65000000000000013"/>
    <n v="4000"/>
    <n v="2600.0000000000005"/>
    <n v="910.00000000000011"/>
    <n v="0.35"/>
  </r>
  <r>
    <m/>
    <x v="2"/>
    <n v="1128299"/>
    <x v="64"/>
    <x v="2"/>
    <x v="6"/>
    <s v="Denver"/>
    <x v="4"/>
    <n v="0.75000000000000011"/>
    <n v="3750"/>
    <n v="2812.5000000000005"/>
    <n v="1546.8750000000007"/>
    <n v="0.55000000000000016"/>
  </r>
  <r>
    <m/>
    <x v="2"/>
    <n v="1128299"/>
    <x v="64"/>
    <x v="2"/>
    <x v="6"/>
    <s v="Denver"/>
    <x v="5"/>
    <n v="0.80000000000000016"/>
    <n v="5000"/>
    <n v="4000.0000000000009"/>
    <n v="800.00000000000023"/>
    <n v="0.2"/>
  </r>
  <r>
    <m/>
    <x v="2"/>
    <n v="1128299"/>
    <x v="65"/>
    <x v="2"/>
    <x v="6"/>
    <s v="Denver"/>
    <x v="0"/>
    <n v="0.65000000000000013"/>
    <n v="7000"/>
    <n v="4550.0000000000009"/>
    <n v="1820.0000000000005"/>
    <n v="0.4"/>
  </r>
  <r>
    <m/>
    <x v="2"/>
    <n v="1128299"/>
    <x v="65"/>
    <x v="2"/>
    <x v="6"/>
    <s v="Denver"/>
    <x v="1"/>
    <n v="0.70000000000000018"/>
    <n v="7000"/>
    <n v="4900.0000000000009"/>
    <n v="1225.0000000000002"/>
    <n v="0.25"/>
  </r>
  <r>
    <m/>
    <x v="2"/>
    <n v="1128299"/>
    <x v="65"/>
    <x v="2"/>
    <x v="6"/>
    <s v="Denver"/>
    <x v="2"/>
    <n v="0.65000000000000013"/>
    <n v="5000"/>
    <n v="3250.0000000000005"/>
    <n v="1300.0000000000002"/>
    <n v="0.4"/>
  </r>
  <r>
    <m/>
    <x v="2"/>
    <n v="1128299"/>
    <x v="65"/>
    <x v="2"/>
    <x v="6"/>
    <s v="Denver"/>
    <x v="3"/>
    <n v="0.65000000000000013"/>
    <n v="5000"/>
    <n v="3250.0000000000005"/>
    <n v="1137.5"/>
    <n v="0.35"/>
  </r>
  <r>
    <m/>
    <x v="2"/>
    <n v="1128299"/>
    <x v="65"/>
    <x v="2"/>
    <x v="6"/>
    <s v="Denver"/>
    <x v="4"/>
    <n v="0.75000000000000011"/>
    <n v="4250"/>
    <n v="3187.5000000000005"/>
    <n v="1753.1250000000007"/>
    <n v="0.55000000000000016"/>
  </r>
  <r>
    <m/>
    <x v="2"/>
    <n v="1128299"/>
    <x v="65"/>
    <x v="2"/>
    <x v="6"/>
    <s v="Denver"/>
    <x v="5"/>
    <n v="0.80000000000000016"/>
    <n v="5250"/>
    <n v="4200.0000000000009"/>
    <n v="840.00000000000023"/>
    <n v="0.2"/>
  </r>
  <r>
    <s v="x"/>
    <x v="2"/>
    <n v="1128299"/>
    <x v="66"/>
    <x v="2"/>
    <x v="7"/>
    <s v="Seattle"/>
    <x v="0"/>
    <n v="0.4"/>
    <n v="4500"/>
    <n v="1800"/>
    <n v="540"/>
    <n v="0.3"/>
  </r>
  <r>
    <m/>
    <x v="2"/>
    <n v="1128299"/>
    <x v="66"/>
    <x v="2"/>
    <x v="7"/>
    <s v="Seattle"/>
    <x v="1"/>
    <n v="0.5"/>
    <n v="4500"/>
    <n v="2250"/>
    <n v="562.5"/>
    <n v="0.25"/>
  </r>
  <r>
    <m/>
    <x v="2"/>
    <n v="1128299"/>
    <x v="66"/>
    <x v="2"/>
    <x v="7"/>
    <s v="Seattle"/>
    <x v="2"/>
    <n v="0.5"/>
    <n v="4500"/>
    <n v="2250"/>
    <n v="562.5"/>
    <n v="0.25"/>
  </r>
  <r>
    <m/>
    <x v="2"/>
    <n v="1128299"/>
    <x v="66"/>
    <x v="2"/>
    <x v="7"/>
    <s v="Seattle"/>
    <x v="3"/>
    <n v="0.5"/>
    <n v="3000"/>
    <n v="1500"/>
    <n v="450"/>
    <n v="0.3"/>
  </r>
  <r>
    <m/>
    <x v="2"/>
    <n v="1128299"/>
    <x v="66"/>
    <x v="2"/>
    <x v="7"/>
    <s v="Seattle"/>
    <x v="4"/>
    <n v="0.55000000000000004"/>
    <n v="2500"/>
    <n v="1375"/>
    <n v="343.75"/>
    <n v="0.25"/>
  </r>
  <r>
    <m/>
    <x v="2"/>
    <n v="1128299"/>
    <x v="66"/>
    <x v="2"/>
    <x v="7"/>
    <s v="Seattle"/>
    <x v="5"/>
    <n v="0.5"/>
    <n v="5000"/>
    <n v="2500"/>
    <n v="500"/>
    <n v="0.2"/>
  </r>
  <r>
    <m/>
    <x v="2"/>
    <n v="1128299"/>
    <x v="67"/>
    <x v="2"/>
    <x v="7"/>
    <s v="Seattle"/>
    <x v="0"/>
    <n v="0.4"/>
    <n v="5500"/>
    <n v="2200"/>
    <n v="660"/>
    <n v="0.3"/>
  </r>
  <r>
    <m/>
    <x v="2"/>
    <n v="1128299"/>
    <x v="67"/>
    <x v="2"/>
    <x v="7"/>
    <s v="Seattle"/>
    <x v="1"/>
    <n v="0.5"/>
    <n v="4500"/>
    <n v="2250"/>
    <n v="562.5"/>
    <n v="0.25"/>
  </r>
  <r>
    <m/>
    <x v="2"/>
    <n v="1128299"/>
    <x v="67"/>
    <x v="2"/>
    <x v="7"/>
    <s v="Seattle"/>
    <x v="2"/>
    <n v="0.5"/>
    <n v="4500"/>
    <n v="2250"/>
    <n v="562.5"/>
    <n v="0.25"/>
  </r>
  <r>
    <m/>
    <x v="2"/>
    <n v="1128299"/>
    <x v="67"/>
    <x v="2"/>
    <x v="7"/>
    <s v="Seattle"/>
    <x v="3"/>
    <n v="0.5"/>
    <n v="3000"/>
    <n v="1500"/>
    <n v="450"/>
    <n v="0.3"/>
  </r>
  <r>
    <m/>
    <x v="2"/>
    <n v="1128299"/>
    <x v="67"/>
    <x v="2"/>
    <x v="7"/>
    <s v="Seattle"/>
    <x v="4"/>
    <n v="0.55000000000000004"/>
    <n v="2250"/>
    <n v="1237.5"/>
    <n v="309.375"/>
    <n v="0.25"/>
  </r>
  <r>
    <m/>
    <x v="2"/>
    <n v="1128299"/>
    <x v="67"/>
    <x v="2"/>
    <x v="7"/>
    <s v="Seattle"/>
    <x v="5"/>
    <n v="0.5"/>
    <n v="4250"/>
    <n v="2125"/>
    <n v="425"/>
    <n v="0.2"/>
  </r>
  <r>
    <m/>
    <x v="2"/>
    <n v="1128299"/>
    <x v="68"/>
    <x v="2"/>
    <x v="7"/>
    <s v="Seattle"/>
    <x v="0"/>
    <n v="0.5"/>
    <n v="5750"/>
    <n v="2875"/>
    <n v="862.5"/>
    <n v="0.3"/>
  </r>
  <r>
    <m/>
    <x v="2"/>
    <n v="1128299"/>
    <x v="68"/>
    <x v="2"/>
    <x v="7"/>
    <s v="Seattle"/>
    <x v="1"/>
    <n v="0.6"/>
    <n v="4250"/>
    <n v="2550"/>
    <n v="637.5"/>
    <n v="0.25"/>
  </r>
  <r>
    <m/>
    <x v="2"/>
    <n v="1128299"/>
    <x v="68"/>
    <x v="2"/>
    <x v="7"/>
    <s v="Seattle"/>
    <x v="2"/>
    <n v="0.64999999999999991"/>
    <n v="4250"/>
    <n v="2762.4999999999995"/>
    <n v="690.62499999999989"/>
    <n v="0.25"/>
  </r>
  <r>
    <m/>
    <x v="2"/>
    <n v="1128299"/>
    <x v="68"/>
    <x v="2"/>
    <x v="7"/>
    <s v="Seattle"/>
    <x v="3"/>
    <n v="0.64999999999999991"/>
    <n v="3250"/>
    <n v="2112.4999999999995"/>
    <n v="633.74999999999989"/>
    <n v="0.3"/>
  </r>
  <r>
    <m/>
    <x v="2"/>
    <n v="1128299"/>
    <x v="68"/>
    <x v="2"/>
    <x v="7"/>
    <s v="Seattle"/>
    <x v="4"/>
    <n v="0.7"/>
    <n v="1750"/>
    <n v="1225"/>
    <n v="306.25"/>
    <n v="0.25"/>
  </r>
  <r>
    <m/>
    <x v="2"/>
    <n v="1128299"/>
    <x v="68"/>
    <x v="2"/>
    <x v="7"/>
    <s v="Seattle"/>
    <x v="5"/>
    <n v="0.64999999999999991"/>
    <n v="3750"/>
    <n v="2437.4999999999995"/>
    <n v="487.49999999999994"/>
    <n v="0.2"/>
  </r>
  <r>
    <m/>
    <x v="2"/>
    <n v="1128299"/>
    <x v="69"/>
    <x v="2"/>
    <x v="7"/>
    <s v="Seattle"/>
    <x v="0"/>
    <n v="0.7"/>
    <n v="5500"/>
    <n v="3849.9999999999995"/>
    <n v="1154.9999999999998"/>
    <n v="0.3"/>
  </r>
  <r>
    <m/>
    <x v="2"/>
    <n v="1128299"/>
    <x v="69"/>
    <x v="2"/>
    <x v="7"/>
    <s v="Seattle"/>
    <x v="1"/>
    <n v="0.75"/>
    <n v="3500"/>
    <n v="2625"/>
    <n v="656.25"/>
    <n v="0.25"/>
  </r>
  <r>
    <m/>
    <x v="2"/>
    <n v="1128299"/>
    <x v="69"/>
    <x v="2"/>
    <x v="7"/>
    <s v="Seattle"/>
    <x v="2"/>
    <n v="0.75"/>
    <n v="4000"/>
    <n v="3000"/>
    <n v="750"/>
    <n v="0.25"/>
  </r>
  <r>
    <m/>
    <x v="2"/>
    <n v="1128299"/>
    <x v="69"/>
    <x v="2"/>
    <x v="7"/>
    <s v="Seattle"/>
    <x v="3"/>
    <n v="0.6"/>
    <n v="3000"/>
    <n v="1800"/>
    <n v="540"/>
    <n v="0.3"/>
  </r>
  <r>
    <m/>
    <x v="2"/>
    <n v="1128299"/>
    <x v="69"/>
    <x v="2"/>
    <x v="7"/>
    <s v="Seattle"/>
    <x v="4"/>
    <n v="0.65"/>
    <n v="2000"/>
    <n v="1300"/>
    <n v="325"/>
    <n v="0.25"/>
  </r>
  <r>
    <m/>
    <x v="2"/>
    <n v="1128299"/>
    <x v="69"/>
    <x v="2"/>
    <x v="7"/>
    <s v="Seattle"/>
    <x v="5"/>
    <n v="0.8"/>
    <n v="3500"/>
    <n v="2800"/>
    <n v="560"/>
    <n v="0.2"/>
  </r>
  <r>
    <m/>
    <x v="2"/>
    <n v="1128299"/>
    <x v="70"/>
    <x v="2"/>
    <x v="7"/>
    <s v="Seattle"/>
    <x v="0"/>
    <n v="0.6"/>
    <n v="5500"/>
    <n v="3300"/>
    <n v="990"/>
    <n v="0.3"/>
  </r>
  <r>
    <m/>
    <x v="2"/>
    <n v="1128299"/>
    <x v="70"/>
    <x v="2"/>
    <x v="7"/>
    <s v="Seattle"/>
    <x v="1"/>
    <n v="0.65"/>
    <n v="4000"/>
    <n v="2600"/>
    <n v="650"/>
    <n v="0.25"/>
  </r>
  <r>
    <m/>
    <x v="2"/>
    <n v="1128299"/>
    <x v="70"/>
    <x v="2"/>
    <x v="7"/>
    <s v="Seattle"/>
    <x v="2"/>
    <n v="0.65"/>
    <n v="4000"/>
    <n v="2600"/>
    <n v="650"/>
    <n v="0.25"/>
  </r>
  <r>
    <m/>
    <x v="2"/>
    <n v="1128299"/>
    <x v="70"/>
    <x v="2"/>
    <x v="7"/>
    <s v="Seattle"/>
    <x v="3"/>
    <n v="0.6"/>
    <n v="3000"/>
    <n v="1800"/>
    <n v="540"/>
    <n v="0.3"/>
  </r>
  <r>
    <m/>
    <x v="2"/>
    <n v="1128299"/>
    <x v="70"/>
    <x v="2"/>
    <x v="7"/>
    <s v="Seattle"/>
    <x v="4"/>
    <n v="0.65"/>
    <n v="2000"/>
    <n v="1300"/>
    <n v="325"/>
    <n v="0.25"/>
  </r>
  <r>
    <m/>
    <x v="2"/>
    <n v="1128299"/>
    <x v="70"/>
    <x v="2"/>
    <x v="7"/>
    <s v="Seattle"/>
    <x v="5"/>
    <n v="0.8"/>
    <n v="5000"/>
    <n v="4000"/>
    <n v="800"/>
    <n v="0.2"/>
  </r>
  <r>
    <m/>
    <x v="2"/>
    <n v="1128299"/>
    <x v="71"/>
    <x v="2"/>
    <x v="7"/>
    <s v="Seattle"/>
    <x v="0"/>
    <n v="0.75"/>
    <n v="7500"/>
    <n v="5625"/>
    <n v="1687.5"/>
    <n v="0.3"/>
  </r>
  <r>
    <m/>
    <x v="2"/>
    <n v="1128299"/>
    <x v="71"/>
    <x v="2"/>
    <x v="7"/>
    <s v="Seattle"/>
    <x v="1"/>
    <n v="0.8"/>
    <n v="6250"/>
    <n v="5000"/>
    <n v="1250"/>
    <n v="0.25"/>
  </r>
  <r>
    <m/>
    <x v="2"/>
    <n v="1128299"/>
    <x v="71"/>
    <x v="2"/>
    <x v="7"/>
    <s v="Seattle"/>
    <x v="2"/>
    <n v="0.8"/>
    <n v="6250"/>
    <n v="5000"/>
    <n v="1250"/>
    <n v="0.25"/>
  </r>
  <r>
    <m/>
    <x v="2"/>
    <n v="1128299"/>
    <x v="71"/>
    <x v="2"/>
    <x v="7"/>
    <s v="Seattle"/>
    <x v="3"/>
    <n v="0.8"/>
    <n v="5000"/>
    <n v="4000"/>
    <n v="1200"/>
    <n v="0.3"/>
  </r>
  <r>
    <m/>
    <x v="2"/>
    <n v="1128299"/>
    <x v="71"/>
    <x v="2"/>
    <x v="7"/>
    <s v="Seattle"/>
    <x v="4"/>
    <n v="0.85000000000000009"/>
    <n v="3750"/>
    <n v="3187.5000000000005"/>
    <n v="796.87500000000011"/>
    <n v="0.25"/>
  </r>
  <r>
    <m/>
    <x v="2"/>
    <n v="1128299"/>
    <x v="71"/>
    <x v="2"/>
    <x v="7"/>
    <s v="Seattle"/>
    <x v="5"/>
    <n v="1"/>
    <n v="6750"/>
    <n v="6750"/>
    <n v="1350"/>
    <n v="0.2"/>
  </r>
  <r>
    <m/>
    <x v="2"/>
    <n v="1128299"/>
    <x v="72"/>
    <x v="2"/>
    <x v="7"/>
    <s v="Seattle"/>
    <x v="0"/>
    <n v="0.8"/>
    <n v="8250"/>
    <n v="6600"/>
    <n v="1980"/>
    <n v="0.3"/>
  </r>
  <r>
    <m/>
    <x v="2"/>
    <n v="1128299"/>
    <x v="72"/>
    <x v="2"/>
    <x v="7"/>
    <s v="Seattle"/>
    <x v="1"/>
    <n v="0.85000000000000009"/>
    <n v="6750"/>
    <n v="5737.5000000000009"/>
    <n v="1434.3750000000002"/>
    <n v="0.25"/>
  </r>
  <r>
    <m/>
    <x v="2"/>
    <n v="1128299"/>
    <x v="72"/>
    <x v="2"/>
    <x v="7"/>
    <s v="Seattle"/>
    <x v="2"/>
    <n v="0.85000000000000009"/>
    <n v="6250"/>
    <n v="5312.5000000000009"/>
    <n v="1328.1250000000002"/>
    <n v="0.25"/>
  </r>
  <r>
    <m/>
    <x v="2"/>
    <n v="1128299"/>
    <x v="72"/>
    <x v="2"/>
    <x v="7"/>
    <s v="Seattle"/>
    <x v="3"/>
    <n v="0.8"/>
    <n v="5250"/>
    <n v="4200"/>
    <n v="1260"/>
    <n v="0.3"/>
  </r>
  <r>
    <m/>
    <x v="2"/>
    <n v="1128299"/>
    <x v="72"/>
    <x v="2"/>
    <x v="7"/>
    <s v="Seattle"/>
    <x v="4"/>
    <n v="0.85000000000000009"/>
    <n v="5750"/>
    <n v="4887.5000000000009"/>
    <n v="1221.8750000000002"/>
    <n v="0.25"/>
  </r>
  <r>
    <m/>
    <x v="2"/>
    <n v="1128299"/>
    <x v="72"/>
    <x v="2"/>
    <x v="7"/>
    <s v="Seattle"/>
    <x v="5"/>
    <n v="1"/>
    <n v="5750"/>
    <n v="5750"/>
    <n v="1150"/>
    <n v="0.2"/>
  </r>
  <r>
    <m/>
    <x v="2"/>
    <n v="1128299"/>
    <x v="73"/>
    <x v="2"/>
    <x v="7"/>
    <s v="Seattle"/>
    <x v="0"/>
    <n v="0.85000000000000009"/>
    <n v="7750"/>
    <n v="6587.5000000000009"/>
    <n v="1976.2500000000002"/>
    <n v="0.3"/>
  </r>
  <r>
    <m/>
    <x v="2"/>
    <n v="1128299"/>
    <x v="73"/>
    <x v="2"/>
    <x v="7"/>
    <s v="Seattle"/>
    <x v="1"/>
    <n v="0.80000000000000016"/>
    <n v="7500"/>
    <n v="6000.0000000000009"/>
    <n v="1500.0000000000002"/>
    <n v="0.25"/>
  </r>
  <r>
    <m/>
    <x v="2"/>
    <n v="1128299"/>
    <x v="73"/>
    <x v="2"/>
    <x v="7"/>
    <s v="Seattle"/>
    <x v="2"/>
    <n v="0.75000000000000011"/>
    <n v="6250"/>
    <n v="4687.5000000000009"/>
    <n v="1171.8750000000002"/>
    <n v="0.25"/>
  </r>
  <r>
    <m/>
    <x v="2"/>
    <n v="1128299"/>
    <x v="73"/>
    <x v="2"/>
    <x v="7"/>
    <s v="Seattle"/>
    <x v="3"/>
    <n v="0.75000000000000011"/>
    <n v="5750"/>
    <n v="4312.5000000000009"/>
    <n v="1293.7500000000002"/>
    <n v="0.3"/>
  </r>
  <r>
    <m/>
    <x v="2"/>
    <n v="1128299"/>
    <x v="73"/>
    <x v="2"/>
    <x v="7"/>
    <s v="Seattle"/>
    <x v="4"/>
    <n v="0.75"/>
    <n v="5750"/>
    <n v="4312.5"/>
    <n v="1078.125"/>
    <n v="0.25"/>
  </r>
  <r>
    <m/>
    <x v="2"/>
    <n v="1128299"/>
    <x v="73"/>
    <x v="2"/>
    <x v="7"/>
    <s v="Seattle"/>
    <x v="5"/>
    <n v="0.8"/>
    <n v="4000"/>
    <n v="3200"/>
    <n v="640"/>
    <n v="0.2"/>
  </r>
  <r>
    <m/>
    <x v="2"/>
    <n v="1128299"/>
    <x v="74"/>
    <x v="2"/>
    <x v="7"/>
    <s v="Seattle"/>
    <x v="0"/>
    <n v="0.70000000000000018"/>
    <n v="6000"/>
    <n v="4200.0000000000009"/>
    <n v="1260.0000000000002"/>
    <n v="0.3"/>
  </r>
  <r>
    <m/>
    <x v="2"/>
    <n v="1128299"/>
    <x v="74"/>
    <x v="2"/>
    <x v="7"/>
    <s v="Seattle"/>
    <x v="1"/>
    <n v="0.75000000000000022"/>
    <n v="6000"/>
    <n v="4500.0000000000009"/>
    <n v="1125.0000000000002"/>
    <n v="0.25"/>
  </r>
  <r>
    <m/>
    <x v="2"/>
    <n v="1128299"/>
    <x v="74"/>
    <x v="2"/>
    <x v="7"/>
    <s v="Seattle"/>
    <x v="2"/>
    <n v="0.70000000000000018"/>
    <n v="4500"/>
    <n v="3150.0000000000009"/>
    <n v="787.50000000000023"/>
    <n v="0.25"/>
  </r>
  <r>
    <m/>
    <x v="2"/>
    <n v="1128299"/>
    <x v="74"/>
    <x v="2"/>
    <x v="7"/>
    <s v="Seattle"/>
    <x v="3"/>
    <n v="0.70000000000000018"/>
    <n v="4000"/>
    <n v="2800.0000000000009"/>
    <n v="840.00000000000023"/>
    <n v="0.3"/>
  </r>
  <r>
    <m/>
    <x v="2"/>
    <n v="1128299"/>
    <x v="74"/>
    <x v="2"/>
    <x v="7"/>
    <s v="Seattle"/>
    <x v="4"/>
    <n v="0.80000000000000016"/>
    <n v="4250"/>
    <n v="3400.0000000000005"/>
    <n v="850.00000000000011"/>
    <n v="0.25"/>
  </r>
  <r>
    <m/>
    <x v="2"/>
    <n v="1128299"/>
    <x v="74"/>
    <x v="2"/>
    <x v="7"/>
    <s v="Seattle"/>
    <x v="5"/>
    <n v="0.65"/>
    <n v="4500"/>
    <n v="2925"/>
    <n v="585"/>
    <n v="0.2"/>
  </r>
  <r>
    <m/>
    <x v="2"/>
    <n v="1128299"/>
    <x v="75"/>
    <x v="2"/>
    <x v="7"/>
    <s v="Seattle"/>
    <x v="0"/>
    <n v="0.60000000000000009"/>
    <n v="5500"/>
    <n v="3300.0000000000005"/>
    <n v="990.00000000000011"/>
    <n v="0.3"/>
  </r>
  <r>
    <m/>
    <x v="2"/>
    <n v="1128299"/>
    <x v="75"/>
    <x v="2"/>
    <x v="7"/>
    <s v="Seattle"/>
    <x v="1"/>
    <n v="0.65000000000000013"/>
    <n v="5500"/>
    <n v="3575.0000000000009"/>
    <n v="893.75000000000023"/>
    <n v="0.25"/>
  </r>
  <r>
    <m/>
    <x v="2"/>
    <n v="1128299"/>
    <x v="75"/>
    <x v="2"/>
    <x v="7"/>
    <s v="Seattle"/>
    <x v="2"/>
    <n v="0.60000000000000009"/>
    <n v="3750"/>
    <n v="2250.0000000000005"/>
    <n v="562.50000000000011"/>
    <n v="0.25"/>
  </r>
  <r>
    <m/>
    <x v="2"/>
    <n v="1128299"/>
    <x v="75"/>
    <x v="2"/>
    <x v="7"/>
    <s v="Seattle"/>
    <x v="3"/>
    <n v="0.60000000000000009"/>
    <n v="3500"/>
    <n v="2100.0000000000005"/>
    <n v="630.00000000000011"/>
    <n v="0.3"/>
  </r>
  <r>
    <m/>
    <x v="2"/>
    <n v="1128299"/>
    <x v="75"/>
    <x v="2"/>
    <x v="7"/>
    <s v="Seattle"/>
    <x v="4"/>
    <n v="0.70000000000000007"/>
    <n v="3250"/>
    <n v="2275"/>
    <n v="568.75"/>
    <n v="0.25"/>
  </r>
  <r>
    <m/>
    <x v="2"/>
    <n v="1128299"/>
    <x v="75"/>
    <x v="2"/>
    <x v="7"/>
    <s v="Seattle"/>
    <x v="5"/>
    <n v="0.75000000000000011"/>
    <n v="3750"/>
    <n v="2812.5000000000005"/>
    <n v="562.50000000000011"/>
    <n v="0.2"/>
  </r>
  <r>
    <m/>
    <x v="2"/>
    <n v="1128299"/>
    <x v="76"/>
    <x v="2"/>
    <x v="7"/>
    <s v="Seattle"/>
    <x v="0"/>
    <n v="0.60000000000000009"/>
    <n v="6000"/>
    <n v="3600.0000000000005"/>
    <n v="1080"/>
    <n v="0.3"/>
  </r>
  <r>
    <m/>
    <x v="2"/>
    <n v="1128299"/>
    <x v="76"/>
    <x v="2"/>
    <x v="7"/>
    <s v="Seattle"/>
    <x v="1"/>
    <n v="0.65000000000000013"/>
    <n v="6250"/>
    <n v="4062.5000000000009"/>
    <n v="1015.6250000000002"/>
    <n v="0.25"/>
  </r>
  <r>
    <m/>
    <x v="2"/>
    <n v="1128299"/>
    <x v="76"/>
    <x v="2"/>
    <x v="7"/>
    <s v="Seattle"/>
    <x v="2"/>
    <n v="0.60000000000000009"/>
    <n v="4750"/>
    <n v="2850.0000000000005"/>
    <n v="712.50000000000011"/>
    <n v="0.25"/>
  </r>
  <r>
    <m/>
    <x v="2"/>
    <n v="1128299"/>
    <x v="76"/>
    <x v="2"/>
    <x v="7"/>
    <s v="Seattle"/>
    <x v="3"/>
    <n v="0.70000000000000018"/>
    <n v="4500"/>
    <n v="3150.0000000000009"/>
    <n v="945.00000000000023"/>
    <n v="0.3"/>
  </r>
  <r>
    <m/>
    <x v="2"/>
    <n v="1128299"/>
    <x v="76"/>
    <x v="2"/>
    <x v="7"/>
    <s v="Seattle"/>
    <x v="4"/>
    <n v="0.90000000000000013"/>
    <n v="4250"/>
    <n v="3825.0000000000005"/>
    <n v="956.25000000000011"/>
    <n v="0.25"/>
  </r>
  <r>
    <m/>
    <x v="2"/>
    <n v="1128299"/>
    <x v="76"/>
    <x v="2"/>
    <x v="7"/>
    <s v="Seattle"/>
    <x v="5"/>
    <n v="0.95000000000000018"/>
    <n v="5500"/>
    <n v="5225.0000000000009"/>
    <n v="1045.0000000000002"/>
    <n v="0.2"/>
  </r>
  <r>
    <m/>
    <x v="2"/>
    <n v="1128299"/>
    <x v="77"/>
    <x v="2"/>
    <x v="7"/>
    <s v="Seattle"/>
    <x v="0"/>
    <n v="0.80000000000000016"/>
    <n v="7500"/>
    <n v="6000.0000000000009"/>
    <n v="1800.0000000000002"/>
    <n v="0.3"/>
  </r>
  <r>
    <m/>
    <x v="2"/>
    <n v="1128299"/>
    <x v="77"/>
    <x v="2"/>
    <x v="7"/>
    <s v="Seattle"/>
    <x v="1"/>
    <n v="0.8500000000000002"/>
    <n v="7500"/>
    <n v="6375.0000000000018"/>
    <n v="1593.7500000000005"/>
    <n v="0.25"/>
  </r>
  <r>
    <m/>
    <x v="2"/>
    <n v="1128299"/>
    <x v="77"/>
    <x v="2"/>
    <x v="7"/>
    <s v="Seattle"/>
    <x v="2"/>
    <n v="0.80000000000000016"/>
    <n v="5500"/>
    <n v="4400.0000000000009"/>
    <n v="1100.0000000000002"/>
    <n v="0.25"/>
  </r>
  <r>
    <m/>
    <x v="2"/>
    <n v="1128299"/>
    <x v="77"/>
    <x v="2"/>
    <x v="7"/>
    <s v="Seattle"/>
    <x v="3"/>
    <n v="0.80000000000000016"/>
    <n v="5500"/>
    <n v="4400.0000000000009"/>
    <n v="1320.0000000000002"/>
    <n v="0.3"/>
  </r>
  <r>
    <m/>
    <x v="2"/>
    <n v="1128299"/>
    <x v="77"/>
    <x v="2"/>
    <x v="7"/>
    <s v="Seattle"/>
    <x v="4"/>
    <n v="0.90000000000000013"/>
    <n v="4750"/>
    <n v="4275.0000000000009"/>
    <n v="1068.7500000000002"/>
    <n v="0.25"/>
  </r>
  <r>
    <m/>
    <x v="2"/>
    <n v="1128299"/>
    <x v="77"/>
    <x v="2"/>
    <x v="7"/>
    <s v="Seattle"/>
    <x v="5"/>
    <n v="0.95000000000000018"/>
    <n v="5750"/>
    <n v="5462.5000000000009"/>
    <n v="1092.5000000000002"/>
    <n v="0.2"/>
  </r>
  <r>
    <s v="x"/>
    <x v="0"/>
    <n v="1185732"/>
    <x v="78"/>
    <x v="4"/>
    <x v="8"/>
    <s v="Miami"/>
    <x v="0"/>
    <n v="0.45"/>
    <n v="10500"/>
    <n v="4725"/>
    <n v="2126.25"/>
    <n v="0.45"/>
  </r>
  <r>
    <m/>
    <x v="0"/>
    <n v="1185732"/>
    <x v="78"/>
    <x v="4"/>
    <x v="8"/>
    <s v="Miami"/>
    <x v="1"/>
    <n v="0.45"/>
    <n v="8500"/>
    <n v="3825"/>
    <n v="1338.75"/>
    <n v="0.35"/>
  </r>
  <r>
    <m/>
    <x v="0"/>
    <n v="1185732"/>
    <x v="78"/>
    <x v="4"/>
    <x v="8"/>
    <s v="Miami"/>
    <x v="2"/>
    <n v="0.35000000000000003"/>
    <n v="8500"/>
    <n v="2975.0000000000005"/>
    <n v="743.75000000000011"/>
    <n v="0.25"/>
  </r>
  <r>
    <m/>
    <x v="0"/>
    <n v="1185732"/>
    <x v="78"/>
    <x v="4"/>
    <x v="8"/>
    <s v="Miami"/>
    <x v="3"/>
    <n v="0.39999999999999997"/>
    <n v="7000"/>
    <n v="2799.9999999999995"/>
    <n v="839.99999999999989"/>
    <n v="0.3"/>
  </r>
  <r>
    <m/>
    <x v="0"/>
    <n v="1185732"/>
    <x v="78"/>
    <x v="4"/>
    <x v="8"/>
    <s v="Miami"/>
    <x v="4"/>
    <n v="0.55000000000000004"/>
    <n v="7500"/>
    <n v="4125"/>
    <n v="1443.75"/>
    <n v="0.35"/>
  </r>
  <r>
    <m/>
    <x v="0"/>
    <n v="1185732"/>
    <x v="78"/>
    <x v="4"/>
    <x v="8"/>
    <s v="Miami"/>
    <x v="5"/>
    <n v="0.45"/>
    <n v="8500"/>
    <n v="3825"/>
    <n v="1912.5"/>
    <n v="0.5"/>
  </r>
  <r>
    <m/>
    <x v="0"/>
    <n v="1185732"/>
    <x v="79"/>
    <x v="4"/>
    <x v="8"/>
    <s v="Miami"/>
    <x v="0"/>
    <n v="0.45"/>
    <n v="11000"/>
    <n v="4950"/>
    <n v="2227.5"/>
    <n v="0.45"/>
  </r>
  <r>
    <m/>
    <x v="0"/>
    <n v="1185732"/>
    <x v="79"/>
    <x v="4"/>
    <x v="8"/>
    <s v="Miami"/>
    <x v="1"/>
    <n v="0.45"/>
    <n v="7500"/>
    <n v="3375"/>
    <n v="1181.25"/>
    <n v="0.35"/>
  </r>
  <r>
    <m/>
    <x v="0"/>
    <n v="1185732"/>
    <x v="79"/>
    <x v="4"/>
    <x v="8"/>
    <s v="Miami"/>
    <x v="2"/>
    <n v="0.35000000000000003"/>
    <n v="8000"/>
    <n v="2800.0000000000005"/>
    <n v="700.00000000000011"/>
    <n v="0.25"/>
  </r>
  <r>
    <m/>
    <x v="0"/>
    <n v="1185732"/>
    <x v="79"/>
    <x v="4"/>
    <x v="8"/>
    <s v="Miami"/>
    <x v="3"/>
    <n v="0.39999999999999997"/>
    <n v="6750"/>
    <n v="2700"/>
    <n v="810"/>
    <n v="0.3"/>
  </r>
  <r>
    <m/>
    <x v="0"/>
    <n v="1185732"/>
    <x v="79"/>
    <x v="4"/>
    <x v="8"/>
    <s v="Miami"/>
    <x v="4"/>
    <n v="0.55000000000000004"/>
    <n v="7500"/>
    <n v="4125"/>
    <n v="1443.75"/>
    <n v="0.35"/>
  </r>
  <r>
    <m/>
    <x v="0"/>
    <n v="1185732"/>
    <x v="79"/>
    <x v="4"/>
    <x v="8"/>
    <s v="Miami"/>
    <x v="5"/>
    <n v="0.45"/>
    <n v="8500"/>
    <n v="3825"/>
    <n v="1912.5"/>
    <n v="0.5"/>
  </r>
  <r>
    <m/>
    <x v="0"/>
    <n v="1185732"/>
    <x v="80"/>
    <x v="4"/>
    <x v="8"/>
    <s v="Miami"/>
    <x v="0"/>
    <n v="0.45"/>
    <n v="10700"/>
    <n v="4815"/>
    <n v="2166.75"/>
    <n v="0.45"/>
  </r>
  <r>
    <m/>
    <x v="0"/>
    <n v="1185732"/>
    <x v="80"/>
    <x v="4"/>
    <x v="8"/>
    <s v="Miami"/>
    <x v="1"/>
    <n v="0.45"/>
    <n v="7500"/>
    <n v="3375"/>
    <n v="1181.25"/>
    <n v="0.35"/>
  </r>
  <r>
    <m/>
    <x v="0"/>
    <n v="1185732"/>
    <x v="80"/>
    <x v="4"/>
    <x v="8"/>
    <s v="Miami"/>
    <x v="2"/>
    <n v="0.35000000000000003"/>
    <n v="7750"/>
    <n v="2712.5000000000005"/>
    <n v="678.12500000000011"/>
    <n v="0.25"/>
  </r>
  <r>
    <m/>
    <x v="0"/>
    <n v="1185732"/>
    <x v="80"/>
    <x v="4"/>
    <x v="8"/>
    <s v="Miami"/>
    <x v="3"/>
    <n v="0.39999999999999997"/>
    <n v="6250"/>
    <n v="2500"/>
    <n v="750"/>
    <n v="0.3"/>
  </r>
  <r>
    <m/>
    <x v="0"/>
    <n v="1185732"/>
    <x v="80"/>
    <x v="4"/>
    <x v="8"/>
    <s v="Miami"/>
    <x v="4"/>
    <n v="0.55000000000000004"/>
    <n v="6750"/>
    <n v="3712.5000000000005"/>
    <n v="1299.375"/>
    <n v="0.35"/>
  </r>
  <r>
    <m/>
    <x v="0"/>
    <n v="1185732"/>
    <x v="80"/>
    <x v="4"/>
    <x v="8"/>
    <s v="Miami"/>
    <x v="5"/>
    <n v="0.45"/>
    <n v="7750"/>
    <n v="3487.5"/>
    <n v="1743.75"/>
    <n v="0.5"/>
  </r>
  <r>
    <m/>
    <x v="0"/>
    <n v="1185732"/>
    <x v="81"/>
    <x v="4"/>
    <x v="8"/>
    <s v="Miami"/>
    <x v="0"/>
    <n v="0.45"/>
    <n v="10250"/>
    <n v="4612.5"/>
    <n v="2075.625"/>
    <n v="0.45"/>
  </r>
  <r>
    <m/>
    <x v="0"/>
    <n v="1185732"/>
    <x v="81"/>
    <x v="4"/>
    <x v="8"/>
    <s v="Miami"/>
    <x v="1"/>
    <n v="0.45"/>
    <n v="7250"/>
    <n v="3262.5"/>
    <n v="1141.875"/>
    <n v="0.35"/>
  </r>
  <r>
    <m/>
    <x v="0"/>
    <n v="1185732"/>
    <x v="81"/>
    <x v="4"/>
    <x v="8"/>
    <s v="Miami"/>
    <x v="2"/>
    <n v="0.35000000000000003"/>
    <n v="7250"/>
    <n v="2537.5000000000005"/>
    <n v="634.37500000000011"/>
    <n v="0.25"/>
  </r>
  <r>
    <m/>
    <x v="0"/>
    <n v="1185732"/>
    <x v="81"/>
    <x v="4"/>
    <x v="8"/>
    <s v="Miami"/>
    <x v="3"/>
    <n v="0.39999999999999997"/>
    <n v="6500"/>
    <n v="2600"/>
    <n v="780"/>
    <n v="0.3"/>
  </r>
  <r>
    <m/>
    <x v="0"/>
    <n v="1185732"/>
    <x v="81"/>
    <x v="4"/>
    <x v="8"/>
    <s v="Miami"/>
    <x v="4"/>
    <n v="0.55000000000000004"/>
    <n v="6750"/>
    <n v="3712.5000000000005"/>
    <n v="1299.375"/>
    <n v="0.35"/>
  </r>
  <r>
    <m/>
    <x v="0"/>
    <n v="1185732"/>
    <x v="81"/>
    <x v="4"/>
    <x v="8"/>
    <s v="Miami"/>
    <x v="5"/>
    <n v="0.45"/>
    <n v="8000"/>
    <n v="3600"/>
    <n v="1800"/>
    <n v="0.5"/>
  </r>
  <r>
    <m/>
    <x v="0"/>
    <n v="1185732"/>
    <x v="82"/>
    <x v="4"/>
    <x v="8"/>
    <s v="Miami"/>
    <x v="0"/>
    <n v="0.55000000000000004"/>
    <n v="10700"/>
    <n v="5885.0000000000009"/>
    <n v="2648.2500000000005"/>
    <n v="0.45"/>
  </r>
  <r>
    <m/>
    <x v="0"/>
    <n v="1185732"/>
    <x v="82"/>
    <x v="4"/>
    <x v="8"/>
    <s v="Miami"/>
    <x v="1"/>
    <n v="0.55000000000000004"/>
    <n v="7750"/>
    <n v="4262.5"/>
    <n v="1491.875"/>
    <n v="0.35"/>
  </r>
  <r>
    <m/>
    <x v="0"/>
    <n v="1185732"/>
    <x v="82"/>
    <x v="4"/>
    <x v="8"/>
    <s v="Miami"/>
    <x v="2"/>
    <n v="0.5"/>
    <n v="7500"/>
    <n v="3750"/>
    <n v="937.5"/>
    <n v="0.25"/>
  </r>
  <r>
    <m/>
    <x v="0"/>
    <n v="1185732"/>
    <x v="82"/>
    <x v="4"/>
    <x v="8"/>
    <s v="Miami"/>
    <x v="3"/>
    <n v="0.5"/>
    <n v="7000"/>
    <n v="3500"/>
    <n v="1050"/>
    <n v="0.3"/>
  </r>
  <r>
    <m/>
    <x v="0"/>
    <n v="1185732"/>
    <x v="82"/>
    <x v="4"/>
    <x v="8"/>
    <s v="Miami"/>
    <x v="4"/>
    <n v="0.6"/>
    <n v="7250"/>
    <n v="4350"/>
    <n v="1522.5"/>
    <n v="0.35"/>
  </r>
  <r>
    <m/>
    <x v="0"/>
    <n v="1185732"/>
    <x v="82"/>
    <x v="4"/>
    <x v="8"/>
    <s v="Miami"/>
    <x v="5"/>
    <n v="0.65"/>
    <n v="8250"/>
    <n v="5362.5"/>
    <n v="2681.25"/>
    <n v="0.5"/>
  </r>
  <r>
    <m/>
    <x v="0"/>
    <n v="1185732"/>
    <x v="83"/>
    <x v="4"/>
    <x v="8"/>
    <s v="Miami"/>
    <x v="0"/>
    <n v="0.6"/>
    <n v="10750"/>
    <n v="6450"/>
    <n v="2902.5"/>
    <n v="0.45"/>
  </r>
  <r>
    <m/>
    <x v="0"/>
    <n v="1185732"/>
    <x v="83"/>
    <x v="4"/>
    <x v="8"/>
    <s v="Miami"/>
    <x v="1"/>
    <n v="0.55000000000000004"/>
    <n v="8250"/>
    <n v="4537.5"/>
    <n v="1588.125"/>
    <n v="0.35"/>
  </r>
  <r>
    <m/>
    <x v="0"/>
    <n v="1185732"/>
    <x v="83"/>
    <x v="4"/>
    <x v="8"/>
    <s v="Miami"/>
    <x v="2"/>
    <n v="0.5"/>
    <n v="8000"/>
    <n v="4000"/>
    <n v="1000"/>
    <n v="0.25"/>
  </r>
  <r>
    <m/>
    <x v="0"/>
    <n v="1185732"/>
    <x v="83"/>
    <x v="4"/>
    <x v="8"/>
    <s v="Miami"/>
    <x v="3"/>
    <n v="0.5"/>
    <n v="7750"/>
    <n v="3875"/>
    <n v="1162.5"/>
    <n v="0.3"/>
  </r>
  <r>
    <m/>
    <x v="0"/>
    <n v="1185732"/>
    <x v="83"/>
    <x v="4"/>
    <x v="8"/>
    <s v="Miami"/>
    <x v="4"/>
    <n v="0.65"/>
    <n v="7750"/>
    <n v="5037.5"/>
    <n v="1763.125"/>
    <n v="0.35"/>
  </r>
  <r>
    <m/>
    <x v="0"/>
    <n v="1185732"/>
    <x v="83"/>
    <x v="4"/>
    <x v="8"/>
    <s v="Miami"/>
    <x v="5"/>
    <n v="0.70000000000000007"/>
    <n v="9250"/>
    <n v="6475.0000000000009"/>
    <n v="3237.5000000000005"/>
    <n v="0.5"/>
  </r>
  <r>
    <m/>
    <x v="0"/>
    <n v="1185732"/>
    <x v="84"/>
    <x v="4"/>
    <x v="8"/>
    <s v="Miami"/>
    <x v="0"/>
    <n v="0.65"/>
    <n v="11500"/>
    <n v="7475"/>
    <n v="3363.75"/>
    <n v="0.45"/>
  </r>
  <r>
    <m/>
    <x v="0"/>
    <n v="1185732"/>
    <x v="84"/>
    <x v="4"/>
    <x v="8"/>
    <s v="Miami"/>
    <x v="1"/>
    <n v="0.60000000000000009"/>
    <n v="9000"/>
    <n v="5400.0000000000009"/>
    <n v="1890.0000000000002"/>
    <n v="0.35"/>
  </r>
  <r>
    <m/>
    <x v="0"/>
    <n v="1185732"/>
    <x v="84"/>
    <x v="4"/>
    <x v="8"/>
    <s v="Miami"/>
    <x v="2"/>
    <n v="0.55000000000000004"/>
    <n v="8250"/>
    <n v="4537.5"/>
    <n v="1134.375"/>
    <n v="0.25"/>
  </r>
  <r>
    <m/>
    <x v="0"/>
    <n v="1185732"/>
    <x v="84"/>
    <x v="4"/>
    <x v="8"/>
    <s v="Miami"/>
    <x v="3"/>
    <n v="0.55000000000000004"/>
    <n v="7750"/>
    <n v="4262.5"/>
    <n v="1278.75"/>
    <n v="0.3"/>
  </r>
  <r>
    <m/>
    <x v="0"/>
    <n v="1185732"/>
    <x v="84"/>
    <x v="4"/>
    <x v="8"/>
    <s v="Miami"/>
    <x v="4"/>
    <n v="0.65"/>
    <n v="8000"/>
    <n v="5200"/>
    <n v="1819.9999999999998"/>
    <n v="0.35"/>
  </r>
  <r>
    <m/>
    <x v="0"/>
    <n v="1185732"/>
    <x v="84"/>
    <x v="4"/>
    <x v="8"/>
    <s v="Miami"/>
    <x v="5"/>
    <n v="0.70000000000000007"/>
    <n v="9750"/>
    <n v="6825.0000000000009"/>
    <n v="3412.5000000000005"/>
    <n v="0.5"/>
  </r>
  <r>
    <m/>
    <x v="0"/>
    <n v="1185732"/>
    <x v="85"/>
    <x v="4"/>
    <x v="8"/>
    <s v="Miami"/>
    <x v="0"/>
    <n v="0.65"/>
    <n v="11250"/>
    <n v="7312.5"/>
    <n v="3290.625"/>
    <n v="0.45"/>
  </r>
  <r>
    <m/>
    <x v="0"/>
    <n v="1185732"/>
    <x v="85"/>
    <x v="4"/>
    <x v="8"/>
    <s v="Miami"/>
    <x v="1"/>
    <n v="0.60000000000000009"/>
    <n v="9000"/>
    <n v="5400.0000000000009"/>
    <n v="1890.0000000000002"/>
    <n v="0.35"/>
  </r>
  <r>
    <m/>
    <x v="0"/>
    <n v="1185732"/>
    <x v="85"/>
    <x v="4"/>
    <x v="8"/>
    <s v="Miami"/>
    <x v="2"/>
    <n v="0.55000000000000004"/>
    <n v="8250"/>
    <n v="4537.5"/>
    <n v="1134.375"/>
    <n v="0.25"/>
  </r>
  <r>
    <m/>
    <x v="0"/>
    <n v="1185732"/>
    <x v="85"/>
    <x v="4"/>
    <x v="8"/>
    <s v="Miami"/>
    <x v="3"/>
    <n v="0.45"/>
    <n v="7750"/>
    <n v="3487.5"/>
    <n v="1046.25"/>
    <n v="0.3"/>
  </r>
  <r>
    <m/>
    <x v="0"/>
    <n v="1185732"/>
    <x v="85"/>
    <x v="4"/>
    <x v="8"/>
    <s v="Miami"/>
    <x v="4"/>
    <n v="0.55000000000000004"/>
    <n v="7500"/>
    <n v="4125"/>
    <n v="1443.75"/>
    <n v="0.35"/>
  </r>
  <r>
    <m/>
    <x v="0"/>
    <n v="1185732"/>
    <x v="85"/>
    <x v="4"/>
    <x v="8"/>
    <s v="Miami"/>
    <x v="5"/>
    <n v="0.60000000000000009"/>
    <n v="9250"/>
    <n v="5550.0000000000009"/>
    <n v="2775.0000000000005"/>
    <n v="0.5"/>
  </r>
  <r>
    <m/>
    <x v="0"/>
    <n v="1185732"/>
    <x v="86"/>
    <x v="4"/>
    <x v="8"/>
    <s v="Miami"/>
    <x v="0"/>
    <n v="0.55000000000000004"/>
    <n v="10500"/>
    <n v="5775.0000000000009"/>
    <n v="2598.7500000000005"/>
    <n v="0.45"/>
  </r>
  <r>
    <m/>
    <x v="0"/>
    <n v="1185732"/>
    <x v="86"/>
    <x v="4"/>
    <x v="8"/>
    <s v="Miami"/>
    <x v="1"/>
    <n v="0.50000000000000011"/>
    <n v="8500"/>
    <n v="4250.0000000000009"/>
    <n v="1487.5000000000002"/>
    <n v="0.35"/>
  </r>
  <r>
    <m/>
    <x v="0"/>
    <n v="1185732"/>
    <x v="86"/>
    <x v="4"/>
    <x v="8"/>
    <s v="Miami"/>
    <x v="2"/>
    <n v="0.45"/>
    <n v="7500"/>
    <n v="3375"/>
    <n v="843.75"/>
    <n v="0.25"/>
  </r>
  <r>
    <m/>
    <x v="0"/>
    <n v="1185732"/>
    <x v="86"/>
    <x v="4"/>
    <x v="8"/>
    <s v="Miami"/>
    <x v="3"/>
    <n v="0.45"/>
    <n v="7250"/>
    <n v="3262.5"/>
    <n v="978.75"/>
    <n v="0.3"/>
  </r>
  <r>
    <m/>
    <x v="0"/>
    <n v="1185732"/>
    <x v="86"/>
    <x v="4"/>
    <x v="8"/>
    <s v="Miami"/>
    <x v="4"/>
    <n v="0.55000000000000004"/>
    <n v="7250"/>
    <n v="3987.5000000000005"/>
    <n v="1395.625"/>
    <n v="0.35"/>
  </r>
  <r>
    <m/>
    <x v="0"/>
    <n v="1185732"/>
    <x v="86"/>
    <x v="4"/>
    <x v="8"/>
    <s v="Miami"/>
    <x v="5"/>
    <n v="0.60000000000000009"/>
    <n v="8250"/>
    <n v="4950.0000000000009"/>
    <n v="2475.0000000000005"/>
    <n v="0.5"/>
  </r>
  <r>
    <m/>
    <x v="0"/>
    <n v="1185732"/>
    <x v="87"/>
    <x v="4"/>
    <x v="8"/>
    <s v="Miami"/>
    <x v="0"/>
    <n v="0.60000000000000009"/>
    <n v="10000"/>
    <n v="6000.0000000000009"/>
    <n v="2700.0000000000005"/>
    <n v="0.45"/>
  </r>
  <r>
    <m/>
    <x v="0"/>
    <n v="1185732"/>
    <x v="87"/>
    <x v="4"/>
    <x v="8"/>
    <s v="Miami"/>
    <x v="1"/>
    <n v="0.50000000000000011"/>
    <n v="8250"/>
    <n v="4125.0000000000009"/>
    <n v="1443.7500000000002"/>
    <n v="0.35"/>
  </r>
  <r>
    <m/>
    <x v="0"/>
    <n v="1185732"/>
    <x v="87"/>
    <x v="4"/>
    <x v="8"/>
    <s v="Miami"/>
    <x v="2"/>
    <n v="0.50000000000000011"/>
    <n v="7250"/>
    <n v="3625.0000000000009"/>
    <n v="906.25000000000023"/>
    <n v="0.25"/>
  </r>
  <r>
    <m/>
    <x v="0"/>
    <n v="1185732"/>
    <x v="87"/>
    <x v="4"/>
    <x v="8"/>
    <s v="Miami"/>
    <x v="3"/>
    <n v="0.50000000000000011"/>
    <n v="7000"/>
    <n v="3500.0000000000009"/>
    <n v="1050.0000000000002"/>
    <n v="0.3"/>
  </r>
  <r>
    <m/>
    <x v="0"/>
    <n v="1185732"/>
    <x v="87"/>
    <x v="4"/>
    <x v="8"/>
    <s v="Miami"/>
    <x v="4"/>
    <n v="0.60000000000000009"/>
    <n v="7000"/>
    <n v="4200.0000000000009"/>
    <n v="1470.0000000000002"/>
    <n v="0.35"/>
  </r>
  <r>
    <m/>
    <x v="0"/>
    <n v="1185732"/>
    <x v="87"/>
    <x v="4"/>
    <x v="8"/>
    <s v="Miami"/>
    <x v="5"/>
    <n v="0.65"/>
    <n v="8250"/>
    <n v="5362.5"/>
    <n v="2681.25"/>
    <n v="0.5"/>
  </r>
  <r>
    <m/>
    <x v="0"/>
    <n v="1185732"/>
    <x v="88"/>
    <x v="4"/>
    <x v="8"/>
    <s v="Miami"/>
    <x v="0"/>
    <n v="0.60000000000000009"/>
    <n v="9750"/>
    <n v="5850.0000000000009"/>
    <n v="2632.5000000000005"/>
    <n v="0.45"/>
  </r>
  <r>
    <m/>
    <x v="0"/>
    <n v="1185732"/>
    <x v="88"/>
    <x v="4"/>
    <x v="8"/>
    <s v="Miami"/>
    <x v="1"/>
    <n v="0.50000000000000011"/>
    <n v="8000"/>
    <n v="4000.0000000000009"/>
    <n v="1400.0000000000002"/>
    <n v="0.35"/>
  </r>
  <r>
    <m/>
    <x v="0"/>
    <n v="1185732"/>
    <x v="88"/>
    <x v="4"/>
    <x v="8"/>
    <s v="Miami"/>
    <x v="2"/>
    <n v="0.50000000000000011"/>
    <n v="7450"/>
    <n v="3725.0000000000009"/>
    <n v="931.25000000000023"/>
    <n v="0.25"/>
  </r>
  <r>
    <m/>
    <x v="0"/>
    <n v="1185732"/>
    <x v="88"/>
    <x v="4"/>
    <x v="8"/>
    <s v="Miami"/>
    <x v="3"/>
    <n v="0.50000000000000011"/>
    <n v="7750"/>
    <n v="3875.0000000000009"/>
    <n v="1162.5000000000002"/>
    <n v="0.3"/>
  </r>
  <r>
    <m/>
    <x v="0"/>
    <n v="1185732"/>
    <x v="88"/>
    <x v="4"/>
    <x v="8"/>
    <s v="Miami"/>
    <x v="4"/>
    <n v="0.65"/>
    <n v="7500"/>
    <n v="4875"/>
    <n v="1706.25"/>
    <n v="0.35"/>
  </r>
  <r>
    <m/>
    <x v="0"/>
    <n v="1185732"/>
    <x v="88"/>
    <x v="4"/>
    <x v="8"/>
    <s v="Miami"/>
    <x v="5"/>
    <n v="0.7"/>
    <n v="8500"/>
    <n v="5950"/>
    <n v="2975"/>
    <n v="0.5"/>
  </r>
  <r>
    <m/>
    <x v="0"/>
    <n v="1185732"/>
    <x v="89"/>
    <x v="4"/>
    <x v="8"/>
    <s v="Miami"/>
    <x v="0"/>
    <n v="0.65"/>
    <n v="10750"/>
    <n v="6987.5"/>
    <n v="3144.375"/>
    <n v="0.45"/>
  </r>
  <r>
    <m/>
    <x v="0"/>
    <n v="1185732"/>
    <x v="89"/>
    <x v="4"/>
    <x v="8"/>
    <s v="Miami"/>
    <x v="1"/>
    <n v="0.55000000000000004"/>
    <n v="8750"/>
    <n v="4812.5"/>
    <n v="1684.375"/>
    <n v="0.35"/>
  </r>
  <r>
    <m/>
    <x v="0"/>
    <n v="1185732"/>
    <x v="89"/>
    <x v="4"/>
    <x v="8"/>
    <s v="Miami"/>
    <x v="2"/>
    <n v="0.55000000000000004"/>
    <n v="8250"/>
    <n v="4537.5"/>
    <n v="1134.375"/>
    <n v="0.25"/>
  </r>
  <r>
    <m/>
    <x v="0"/>
    <n v="1185732"/>
    <x v="89"/>
    <x v="4"/>
    <x v="8"/>
    <s v="Miami"/>
    <x v="3"/>
    <n v="0.55000000000000004"/>
    <n v="7750"/>
    <n v="4262.5"/>
    <n v="1278.75"/>
    <n v="0.3"/>
  </r>
  <r>
    <m/>
    <x v="0"/>
    <n v="1185732"/>
    <x v="89"/>
    <x v="4"/>
    <x v="8"/>
    <s v="Miami"/>
    <x v="4"/>
    <n v="0.65"/>
    <n v="7750"/>
    <n v="5037.5"/>
    <n v="1763.125"/>
    <n v="0.35"/>
  </r>
  <r>
    <m/>
    <x v="0"/>
    <n v="1185732"/>
    <x v="89"/>
    <x v="4"/>
    <x v="8"/>
    <s v="Miami"/>
    <x v="5"/>
    <n v="0.7"/>
    <n v="8750"/>
    <n v="6125"/>
    <n v="3062.5"/>
    <n v="0.5"/>
  </r>
  <r>
    <s v="x"/>
    <x v="0"/>
    <n v="1185732"/>
    <x v="90"/>
    <x v="3"/>
    <x v="9"/>
    <s v="Minneapolis"/>
    <x v="0"/>
    <n v="0.35"/>
    <n v="4500"/>
    <n v="1575"/>
    <n v="551.25"/>
    <n v="0.35000000000000003"/>
  </r>
  <r>
    <m/>
    <x v="0"/>
    <n v="1185732"/>
    <x v="90"/>
    <x v="3"/>
    <x v="9"/>
    <s v="Minneapolis"/>
    <x v="1"/>
    <n v="0.35"/>
    <n v="2500"/>
    <n v="875"/>
    <n v="262.5"/>
    <n v="0.3"/>
  </r>
  <r>
    <m/>
    <x v="0"/>
    <n v="1185732"/>
    <x v="90"/>
    <x v="3"/>
    <x v="9"/>
    <s v="Minneapolis"/>
    <x v="2"/>
    <n v="0.25"/>
    <n v="2500"/>
    <n v="625"/>
    <n v="187.5"/>
    <n v="0.3"/>
  </r>
  <r>
    <m/>
    <x v="0"/>
    <n v="1185732"/>
    <x v="90"/>
    <x v="3"/>
    <x v="9"/>
    <s v="Minneapolis"/>
    <x v="3"/>
    <n v="0.30000000000000004"/>
    <n v="1000"/>
    <n v="300.00000000000006"/>
    <n v="105.00000000000003"/>
    <n v="0.35000000000000003"/>
  </r>
  <r>
    <m/>
    <x v="0"/>
    <n v="1185732"/>
    <x v="90"/>
    <x v="3"/>
    <x v="9"/>
    <s v="Minneapolis"/>
    <x v="4"/>
    <n v="0.44999999999999996"/>
    <n v="1500"/>
    <n v="674.99999999999989"/>
    <n v="202.49999999999997"/>
    <n v="0.3"/>
  </r>
  <r>
    <m/>
    <x v="0"/>
    <n v="1185732"/>
    <x v="90"/>
    <x v="3"/>
    <x v="9"/>
    <s v="Minneapolis"/>
    <x v="5"/>
    <n v="0.35"/>
    <n v="2500"/>
    <n v="875"/>
    <n v="393.75"/>
    <n v="0.45"/>
  </r>
  <r>
    <m/>
    <x v="0"/>
    <n v="1185732"/>
    <x v="91"/>
    <x v="3"/>
    <x v="9"/>
    <s v="Minneapolis"/>
    <x v="0"/>
    <n v="0.35"/>
    <n v="5000"/>
    <n v="1750"/>
    <n v="612.50000000000011"/>
    <n v="0.35000000000000003"/>
  </r>
  <r>
    <m/>
    <x v="0"/>
    <n v="1185732"/>
    <x v="91"/>
    <x v="3"/>
    <x v="9"/>
    <s v="Minneapolis"/>
    <x v="1"/>
    <n v="0.35"/>
    <n v="1500"/>
    <n v="525"/>
    <n v="157.5"/>
    <n v="0.3"/>
  </r>
  <r>
    <m/>
    <x v="0"/>
    <n v="1185732"/>
    <x v="91"/>
    <x v="3"/>
    <x v="9"/>
    <s v="Minneapolis"/>
    <x v="2"/>
    <n v="0.25"/>
    <n v="2000"/>
    <n v="500"/>
    <n v="150"/>
    <n v="0.3"/>
  </r>
  <r>
    <m/>
    <x v="0"/>
    <n v="1185732"/>
    <x v="91"/>
    <x v="3"/>
    <x v="9"/>
    <s v="Minneapolis"/>
    <x v="3"/>
    <n v="0.30000000000000004"/>
    <n v="750"/>
    <n v="225.00000000000003"/>
    <n v="78.750000000000014"/>
    <n v="0.35000000000000003"/>
  </r>
  <r>
    <m/>
    <x v="0"/>
    <n v="1185732"/>
    <x v="91"/>
    <x v="3"/>
    <x v="9"/>
    <s v="Minneapolis"/>
    <x v="4"/>
    <n v="0.44999999999999996"/>
    <n v="1500"/>
    <n v="674.99999999999989"/>
    <n v="202.49999999999997"/>
    <n v="0.3"/>
  </r>
  <r>
    <m/>
    <x v="0"/>
    <n v="1185732"/>
    <x v="91"/>
    <x v="3"/>
    <x v="9"/>
    <s v="Minneapolis"/>
    <x v="5"/>
    <n v="0.35"/>
    <n v="2250"/>
    <n v="787.5"/>
    <n v="354.375"/>
    <n v="0.45"/>
  </r>
  <r>
    <m/>
    <x v="0"/>
    <n v="1185732"/>
    <x v="92"/>
    <x v="3"/>
    <x v="9"/>
    <s v="Minneapolis"/>
    <x v="0"/>
    <n v="0.4"/>
    <n v="4450"/>
    <n v="1780"/>
    <n v="623.00000000000011"/>
    <n v="0.35000000000000003"/>
  </r>
  <r>
    <m/>
    <x v="0"/>
    <n v="1185732"/>
    <x v="92"/>
    <x v="3"/>
    <x v="9"/>
    <s v="Minneapolis"/>
    <x v="1"/>
    <n v="0.4"/>
    <n v="1250"/>
    <n v="500"/>
    <n v="150"/>
    <n v="0.3"/>
  </r>
  <r>
    <m/>
    <x v="0"/>
    <n v="1185732"/>
    <x v="92"/>
    <x v="3"/>
    <x v="9"/>
    <s v="Minneapolis"/>
    <x v="2"/>
    <n v="0.30000000000000004"/>
    <n v="1750"/>
    <n v="525.00000000000011"/>
    <n v="157.50000000000003"/>
    <n v="0.3"/>
  </r>
  <r>
    <m/>
    <x v="0"/>
    <n v="1185732"/>
    <x v="92"/>
    <x v="3"/>
    <x v="9"/>
    <s v="Minneapolis"/>
    <x v="3"/>
    <n v="0.35"/>
    <n v="250"/>
    <n v="87.5"/>
    <n v="30.625000000000004"/>
    <n v="0.35000000000000003"/>
  </r>
  <r>
    <m/>
    <x v="0"/>
    <n v="1185732"/>
    <x v="92"/>
    <x v="3"/>
    <x v="9"/>
    <s v="Minneapolis"/>
    <x v="4"/>
    <n v="0.5"/>
    <n v="750"/>
    <n v="375"/>
    <n v="112.5"/>
    <n v="0.3"/>
  </r>
  <r>
    <m/>
    <x v="0"/>
    <n v="1185732"/>
    <x v="92"/>
    <x v="3"/>
    <x v="9"/>
    <s v="Minneapolis"/>
    <x v="5"/>
    <n v="0.4"/>
    <n v="1750"/>
    <n v="700"/>
    <n v="315"/>
    <n v="0.45"/>
  </r>
  <r>
    <m/>
    <x v="0"/>
    <n v="1185732"/>
    <x v="93"/>
    <x v="3"/>
    <x v="9"/>
    <s v="Minneapolis"/>
    <x v="0"/>
    <n v="0.4"/>
    <n v="4000"/>
    <n v="1600"/>
    <n v="560"/>
    <n v="0.35000000000000003"/>
  </r>
  <r>
    <m/>
    <x v="0"/>
    <n v="1185732"/>
    <x v="93"/>
    <x v="3"/>
    <x v="9"/>
    <s v="Minneapolis"/>
    <x v="1"/>
    <n v="0.4"/>
    <n v="1000"/>
    <n v="400"/>
    <n v="120"/>
    <n v="0.3"/>
  </r>
  <r>
    <m/>
    <x v="0"/>
    <n v="1185732"/>
    <x v="93"/>
    <x v="3"/>
    <x v="9"/>
    <s v="Minneapolis"/>
    <x v="2"/>
    <n v="0.30000000000000004"/>
    <n v="1000"/>
    <n v="300.00000000000006"/>
    <n v="90.000000000000014"/>
    <n v="0.3"/>
  </r>
  <r>
    <m/>
    <x v="0"/>
    <n v="1185732"/>
    <x v="93"/>
    <x v="3"/>
    <x v="9"/>
    <s v="Minneapolis"/>
    <x v="3"/>
    <n v="0.35"/>
    <n v="250"/>
    <n v="87.5"/>
    <n v="30.625000000000004"/>
    <n v="0.35000000000000003"/>
  </r>
  <r>
    <m/>
    <x v="0"/>
    <n v="1185732"/>
    <x v="93"/>
    <x v="3"/>
    <x v="9"/>
    <s v="Minneapolis"/>
    <x v="4"/>
    <n v="0.5"/>
    <n v="500"/>
    <n v="250"/>
    <n v="75"/>
    <n v="0.3"/>
  </r>
  <r>
    <m/>
    <x v="0"/>
    <n v="1185732"/>
    <x v="93"/>
    <x v="3"/>
    <x v="9"/>
    <s v="Minneapolis"/>
    <x v="5"/>
    <n v="0.4"/>
    <n v="1750"/>
    <n v="700"/>
    <n v="315"/>
    <n v="0.45"/>
  </r>
  <r>
    <m/>
    <x v="0"/>
    <n v="1185732"/>
    <x v="94"/>
    <x v="3"/>
    <x v="9"/>
    <s v="Minneapolis"/>
    <x v="0"/>
    <n v="0.5"/>
    <n v="4450"/>
    <n v="2225"/>
    <n v="778.75000000000011"/>
    <n v="0.35000000000000003"/>
  </r>
  <r>
    <m/>
    <x v="0"/>
    <n v="1185732"/>
    <x v="94"/>
    <x v="3"/>
    <x v="9"/>
    <s v="Minneapolis"/>
    <x v="1"/>
    <n v="0.45000000000000007"/>
    <n v="1500"/>
    <n v="675.00000000000011"/>
    <n v="202.50000000000003"/>
    <n v="0.3"/>
  </r>
  <r>
    <m/>
    <x v="0"/>
    <n v="1185732"/>
    <x v="94"/>
    <x v="3"/>
    <x v="9"/>
    <s v="Minneapolis"/>
    <x v="2"/>
    <n v="0.4"/>
    <n v="1250"/>
    <n v="500"/>
    <n v="150"/>
    <n v="0.3"/>
  </r>
  <r>
    <m/>
    <x v="0"/>
    <n v="1185732"/>
    <x v="94"/>
    <x v="3"/>
    <x v="9"/>
    <s v="Minneapolis"/>
    <x v="3"/>
    <n v="0.4"/>
    <n v="500"/>
    <n v="200"/>
    <n v="70"/>
    <n v="0.35000000000000003"/>
  </r>
  <r>
    <m/>
    <x v="0"/>
    <n v="1185732"/>
    <x v="94"/>
    <x v="3"/>
    <x v="9"/>
    <s v="Minneapolis"/>
    <x v="4"/>
    <n v="0.54999999999999993"/>
    <n v="750"/>
    <n v="412.49999999999994"/>
    <n v="123.74999999999997"/>
    <n v="0.3"/>
  </r>
  <r>
    <m/>
    <x v="0"/>
    <n v="1185732"/>
    <x v="94"/>
    <x v="3"/>
    <x v="9"/>
    <s v="Minneapolis"/>
    <x v="5"/>
    <n v="0.6"/>
    <n v="1750"/>
    <n v="1050"/>
    <n v="472.5"/>
    <n v="0.45"/>
  </r>
  <r>
    <m/>
    <x v="0"/>
    <n v="1185732"/>
    <x v="95"/>
    <x v="3"/>
    <x v="9"/>
    <s v="Minneapolis"/>
    <x v="0"/>
    <n v="0.45"/>
    <n v="4250"/>
    <n v="1912.5"/>
    <n v="669.37500000000011"/>
    <n v="0.35000000000000003"/>
  </r>
  <r>
    <m/>
    <x v="0"/>
    <n v="1185732"/>
    <x v="95"/>
    <x v="3"/>
    <x v="9"/>
    <s v="Minneapolis"/>
    <x v="1"/>
    <n v="0.40000000000000008"/>
    <n v="1750"/>
    <n v="700.00000000000011"/>
    <n v="210.00000000000003"/>
    <n v="0.3"/>
  </r>
  <r>
    <m/>
    <x v="0"/>
    <n v="1185732"/>
    <x v="95"/>
    <x v="3"/>
    <x v="9"/>
    <s v="Minneapolis"/>
    <x v="2"/>
    <n v="0.35000000000000003"/>
    <n v="1750"/>
    <n v="612.50000000000011"/>
    <n v="183.75000000000003"/>
    <n v="0.3"/>
  </r>
  <r>
    <m/>
    <x v="0"/>
    <n v="1185732"/>
    <x v="95"/>
    <x v="3"/>
    <x v="9"/>
    <s v="Minneapolis"/>
    <x v="3"/>
    <n v="0.35000000000000003"/>
    <n v="1500"/>
    <n v="525"/>
    <n v="183.75000000000003"/>
    <n v="0.35000000000000003"/>
  </r>
  <r>
    <m/>
    <x v="0"/>
    <n v="1185732"/>
    <x v="95"/>
    <x v="3"/>
    <x v="9"/>
    <s v="Minneapolis"/>
    <x v="4"/>
    <n v="0.5"/>
    <n v="1500"/>
    <n v="750"/>
    <n v="225"/>
    <n v="0.3"/>
  </r>
  <r>
    <m/>
    <x v="0"/>
    <n v="1185732"/>
    <x v="95"/>
    <x v="3"/>
    <x v="9"/>
    <s v="Minneapolis"/>
    <x v="5"/>
    <n v="0.55000000000000004"/>
    <n v="3250"/>
    <n v="1787.5000000000002"/>
    <n v="804.37500000000011"/>
    <n v="0.45"/>
  </r>
  <r>
    <m/>
    <x v="0"/>
    <n v="1185732"/>
    <x v="96"/>
    <x v="3"/>
    <x v="9"/>
    <s v="Minneapolis"/>
    <x v="0"/>
    <n v="0.5"/>
    <n v="5500"/>
    <n v="2750"/>
    <n v="962.50000000000011"/>
    <n v="0.35000000000000003"/>
  </r>
  <r>
    <m/>
    <x v="0"/>
    <n v="1185732"/>
    <x v="96"/>
    <x v="3"/>
    <x v="9"/>
    <s v="Minneapolis"/>
    <x v="1"/>
    <n v="0.45000000000000007"/>
    <n v="3000"/>
    <n v="1350.0000000000002"/>
    <n v="405.00000000000006"/>
    <n v="0.3"/>
  </r>
  <r>
    <m/>
    <x v="0"/>
    <n v="1185732"/>
    <x v="96"/>
    <x v="3"/>
    <x v="9"/>
    <s v="Minneapolis"/>
    <x v="2"/>
    <n v="0.4"/>
    <n v="2250"/>
    <n v="900"/>
    <n v="270"/>
    <n v="0.3"/>
  </r>
  <r>
    <m/>
    <x v="0"/>
    <n v="1185732"/>
    <x v="96"/>
    <x v="3"/>
    <x v="9"/>
    <s v="Minneapolis"/>
    <x v="3"/>
    <n v="0.4"/>
    <n v="1750"/>
    <n v="700"/>
    <n v="245.00000000000003"/>
    <n v="0.35000000000000003"/>
  </r>
  <r>
    <m/>
    <x v="0"/>
    <n v="1185732"/>
    <x v="96"/>
    <x v="3"/>
    <x v="9"/>
    <s v="Minneapolis"/>
    <x v="4"/>
    <n v="0.5"/>
    <n v="2000"/>
    <n v="1000"/>
    <n v="300"/>
    <n v="0.3"/>
  </r>
  <r>
    <m/>
    <x v="0"/>
    <n v="1185732"/>
    <x v="96"/>
    <x v="3"/>
    <x v="9"/>
    <s v="Minneapolis"/>
    <x v="5"/>
    <n v="0.55000000000000004"/>
    <n v="3750"/>
    <n v="2062.5"/>
    <n v="928.125"/>
    <n v="0.45"/>
  </r>
  <r>
    <m/>
    <x v="0"/>
    <n v="1185732"/>
    <x v="97"/>
    <x v="3"/>
    <x v="9"/>
    <s v="Minneapolis"/>
    <x v="0"/>
    <n v="0.5"/>
    <n v="5250"/>
    <n v="2625"/>
    <n v="918.75000000000011"/>
    <n v="0.35000000000000003"/>
  </r>
  <r>
    <m/>
    <x v="0"/>
    <n v="1185732"/>
    <x v="97"/>
    <x v="3"/>
    <x v="9"/>
    <s v="Minneapolis"/>
    <x v="1"/>
    <n v="0.45000000000000007"/>
    <n v="3000"/>
    <n v="1350.0000000000002"/>
    <n v="405.00000000000006"/>
    <n v="0.3"/>
  </r>
  <r>
    <m/>
    <x v="0"/>
    <n v="1185732"/>
    <x v="97"/>
    <x v="3"/>
    <x v="9"/>
    <s v="Minneapolis"/>
    <x v="2"/>
    <n v="0.4"/>
    <n v="2250"/>
    <n v="900"/>
    <n v="270"/>
    <n v="0.3"/>
  </r>
  <r>
    <m/>
    <x v="0"/>
    <n v="1185732"/>
    <x v="97"/>
    <x v="3"/>
    <x v="9"/>
    <s v="Minneapolis"/>
    <x v="3"/>
    <n v="0.35000000000000003"/>
    <n v="1750"/>
    <n v="612.50000000000011"/>
    <n v="214.37500000000006"/>
    <n v="0.35000000000000003"/>
  </r>
  <r>
    <m/>
    <x v="0"/>
    <n v="1185732"/>
    <x v="97"/>
    <x v="3"/>
    <x v="9"/>
    <s v="Minneapolis"/>
    <x v="4"/>
    <n v="0.45"/>
    <n v="1500"/>
    <n v="675"/>
    <n v="202.5"/>
    <n v="0.3"/>
  </r>
  <r>
    <m/>
    <x v="0"/>
    <n v="1185732"/>
    <x v="97"/>
    <x v="3"/>
    <x v="9"/>
    <s v="Minneapolis"/>
    <x v="5"/>
    <n v="0.5"/>
    <n v="3250"/>
    <n v="1625"/>
    <n v="731.25"/>
    <n v="0.45"/>
  </r>
  <r>
    <m/>
    <x v="0"/>
    <n v="1185732"/>
    <x v="98"/>
    <x v="3"/>
    <x v="9"/>
    <s v="Minneapolis"/>
    <x v="0"/>
    <n v="0.45"/>
    <n v="4500"/>
    <n v="2025"/>
    <n v="708.75000000000011"/>
    <n v="0.35000000000000003"/>
  </r>
  <r>
    <m/>
    <x v="0"/>
    <n v="1185732"/>
    <x v="98"/>
    <x v="3"/>
    <x v="9"/>
    <s v="Minneapolis"/>
    <x v="1"/>
    <n v="0.40000000000000008"/>
    <n v="2500"/>
    <n v="1000.0000000000002"/>
    <n v="300.00000000000006"/>
    <n v="0.3"/>
  </r>
  <r>
    <m/>
    <x v="0"/>
    <n v="1185732"/>
    <x v="98"/>
    <x v="3"/>
    <x v="9"/>
    <s v="Minneapolis"/>
    <x v="2"/>
    <n v="0.25"/>
    <n v="1500"/>
    <n v="375"/>
    <n v="112.5"/>
    <n v="0.3"/>
  </r>
  <r>
    <m/>
    <x v="0"/>
    <n v="1185732"/>
    <x v="98"/>
    <x v="3"/>
    <x v="9"/>
    <s v="Minneapolis"/>
    <x v="3"/>
    <n v="0.25"/>
    <n v="1250"/>
    <n v="312.5"/>
    <n v="109.37500000000001"/>
    <n v="0.35000000000000003"/>
  </r>
  <r>
    <m/>
    <x v="0"/>
    <n v="1185732"/>
    <x v="98"/>
    <x v="3"/>
    <x v="9"/>
    <s v="Minneapolis"/>
    <x v="4"/>
    <n v="0.35"/>
    <n v="1250"/>
    <n v="437.5"/>
    <n v="131.25"/>
    <n v="0.3"/>
  </r>
  <r>
    <m/>
    <x v="0"/>
    <n v="1185732"/>
    <x v="98"/>
    <x v="3"/>
    <x v="9"/>
    <s v="Minneapolis"/>
    <x v="5"/>
    <n v="0.4"/>
    <n v="2000"/>
    <n v="800"/>
    <n v="360"/>
    <n v="0.45"/>
  </r>
  <r>
    <m/>
    <x v="0"/>
    <n v="1185732"/>
    <x v="99"/>
    <x v="3"/>
    <x v="9"/>
    <s v="Minneapolis"/>
    <x v="0"/>
    <n v="0.44999999999999996"/>
    <n v="3750"/>
    <n v="1687.4999999999998"/>
    <n v="590.625"/>
    <n v="0.35000000000000003"/>
  </r>
  <r>
    <m/>
    <x v="0"/>
    <n v="1185732"/>
    <x v="99"/>
    <x v="3"/>
    <x v="9"/>
    <s v="Minneapolis"/>
    <x v="1"/>
    <n v="0.35"/>
    <n v="2000"/>
    <n v="700"/>
    <n v="210"/>
    <n v="0.3"/>
  </r>
  <r>
    <m/>
    <x v="0"/>
    <n v="1185732"/>
    <x v="99"/>
    <x v="3"/>
    <x v="9"/>
    <s v="Minneapolis"/>
    <x v="2"/>
    <n v="0.35"/>
    <n v="1000"/>
    <n v="350"/>
    <n v="105"/>
    <n v="0.3"/>
  </r>
  <r>
    <m/>
    <x v="0"/>
    <n v="1185732"/>
    <x v="99"/>
    <x v="3"/>
    <x v="9"/>
    <s v="Minneapolis"/>
    <x v="3"/>
    <n v="0.35"/>
    <n v="750"/>
    <n v="262.5"/>
    <n v="91.875000000000014"/>
    <n v="0.35000000000000003"/>
  </r>
  <r>
    <m/>
    <x v="0"/>
    <n v="1185732"/>
    <x v="99"/>
    <x v="3"/>
    <x v="9"/>
    <s v="Minneapolis"/>
    <x v="4"/>
    <n v="0.44999999999999996"/>
    <n v="750"/>
    <n v="337.49999999999994"/>
    <n v="101.24999999999999"/>
    <n v="0.3"/>
  </r>
  <r>
    <m/>
    <x v="0"/>
    <n v="1185732"/>
    <x v="99"/>
    <x v="3"/>
    <x v="9"/>
    <s v="Minneapolis"/>
    <x v="5"/>
    <n v="0.49999999999999989"/>
    <n v="2000"/>
    <n v="999.99999999999977"/>
    <n v="449.99999999999989"/>
    <n v="0.45"/>
  </r>
  <r>
    <m/>
    <x v="0"/>
    <n v="1185732"/>
    <x v="100"/>
    <x v="3"/>
    <x v="9"/>
    <s v="Minneapolis"/>
    <x v="0"/>
    <n v="0.5"/>
    <n v="3500"/>
    <n v="1750"/>
    <n v="612.50000000000011"/>
    <n v="0.35000000000000003"/>
  </r>
  <r>
    <m/>
    <x v="0"/>
    <n v="1185732"/>
    <x v="100"/>
    <x v="3"/>
    <x v="9"/>
    <s v="Minneapolis"/>
    <x v="1"/>
    <n v="0.4"/>
    <n v="2000"/>
    <n v="800"/>
    <n v="240"/>
    <n v="0.3"/>
  </r>
  <r>
    <m/>
    <x v="0"/>
    <n v="1185732"/>
    <x v="100"/>
    <x v="3"/>
    <x v="9"/>
    <s v="Minneapolis"/>
    <x v="2"/>
    <n v="0.4"/>
    <n v="1450"/>
    <n v="580"/>
    <n v="174"/>
    <n v="0.3"/>
  </r>
  <r>
    <m/>
    <x v="0"/>
    <n v="1185732"/>
    <x v="100"/>
    <x v="3"/>
    <x v="9"/>
    <s v="Minneapolis"/>
    <x v="3"/>
    <n v="0.4"/>
    <n v="1500"/>
    <n v="600"/>
    <n v="210.00000000000003"/>
    <n v="0.35000000000000003"/>
  </r>
  <r>
    <m/>
    <x v="0"/>
    <n v="1185732"/>
    <x v="100"/>
    <x v="3"/>
    <x v="9"/>
    <s v="Minneapolis"/>
    <x v="4"/>
    <n v="0.54999999999999993"/>
    <n v="1250"/>
    <n v="687.49999999999989"/>
    <n v="206.24999999999997"/>
    <n v="0.3"/>
  </r>
  <r>
    <m/>
    <x v="0"/>
    <n v="1185732"/>
    <x v="100"/>
    <x v="3"/>
    <x v="9"/>
    <s v="Minneapolis"/>
    <x v="5"/>
    <n v="0.59999999999999987"/>
    <n v="2250"/>
    <n v="1349.9999999999998"/>
    <n v="607.49999999999989"/>
    <n v="0.45"/>
  </r>
  <r>
    <m/>
    <x v="0"/>
    <n v="1185732"/>
    <x v="101"/>
    <x v="3"/>
    <x v="9"/>
    <s v="Minneapolis"/>
    <x v="0"/>
    <n v="0.54999999999999993"/>
    <n v="4750"/>
    <n v="2612.4999999999995"/>
    <n v="914.37499999999989"/>
    <n v="0.35000000000000003"/>
  </r>
  <r>
    <m/>
    <x v="0"/>
    <n v="1185732"/>
    <x v="101"/>
    <x v="3"/>
    <x v="9"/>
    <s v="Minneapolis"/>
    <x v="1"/>
    <n v="0.45"/>
    <n v="2750"/>
    <n v="1237.5"/>
    <n v="371.25"/>
    <n v="0.3"/>
  </r>
  <r>
    <m/>
    <x v="0"/>
    <n v="1185732"/>
    <x v="101"/>
    <x v="3"/>
    <x v="9"/>
    <s v="Minneapolis"/>
    <x v="2"/>
    <n v="0.45"/>
    <n v="2250"/>
    <n v="1012.5"/>
    <n v="303.75"/>
    <n v="0.3"/>
  </r>
  <r>
    <m/>
    <x v="0"/>
    <n v="1185732"/>
    <x v="101"/>
    <x v="3"/>
    <x v="9"/>
    <s v="Minneapolis"/>
    <x v="3"/>
    <n v="0.45"/>
    <n v="1750"/>
    <n v="787.5"/>
    <n v="275.625"/>
    <n v="0.35000000000000003"/>
  </r>
  <r>
    <m/>
    <x v="0"/>
    <n v="1185732"/>
    <x v="101"/>
    <x v="3"/>
    <x v="9"/>
    <s v="Minneapolis"/>
    <x v="4"/>
    <n v="0.54999999999999993"/>
    <n v="1750"/>
    <n v="962.49999999999989"/>
    <n v="288.74999999999994"/>
    <n v="0.3"/>
  </r>
  <r>
    <m/>
    <x v="0"/>
    <n v="1185732"/>
    <x v="101"/>
    <x v="3"/>
    <x v="9"/>
    <s v="Minneapolis"/>
    <x v="5"/>
    <n v="0.59999999999999987"/>
    <n v="2750"/>
    <n v="1649.9999999999995"/>
    <n v="742.49999999999977"/>
    <n v="0.45"/>
  </r>
  <r>
    <s v="x"/>
    <x v="3"/>
    <n v="1189833"/>
    <x v="102"/>
    <x v="3"/>
    <x v="10"/>
    <s v="Billings"/>
    <x v="0"/>
    <n v="0.35"/>
    <n v="4750"/>
    <n v="1662.5"/>
    <n v="748.125"/>
    <n v="0.45"/>
  </r>
  <r>
    <m/>
    <x v="3"/>
    <n v="1189833"/>
    <x v="102"/>
    <x v="3"/>
    <x v="10"/>
    <s v="Billings"/>
    <x v="1"/>
    <n v="0.45"/>
    <n v="4750"/>
    <n v="2137.5"/>
    <n v="641.25"/>
    <n v="0.3"/>
  </r>
  <r>
    <m/>
    <x v="3"/>
    <n v="1189833"/>
    <x v="102"/>
    <x v="3"/>
    <x v="10"/>
    <s v="Billings"/>
    <x v="2"/>
    <n v="0.45"/>
    <n v="4750"/>
    <n v="2137.5"/>
    <n v="961.875"/>
    <n v="0.45"/>
  </r>
  <r>
    <m/>
    <x v="3"/>
    <n v="1189833"/>
    <x v="102"/>
    <x v="3"/>
    <x v="10"/>
    <s v="Billings"/>
    <x v="3"/>
    <n v="0.45"/>
    <n v="3250"/>
    <n v="1462.5"/>
    <n v="585"/>
    <n v="0.39999999999999997"/>
  </r>
  <r>
    <m/>
    <x v="3"/>
    <n v="1189833"/>
    <x v="102"/>
    <x v="3"/>
    <x v="10"/>
    <s v="Billings"/>
    <x v="4"/>
    <n v="0.5"/>
    <n v="2750"/>
    <n v="1375"/>
    <n v="825.00000000000011"/>
    <n v="0.60000000000000009"/>
  </r>
  <r>
    <m/>
    <x v="3"/>
    <n v="1189833"/>
    <x v="102"/>
    <x v="3"/>
    <x v="10"/>
    <s v="Billings"/>
    <x v="5"/>
    <n v="0.45"/>
    <n v="4750"/>
    <n v="2137.5"/>
    <n v="534.375"/>
    <n v="0.25"/>
  </r>
  <r>
    <m/>
    <x v="3"/>
    <n v="1189833"/>
    <x v="103"/>
    <x v="3"/>
    <x v="10"/>
    <s v="Billings"/>
    <x v="0"/>
    <n v="0.35"/>
    <n v="5250"/>
    <n v="1837.4999999999998"/>
    <n v="826.87499999999989"/>
    <n v="0.45"/>
  </r>
  <r>
    <m/>
    <x v="3"/>
    <n v="1189833"/>
    <x v="103"/>
    <x v="3"/>
    <x v="10"/>
    <s v="Billings"/>
    <x v="1"/>
    <n v="0.45"/>
    <n v="4250"/>
    <n v="1912.5"/>
    <n v="573.75"/>
    <n v="0.3"/>
  </r>
  <r>
    <m/>
    <x v="3"/>
    <n v="1189833"/>
    <x v="103"/>
    <x v="3"/>
    <x v="10"/>
    <s v="Billings"/>
    <x v="2"/>
    <n v="0.45"/>
    <n v="4500"/>
    <n v="2025"/>
    <n v="911.25"/>
    <n v="0.45"/>
  </r>
  <r>
    <m/>
    <x v="3"/>
    <n v="1189833"/>
    <x v="103"/>
    <x v="3"/>
    <x v="10"/>
    <s v="Billings"/>
    <x v="3"/>
    <n v="0.45"/>
    <n v="3000"/>
    <n v="1350"/>
    <n v="540"/>
    <n v="0.39999999999999997"/>
  </r>
  <r>
    <m/>
    <x v="3"/>
    <n v="1189833"/>
    <x v="103"/>
    <x v="3"/>
    <x v="10"/>
    <s v="Billings"/>
    <x v="4"/>
    <n v="0.5"/>
    <n v="2250"/>
    <n v="1125"/>
    <n v="675.00000000000011"/>
    <n v="0.60000000000000009"/>
  </r>
  <r>
    <m/>
    <x v="3"/>
    <n v="1189833"/>
    <x v="103"/>
    <x v="3"/>
    <x v="10"/>
    <s v="Billings"/>
    <x v="5"/>
    <n v="0.45"/>
    <n v="4250"/>
    <n v="1912.5"/>
    <n v="478.125"/>
    <n v="0.25"/>
  </r>
  <r>
    <m/>
    <x v="3"/>
    <n v="1189833"/>
    <x v="104"/>
    <x v="3"/>
    <x v="10"/>
    <s v="Billings"/>
    <x v="0"/>
    <n v="0.35"/>
    <n v="5750"/>
    <n v="2012.4999999999998"/>
    <n v="905.62499999999989"/>
    <n v="0.45"/>
  </r>
  <r>
    <m/>
    <x v="3"/>
    <n v="1189833"/>
    <x v="104"/>
    <x v="3"/>
    <x v="10"/>
    <s v="Billings"/>
    <x v="1"/>
    <n v="0.45"/>
    <n v="4250"/>
    <n v="1912.5"/>
    <n v="573.75"/>
    <n v="0.3"/>
  </r>
  <r>
    <m/>
    <x v="3"/>
    <n v="1189833"/>
    <x v="104"/>
    <x v="3"/>
    <x v="10"/>
    <s v="Billings"/>
    <x v="2"/>
    <n v="0.45"/>
    <n v="4250"/>
    <n v="1912.5"/>
    <n v="860.625"/>
    <n v="0.45"/>
  </r>
  <r>
    <m/>
    <x v="3"/>
    <n v="1189833"/>
    <x v="104"/>
    <x v="3"/>
    <x v="10"/>
    <s v="Billings"/>
    <x v="3"/>
    <n v="0.45"/>
    <n v="3250"/>
    <n v="1462.5"/>
    <n v="585"/>
    <n v="0.39999999999999997"/>
  </r>
  <r>
    <m/>
    <x v="3"/>
    <n v="1189833"/>
    <x v="104"/>
    <x v="3"/>
    <x v="10"/>
    <s v="Billings"/>
    <x v="4"/>
    <n v="0.5"/>
    <n v="2000"/>
    <n v="1000"/>
    <n v="600.00000000000011"/>
    <n v="0.60000000000000009"/>
  </r>
  <r>
    <m/>
    <x v="3"/>
    <n v="1189833"/>
    <x v="104"/>
    <x v="3"/>
    <x v="10"/>
    <s v="Billings"/>
    <x v="5"/>
    <n v="0.45"/>
    <n v="4000"/>
    <n v="1800"/>
    <n v="450"/>
    <n v="0.25"/>
  </r>
  <r>
    <m/>
    <x v="3"/>
    <n v="1189833"/>
    <x v="105"/>
    <x v="3"/>
    <x v="10"/>
    <s v="Billings"/>
    <x v="0"/>
    <n v="0.45"/>
    <n v="5750"/>
    <n v="2587.5"/>
    <n v="1164.375"/>
    <n v="0.45"/>
  </r>
  <r>
    <m/>
    <x v="3"/>
    <n v="1189833"/>
    <x v="105"/>
    <x v="3"/>
    <x v="10"/>
    <s v="Billings"/>
    <x v="1"/>
    <n v="0.45"/>
    <n v="3750"/>
    <n v="1687.5"/>
    <n v="506.25"/>
    <n v="0.3"/>
  </r>
  <r>
    <m/>
    <x v="3"/>
    <n v="1189833"/>
    <x v="105"/>
    <x v="3"/>
    <x v="10"/>
    <s v="Billings"/>
    <x v="2"/>
    <n v="0.45"/>
    <n v="4000"/>
    <n v="1800"/>
    <n v="810"/>
    <n v="0.45"/>
  </r>
  <r>
    <m/>
    <x v="3"/>
    <n v="1189833"/>
    <x v="105"/>
    <x v="3"/>
    <x v="10"/>
    <s v="Billings"/>
    <x v="3"/>
    <n v="0.4"/>
    <n v="3000"/>
    <n v="1200"/>
    <n v="479.99999999999994"/>
    <n v="0.39999999999999997"/>
  </r>
  <r>
    <m/>
    <x v="3"/>
    <n v="1189833"/>
    <x v="105"/>
    <x v="3"/>
    <x v="10"/>
    <s v="Billings"/>
    <x v="4"/>
    <n v="0.45"/>
    <n v="2000"/>
    <n v="900"/>
    <n v="540.00000000000011"/>
    <n v="0.60000000000000009"/>
  </r>
  <r>
    <m/>
    <x v="3"/>
    <n v="1189833"/>
    <x v="105"/>
    <x v="3"/>
    <x v="10"/>
    <s v="Billings"/>
    <x v="5"/>
    <n v="0.6"/>
    <n v="3750"/>
    <n v="2250"/>
    <n v="562.5"/>
    <n v="0.25"/>
  </r>
  <r>
    <m/>
    <x v="3"/>
    <n v="1189833"/>
    <x v="106"/>
    <x v="3"/>
    <x v="10"/>
    <s v="Billings"/>
    <x v="0"/>
    <n v="0.4"/>
    <n v="5750"/>
    <n v="2300"/>
    <n v="1035"/>
    <n v="0.45"/>
  </r>
  <r>
    <m/>
    <x v="3"/>
    <n v="1189833"/>
    <x v="106"/>
    <x v="3"/>
    <x v="10"/>
    <s v="Billings"/>
    <x v="1"/>
    <n v="0.45"/>
    <n v="4250"/>
    <n v="1912.5"/>
    <n v="573.75"/>
    <n v="0.3"/>
  </r>
  <r>
    <m/>
    <x v="3"/>
    <n v="1189833"/>
    <x v="106"/>
    <x v="3"/>
    <x v="10"/>
    <s v="Billings"/>
    <x v="2"/>
    <n v="0.45"/>
    <n v="4250"/>
    <n v="1912.5"/>
    <n v="860.625"/>
    <n v="0.45"/>
  </r>
  <r>
    <m/>
    <x v="3"/>
    <n v="1189833"/>
    <x v="106"/>
    <x v="3"/>
    <x v="10"/>
    <s v="Billings"/>
    <x v="3"/>
    <n v="0.4"/>
    <n v="3250"/>
    <n v="1300"/>
    <n v="520"/>
    <n v="0.39999999999999997"/>
  </r>
  <r>
    <m/>
    <x v="3"/>
    <n v="1189833"/>
    <x v="106"/>
    <x v="3"/>
    <x v="10"/>
    <s v="Billings"/>
    <x v="4"/>
    <n v="0.45"/>
    <n v="2250"/>
    <n v="1012.5"/>
    <n v="607.50000000000011"/>
    <n v="0.60000000000000009"/>
  </r>
  <r>
    <m/>
    <x v="3"/>
    <n v="1189833"/>
    <x v="106"/>
    <x v="3"/>
    <x v="10"/>
    <s v="Billings"/>
    <x v="5"/>
    <n v="0.6"/>
    <n v="4000"/>
    <n v="2400"/>
    <n v="600"/>
    <n v="0.25"/>
  </r>
  <r>
    <m/>
    <x v="3"/>
    <n v="1189833"/>
    <x v="107"/>
    <x v="3"/>
    <x v="10"/>
    <s v="Billings"/>
    <x v="0"/>
    <n v="0.4"/>
    <n v="6750"/>
    <n v="2700"/>
    <n v="1215"/>
    <n v="0.45"/>
  </r>
  <r>
    <m/>
    <x v="3"/>
    <n v="1189833"/>
    <x v="107"/>
    <x v="3"/>
    <x v="10"/>
    <s v="Billings"/>
    <x v="1"/>
    <n v="0.45"/>
    <n v="5250"/>
    <n v="2362.5"/>
    <n v="708.75"/>
    <n v="0.3"/>
  </r>
  <r>
    <m/>
    <x v="3"/>
    <n v="1189833"/>
    <x v="107"/>
    <x v="3"/>
    <x v="10"/>
    <s v="Billings"/>
    <x v="2"/>
    <n v="0.45"/>
    <n v="5500"/>
    <n v="2475"/>
    <n v="1113.75"/>
    <n v="0.45"/>
  </r>
  <r>
    <m/>
    <x v="3"/>
    <n v="1189833"/>
    <x v="107"/>
    <x v="3"/>
    <x v="10"/>
    <s v="Billings"/>
    <x v="3"/>
    <n v="0.4"/>
    <n v="4250"/>
    <n v="1700"/>
    <n v="680"/>
    <n v="0.39999999999999997"/>
  </r>
  <r>
    <m/>
    <x v="3"/>
    <n v="1189833"/>
    <x v="107"/>
    <x v="3"/>
    <x v="10"/>
    <s v="Billings"/>
    <x v="4"/>
    <n v="0.45"/>
    <n v="3000"/>
    <n v="1350"/>
    <n v="810.00000000000011"/>
    <n v="0.60000000000000009"/>
  </r>
  <r>
    <m/>
    <x v="3"/>
    <n v="1189833"/>
    <x v="107"/>
    <x v="3"/>
    <x v="10"/>
    <s v="Billings"/>
    <x v="5"/>
    <n v="0.6"/>
    <n v="6000"/>
    <n v="3600"/>
    <n v="900"/>
    <n v="0.25"/>
  </r>
  <r>
    <m/>
    <x v="3"/>
    <n v="1189833"/>
    <x v="108"/>
    <x v="3"/>
    <x v="10"/>
    <s v="Billings"/>
    <x v="0"/>
    <n v="0.4"/>
    <n v="7500"/>
    <n v="3000"/>
    <n v="1350"/>
    <n v="0.45"/>
  </r>
  <r>
    <m/>
    <x v="3"/>
    <n v="1189833"/>
    <x v="108"/>
    <x v="3"/>
    <x v="10"/>
    <s v="Billings"/>
    <x v="1"/>
    <n v="0.45"/>
    <n v="6000"/>
    <n v="2700"/>
    <n v="810"/>
    <n v="0.3"/>
  </r>
  <r>
    <m/>
    <x v="3"/>
    <n v="1189833"/>
    <x v="108"/>
    <x v="3"/>
    <x v="10"/>
    <s v="Billings"/>
    <x v="2"/>
    <n v="0.45"/>
    <n v="5500"/>
    <n v="2475"/>
    <n v="1113.75"/>
    <n v="0.45"/>
  </r>
  <r>
    <m/>
    <x v="3"/>
    <n v="1189833"/>
    <x v="108"/>
    <x v="3"/>
    <x v="10"/>
    <s v="Billings"/>
    <x v="3"/>
    <n v="0.4"/>
    <n v="4500"/>
    <n v="1800"/>
    <n v="719.99999999999989"/>
    <n v="0.39999999999999997"/>
  </r>
  <r>
    <m/>
    <x v="3"/>
    <n v="1189833"/>
    <x v="108"/>
    <x v="3"/>
    <x v="10"/>
    <s v="Billings"/>
    <x v="4"/>
    <n v="0.45"/>
    <n v="4750"/>
    <n v="2137.5"/>
    <n v="1282.5000000000002"/>
    <n v="0.60000000000000009"/>
  </r>
  <r>
    <m/>
    <x v="3"/>
    <n v="1189833"/>
    <x v="108"/>
    <x v="3"/>
    <x v="10"/>
    <s v="Billings"/>
    <x v="5"/>
    <n v="0.6"/>
    <n v="4750"/>
    <n v="2850"/>
    <n v="712.5"/>
    <n v="0.25"/>
  </r>
  <r>
    <m/>
    <x v="3"/>
    <n v="1189833"/>
    <x v="109"/>
    <x v="3"/>
    <x v="10"/>
    <s v="Billings"/>
    <x v="0"/>
    <n v="0.45"/>
    <n v="6750"/>
    <n v="3037.5"/>
    <n v="1366.875"/>
    <n v="0.45"/>
  </r>
  <r>
    <m/>
    <x v="3"/>
    <n v="1189833"/>
    <x v="109"/>
    <x v="3"/>
    <x v="10"/>
    <s v="Billings"/>
    <x v="1"/>
    <n v="0.55000000000000004"/>
    <n v="6250"/>
    <n v="3437.5000000000005"/>
    <n v="1031.25"/>
    <n v="0.3"/>
  </r>
  <r>
    <m/>
    <x v="3"/>
    <n v="1189833"/>
    <x v="109"/>
    <x v="3"/>
    <x v="10"/>
    <s v="Billings"/>
    <x v="2"/>
    <n v="0.5"/>
    <n v="5000"/>
    <n v="2500"/>
    <n v="1125"/>
    <n v="0.45"/>
  </r>
  <r>
    <m/>
    <x v="3"/>
    <n v="1189833"/>
    <x v="109"/>
    <x v="3"/>
    <x v="10"/>
    <s v="Billings"/>
    <x v="3"/>
    <n v="0.45"/>
    <n v="4250"/>
    <n v="1912.5"/>
    <n v="764.99999999999989"/>
    <n v="0.39999999999999997"/>
  </r>
  <r>
    <m/>
    <x v="3"/>
    <n v="1189833"/>
    <x v="109"/>
    <x v="3"/>
    <x v="10"/>
    <s v="Billings"/>
    <x v="4"/>
    <n v="0.54999999999999993"/>
    <n v="4250"/>
    <n v="2337.4999999999995"/>
    <n v="1402.5"/>
    <n v="0.60000000000000009"/>
  </r>
  <r>
    <m/>
    <x v="3"/>
    <n v="1189833"/>
    <x v="109"/>
    <x v="3"/>
    <x v="10"/>
    <s v="Billings"/>
    <x v="5"/>
    <n v="0.6"/>
    <n v="4000"/>
    <n v="2400"/>
    <n v="600"/>
    <n v="0.25"/>
  </r>
  <r>
    <m/>
    <x v="3"/>
    <n v="1189833"/>
    <x v="110"/>
    <x v="3"/>
    <x v="10"/>
    <s v="Billings"/>
    <x v="0"/>
    <n v="0.45"/>
    <n v="6000"/>
    <n v="2700"/>
    <n v="1215"/>
    <n v="0.45"/>
  </r>
  <r>
    <m/>
    <x v="3"/>
    <n v="1189833"/>
    <x v="110"/>
    <x v="3"/>
    <x v="10"/>
    <s v="Billings"/>
    <x v="1"/>
    <n v="0.5"/>
    <n v="6000"/>
    <n v="3000"/>
    <n v="900"/>
    <n v="0.3"/>
  </r>
  <r>
    <m/>
    <x v="3"/>
    <n v="1189833"/>
    <x v="110"/>
    <x v="3"/>
    <x v="10"/>
    <s v="Billings"/>
    <x v="2"/>
    <n v="0.45"/>
    <n v="4500"/>
    <n v="2025"/>
    <n v="911.25"/>
    <n v="0.45"/>
  </r>
  <r>
    <m/>
    <x v="3"/>
    <n v="1189833"/>
    <x v="110"/>
    <x v="3"/>
    <x v="10"/>
    <s v="Billings"/>
    <x v="3"/>
    <n v="0.45"/>
    <n v="4000"/>
    <n v="1800"/>
    <n v="719.99999999999989"/>
    <n v="0.39999999999999997"/>
  </r>
  <r>
    <m/>
    <x v="3"/>
    <n v="1189833"/>
    <x v="110"/>
    <x v="3"/>
    <x v="10"/>
    <s v="Billings"/>
    <x v="4"/>
    <n v="0.54999999999999993"/>
    <n v="4000"/>
    <n v="2199.9999999999995"/>
    <n v="1320"/>
    <n v="0.60000000000000009"/>
  </r>
  <r>
    <m/>
    <x v="3"/>
    <n v="1189833"/>
    <x v="110"/>
    <x v="3"/>
    <x v="10"/>
    <s v="Billings"/>
    <x v="5"/>
    <n v="0.6"/>
    <n v="4500"/>
    <n v="2700"/>
    <n v="675"/>
    <n v="0.25"/>
  </r>
  <r>
    <m/>
    <x v="3"/>
    <n v="1189833"/>
    <x v="111"/>
    <x v="3"/>
    <x v="10"/>
    <s v="Billings"/>
    <x v="0"/>
    <n v="0.45"/>
    <n v="5500"/>
    <n v="2475"/>
    <n v="1113.75"/>
    <n v="0.45"/>
  </r>
  <r>
    <m/>
    <x v="3"/>
    <n v="1189833"/>
    <x v="111"/>
    <x v="3"/>
    <x v="10"/>
    <s v="Billings"/>
    <x v="1"/>
    <n v="0.5"/>
    <n v="5500"/>
    <n v="2750"/>
    <n v="825"/>
    <n v="0.3"/>
  </r>
  <r>
    <m/>
    <x v="3"/>
    <n v="1189833"/>
    <x v="111"/>
    <x v="3"/>
    <x v="10"/>
    <s v="Billings"/>
    <x v="2"/>
    <n v="0.45"/>
    <n v="4000"/>
    <n v="1800"/>
    <n v="810"/>
    <n v="0.45"/>
  </r>
  <r>
    <m/>
    <x v="3"/>
    <n v="1189833"/>
    <x v="111"/>
    <x v="3"/>
    <x v="10"/>
    <s v="Billings"/>
    <x v="3"/>
    <n v="0.45"/>
    <n v="3750"/>
    <n v="1687.5"/>
    <n v="675"/>
    <n v="0.39999999999999997"/>
  </r>
  <r>
    <m/>
    <x v="3"/>
    <n v="1189833"/>
    <x v="111"/>
    <x v="3"/>
    <x v="10"/>
    <s v="Billings"/>
    <x v="4"/>
    <n v="0.54999999999999993"/>
    <n v="3500"/>
    <n v="1924.9999999999998"/>
    <n v="1155"/>
    <n v="0.60000000000000009"/>
  </r>
  <r>
    <m/>
    <x v="3"/>
    <n v="1189833"/>
    <x v="111"/>
    <x v="3"/>
    <x v="10"/>
    <s v="Billings"/>
    <x v="5"/>
    <n v="0.6"/>
    <n v="4000"/>
    <n v="2400"/>
    <n v="600"/>
    <n v="0.25"/>
  </r>
  <r>
    <m/>
    <x v="3"/>
    <n v="1189833"/>
    <x v="112"/>
    <x v="3"/>
    <x v="10"/>
    <s v="Billings"/>
    <x v="0"/>
    <n v="0.4"/>
    <n v="5750"/>
    <n v="2300"/>
    <n v="1035"/>
    <n v="0.45"/>
  </r>
  <r>
    <m/>
    <x v="3"/>
    <n v="1189833"/>
    <x v="112"/>
    <x v="3"/>
    <x v="10"/>
    <s v="Billings"/>
    <x v="1"/>
    <n v="0.45000000000000007"/>
    <n v="5750"/>
    <n v="2587.5000000000005"/>
    <n v="776.25000000000011"/>
    <n v="0.3"/>
  </r>
  <r>
    <m/>
    <x v="3"/>
    <n v="1189833"/>
    <x v="112"/>
    <x v="3"/>
    <x v="10"/>
    <s v="Billings"/>
    <x v="2"/>
    <n v="0.4"/>
    <n v="4250"/>
    <n v="1700"/>
    <n v="765"/>
    <n v="0.45"/>
  </r>
  <r>
    <m/>
    <x v="3"/>
    <n v="1189833"/>
    <x v="112"/>
    <x v="3"/>
    <x v="10"/>
    <s v="Billings"/>
    <x v="3"/>
    <n v="0.4"/>
    <n v="4250"/>
    <n v="1700"/>
    <n v="680"/>
    <n v="0.39999999999999997"/>
  </r>
  <r>
    <m/>
    <x v="3"/>
    <n v="1189833"/>
    <x v="112"/>
    <x v="3"/>
    <x v="10"/>
    <s v="Billings"/>
    <x v="4"/>
    <n v="0.54999999999999993"/>
    <n v="3750"/>
    <n v="2062.4999999999995"/>
    <n v="1237.5"/>
    <n v="0.60000000000000009"/>
  </r>
  <r>
    <m/>
    <x v="3"/>
    <n v="1189833"/>
    <x v="112"/>
    <x v="3"/>
    <x v="10"/>
    <s v="Billings"/>
    <x v="5"/>
    <n v="0.6"/>
    <n v="4750"/>
    <n v="2850"/>
    <n v="712.5"/>
    <n v="0.25"/>
  </r>
  <r>
    <m/>
    <x v="3"/>
    <n v="1189833"/>
    <x v="113"/>
    <x v="3"/>
    <x v="10"/>
    <s v="Billings"/>
    <x v="0"/>
    <n v="0.45"/>
    <n v="6750"/>
    <n v="3037.5"/>
    <n v="1366.875"/>
    <n v="0.45"/>
  </r>
  <r>
    <m/>
    <x v="3"/>
    <n v="1189833"/>
    <x v="113"/>
    <x v="3"/>
    <x v="10"/>
    <s v="Billings"/>
    <x v="1"/>
    <n v="0.5"/>
    <n v="6750"/>
    <n v="3375"/>
    <n v="1012.5"/>
    <n v="0.3"/>
  </r>
  <r>
    <m/>
    <x v="3"/>
    <n v="1189833"/>
    <x v="113"/>
    <x v="3"/>
    <x v="10"/>
    <s v="Billings"/>
    <x v="2"/>
    <n v="0.45"/>
    <n v="4750"/>
    <n v="2137.5"/>
    <n v="961.875"/>
    <n v="0.45"/>
  </r>
  <r>
    <m/>
    <x v="3"/>
    <n v="1189833"/>
    <x v="113"/>
    <x v="3"/>
    <x v="10"/>
    <s v="Billings"/>
    <x v="3"/>
    <n v="0.45"/>
    <n v="4750"/>
    <n v="2137.5"/>
    <n v="854.99999999999989"/>
    <n v="0.39999999999999997"/>
  </r>
  <r>
    <m/>
    <x v="3"/>
    <n v="1189833"/>
    <x v="113"/>
    <x v="3"/>
    <x v="10"/>
    <s v="Billings"/>
    <x v="4"/>
    <n v="0.54999999999999993"/>
    <n v="4000"/>
    <n v="2199.9999999999995"/>
    <n v="1320"/>
    <n v="0.60000000000000009"/>
  </r>
  <r>
    <m/>
    <x v="3"/>
    <n v="1189833"/>
    <x v="113"/>
    <x v="3"/>
    <x v="10"/>
    <s v="Billings"/>
    <x v="5"/>
    <n v="0.6"/>
    <n v="5000"/>
    <n v="3000"/>
    <n v="750"/>
    <n v="0.25"/>
  </r>
  <r>
    <s v="x"/>
    <x v="1"/>
    <n v="1197831"/>
    <x v="114"/>
    <x v="1"/>
    <x v="11"/>
    <s v="Knoxville"/>
    <x v="0"/>
    <n v="0.2"/>
    <n v="7000"/>
    <n v="1400"/>
    <n v="489.99999999999994"/>
    <n v="0.35"/>
  </r>
  <r>
    <m/>
    <x v="1"/>
    <n v="1197831"/>
    <x v="114"/>
    <x v="1"/>
    <x v="11"/>
    <s v="Knoxville"/>
    <x v="1"/>
    <n v="0.3"/>
    <n v="7000"/>
    <n v="2100"/>
    <n v="735"/>
    <n v="0.35"/>
  </r>
  <r>
    <m/>
    <x v="1"/>
    <n v="1197831"/>
    <x v="114"/>
    <x v="1"/>
    <x v="11"/>
    <s v="Knoxville"/>
    <x v="2"/>
    <n v="0.3"/>
    <n v="5000"/>
    <n v="1500"/>
    <n v="525"/>
    <n v="0.35"/>
  </r>
  <r>
    <m/>
    <x v="1"/>
    <n v="1197831"/>
    <x v="114"/>
    <x v="1"/>
    <x v="11"/>
    <s v="Knoxville"/>
    <x v="3"/>
    <n v="0.35"/>
    <n v="5000"/>
    <n v="1750"/>
    <n v="787.5"/>
    <n v="0.45"/>
  </r>
  <r>
    <m/>
    <x v="1"/>
    <n v="1197831"/>
    <x v="114"/>
    <x v="1"/>
    <x v="11"/>
    <s v="Knoxville"/>
    <x v="4"/>
    <n v="0.4"/>
    <n v="3500"/>
    <n v="1400"/>
    <n v="420"/>
    <n v="0.3"/>
  </r>
  <r>
    <m/>
    <x v="1"/>
    <n v="1197831"/>
    <x v="114"/>
    <x v="1"/>
    <x v="11"/>
    <s v="Knoxville"/>
    <x v="5"/>
    <n v="0.35"/>
    <n v="5000"/>
    <n v="1750"/>
    <n v="875"/>
    <n v="0.5"/>
  </r>
  <r>
    <m/>
    <x v="1"/>
    <n v="1197831"/>
    <x v="67"/>
    <x v="1"/>
    <x v="11"/>
    <s v="Knoxville"/>
    <x v="0"/>
    <n v="0.25"/>
    <n v="6500"/>
    <n v="1625"/>
    <n v="568.75"/>
    <n v="0.35"/>
  </r>
  <r>
    <m/>
    <x v="1"/>
    <n v="1197831"/>
    <x v="67"/>
    <x v="1"/>
    <x v="11"/>
    <s v="Knoxville"/>
    <x v="1"/>
    <n v="0.35"/>
    <n v="6250"/>
    <n v="2187.5"/>
    <n v="765.625"/>
    <n v="0.35"/>
  </r>
  <r>
    <m/>
    <x v="1"/>
    <n v="1197831"/>
    <x v="67"/>
    <x v="1"/>
    <x v="11"/>
    <s v="Knoxville"/>
    <x v="2"/>
    <n v="0.35"/>
    <n v="4500"/>
    <n v="1575"/>
    <n v="551.25"/>
    <n v="0.35"/>
  </r>
  <r>
    <m/>
    <x v="1"/>
    <n v="1197831"/>
    <x v="67"/>
    <x v="1"/>
    <x v="11"/>
    <s v="Knoxville"/>
    <x v="3"/>
    <n v="0.35"/>
    <n v="4000"/>
    <n v="1400"/>
    <n v="630"/>
    <n v="0.45"/>
  </r>
  <r>
    <m/>
    <x v="1"/>
    <n v="1197831"/>
    <x v="67"/>
    <x v="1"/>
    <x v="11"/>
    <s v="Knoxville"/>
    <x v="4"/>
    <n v="0.4"/>
    <n v="2750"/>
    <n v="1100"/>
    <n v="330"/>
    <n v="0.3"/>
  </r>
  <r>
    <m/>
    <x v="1"/>
    <n v="1197831"/>
    <x v="67"/>
    <x v="1"/>
    <x v="11"/>
    <s v="Knoxville"/>
    <x v="5"/>
    <n v="0.35"/>
    <n v="4750"/>
    <n v="1662.5"/>
    <n v="831.25"/>
    <n v="0.5"/>
  </r>
  <r>
    <m/>
    <x v="1"/>
    <n v="1197831"/>
    <x v="115"/>
    <x v="1"/>
    <x v="11"/>
    <s v="Knoxville"/>
    <x v="0"/>
    <n v="0.3"/>
    <n v="6500"/>
    <n v="1950"/>
    <n v="779.99999999999989"/>
    <n v="0.39999999999999997"/>
  </r>
  <r>
    <m/>
    <x v="1"/>
    <n v="1197831"/>
    <x v="115"/>
    <x v="1"/>
    <x v="11"/>
    <s v="Knoxville"/>
    <x v="1"/>
    <n v="0.4"/>
    <n v="6500"/>
    <n v="2600"/>
    <n v="1040"/>
    <n v="0.39999999999999997"/>
  </r>
  <r>
    <m/>
    <x v="1"/>
    <n v="1197831"/>
    <x v="115"/>
    <x v="1"/>
    <x v="11"/>
    <s v="Knoxville"/>
    <x v="2"/>
    <n v="0.3"/>
    <n v="4750"/>
    <n v="1425"/>
    <n v="570"/>
    <n v="0.39999999999999997"/>
  </r>
  <r>
    <m/>
    <x v="1"/>
    <n v="1197831"/>
    <x v="115"/>
    <x v="1"/>
    <x v="11"/>
    <s v="Knoxville"/>
    <x v="3"/>
    <n v="0.35000000000000003"/>
    <n v="3750"/>
    <n v="1312.5000000000002"/>
    <n v="656.25000000000011"/>
    <n v="0.5"/>
  </r>
  <r>
    <m/>
    <x v="1"/>
    <n v="1197831"/>
    <x v="115"/>
    <x v="1"/>
    <x v="11"/>
    <s v="Knoxville"/>
    <x v="4"/>
    <n v="0.4"/>
    <n v="2750"/>
    <n v="1100"/>
    <n v="385"/>
    <n v="0.35"/>
  </r>
  <r>
    <m/>
    <x v="1"/>
    <n v="1197831"/>
    <x v="115"/>
    <x v="1"/>
    <x v="11"/>
    <s v="Knoxville"/>
    <x v="5"/>
    <n v="0.35000000000000003"/>
    <n v="4250"/>
    <n v="1487.5000000000002"/>
    <n v="818.12500000000023"/>
    <n v="0.55000000000000004"/>
  </r>
  <r>
    <m/>
    <x v="1"/>
    <n v="1197831"/>
    <x v="50"/>
    <x v="1"/>
    <x v="11"/>
    <s v="Knoxville"/>
    <x v="0"/>
    <n v="0.19999999999999998"/>
    <n v="6750"/>
    <n v="1350"/>
    <n v="540"/>
    <n v="0.39999999999999997"/>
  </r>
  <r>
    <m/>
    <x v="1"/>
    <n v="1197831"/>
    <x v="50"/>
    <x v="1"/>
    <x v="11"/>
    <s v="Knoxville"/>
    <x v="1"/>
    <n v="0.25000000000000006"/>
    <n v="6750"/>
    <n v="1687.5000000000005"/>
    <n v="675.00000000000011"/>
    <n v="0.39999999999999997"/>
  </r>
  <r>
    <m/>
    <x v="1"/>
    <n v="1197831"/>
    <x v="50"/>
    <x v="1"/>
    <x v="11"/>
    <s v="Knoxville"/>
    <x v="2"/>
    <n v="0.19999999999999996"/>
    <n v="5000"/>
    <n v="999.99999999999977"/>
    <n v="399.99999999999989"/>
    <n v="0.39999999999999997"/>
  </r>
  <r>
    <m/>
    <x v="1"/>
    <n v="1197831"/>
    <x v="50"/>
    <x v="1"/>
    <x v="11"/>
    <s v="Knoxville"/>
    <x v="3"/>
    <n v="0.25000000000000006"/>
    <n v="4000"/>
    <n v="1000.0000000000002"/>
    <n v="500.00000000000011"/>
    <n v="0.5"/>
  </r>
  <r>
    <m/>
    <x v="1"/>
    <n v="1197831"/>
    <x v="50"/>
    <x v="1"/>
    <x v="11"/>
    <s v="Knoxville"/>
    <x v="4"/>
    <n v="0.3"/>
    <n v="3000"/>
    <n v="900"/>
    <n v="315"/>
    <n v="0.35"/>
  </r>
  <r>
    <m/>
    <x v="1"/>
    <n v="1197831"/>
    <x v="50"/>
    <x v="1"/>
    <x v="11"/>
    <s v="Knoxville"/>
    <x v="5"/>
    <n v="0.25000000000000006"/>
    <n v="5750"/>
    <n v="1437.5000000000002"/>
    <n v="790.62500000000023"/>
    <n v="0.55000000000000004"/>
  </r>
  <r>
    <m/>
    <x v="1"/>
    <n v="1197831"/>
    <x v="70"/>
    <x v="1"/>
    <x v="11"/>
    <s v="Knoxville"/>
    <x v="0"/>
    <n v="0.14999999999999997"/>
    <n v="7250"/>
    <n v="1087.4999999999998"/>
    <n v="434.99999999999989"/>
    <n v="0.39999999999999997"/>
  </r>
  <r>
    <m/>
    <x v="1"/>
    <n v="1197831"/>
    <x v="70"/>
    <x v="1"/>
    <x v="11"/>
    <s v="Knoxville"/>
    <x v="1"/>
    <n v="0.25000000000000006"/>
    <n v="7500"/>
    <n v="1875.0000000000005"/>
    <n v="750.00000000000011"/>
    <n v="0.39999999999999997"/>
  </r>
  <r>
    <m/>
    <x v="1"/>
    <n v="1197831"/>
    <x v="70"/>
    <x v="1"/>
    <x v="11"/>
    <s v="Knoxville"/>
    <x v="2"/>
    <n v="0.19999999999999996"/>
    <n v="6000"/>
    <n v="1199.9999999999998"/>
    <n v="479.99999999999989"/>
    <n v="0.39999999999999997"/>
  </r>
  <r>
    <m/>
    <x v="1"/>
    <n v="1197831"/>
    <x v="70"/>
    <x v="1"/>
    <x v="11"/>
    <s v="Knoxville"/>
    <x v="3"/>
    <n v="0.30000000000000004"/>
    <n v="5250"/>
    <n v="1575.0000000000002"/>
    <n v="787.50000000000011"/>
    <n v="0.5"/>
  </r>
  <r>
    <m/>
    <x v="1"/>
    <n v="1197831"/>
    <x v="70"/>
    <x v="1"/>
    <x v="11"/>
    <s v="Knoxville"/>
    <x v="4"/>
    <n v="0.45"/>
    <n v="4250"/>
    <n v="1912.5"/>
    <n v="669.375"/>
    <n v="0.35"/>
  </r>
  <r>
    <m/>
    <x v="1"/>
    <n v="1197831"/>
    <x v="70"/>
    <x v="1"/>
    <x v="11"/>
    <s v="Knoxville"/>
    <x v="5"/>
    <n v="0.4"/>
    <n v="7750"/>
    <n v="3100"/>
    <n v="1705.0000000000002"/>
    <n v="0.55000000000000004"/>
  </r>
  <r>
    <m/>
    <x v="1"/>
    <n v="1197831"/>
    <x v="71"/>
    <x v="1"/>
    <x v="11"/>
    <s v="Knoxville"/>
    <x v="0"/>
    <n v="0.4"/>
    <n v="7750"/>
    <n v="3100"/>
    <n v="1240"/>
    <n v="0.39999999999999997"/>
  </r>
  <r>
    <m/>
    <x v="1"/>
    <n v="1197831"/>
    <x v="71"/>
    <x v="1"/>
    <x v="11"/>
    <s v="Knoxville"/>
    <x v="1"/>
    <n v="0.45"/>
    <n v="7750"/>
    <n v="3487.5"/>
    <n v="1394.9999999999998"/>
    <n v="0.39999999999999997"/>
  </r>
  <r>
    <m/>
    <x v="1"/>
    <n v="1197831"/>
    <x v="71"/>
    <x v="1"/>
    <x v="11"/>
    <s v="Knoxville"/>
    <x v="2"/>
    <n v="0.4"/>
    <n v="6500"/>
    <n v="2600"/>
    <n v="1040"/>
    <n v="0.39999999999999997"/>
  </r>
  <r>
    <m/>
    <x v="1"/>
    <n v="1197831"/>
    <x v="71"/>
    <x v="1"/>
    <x v="11"/>
    <s v="Knoxville"/>
    <x v="3"/>
    <n v="0.4"/>
    <n v="6000"/>
    <n v="2400"/>
    <n v="1200"/>
    <n v="0.5"/>
  </r>
  <r>
    <m/>
    <x v="1"/>
    <n v="1197831"/>
    <x v="71"/>
    <x v="1"/>
    <x v="11"/>
    <s v="Knoxville"/>
    <x v="4"/>
    <n v="0.45"/>
    <n v="5000"/>
    <n v="2250"/>
    <n v="787.5"/>
    <n v="0.35"/>
  </r>
  <r>
    <m/>
    <x v="1"/>
    <n v="1197831"/>
    <x v="71"/>
    <x v="1"/>
    <x v="11"/>
    <s v="Knoxville"/>
    <x v="5"/>
    <n v="0.5"/>
    <n v="8750"/>
    <n v="4375"/>
    <n v="2406.25"/>
    <n v="0.55000000000000004"/>
  </r>
  <r>
    <m/>
    <x v="1"/>
    <n v="1197831"/>
    <x v="116"/>
    <x v="1"/>
    <x v="11"/>
    <s v="Knoxville"/>
    <x v="0"/>
    <n v="0.4"/>
    <n v="8250"/>
    <n v="3300"/>
    <n v="1484.9999999999998"/>
    <n v="0.44999999999999996"/>
  </r>
  <r>
    <m/>
    <x v="1"/>
    <n v="1197831"/>
    <x v="116"/>
    <x v="1"/>
    <x v="11"/>
    <s v="Knoxville"/>
    <x v="1"/>
    <n v="0.45"/>
    <n v="8250"/>
    <n v="3712.5"/>
    <n v="1670.6249999999998"/>
    <n v="0.44999999999999996"/>
  </r>
  <r>
    <m/>
    <x v="1"/>
    <n v="1197831"/>
    <x v="116"/>
    <x v="1"/>
    <x v="11"/>
    <s v="Knoxville"/>
    <x v="2"/>
    <n v="0.4"/>
    <n v="9750"/>
    <n v="3900"/>
    <n v="1754.9999999999998"/>
    <n v="0.44999999999999996"/>
  </r>
  <r>
    <m/>
    <x v="1"/>
    <n v="1197831"/>
    <x v="116"/>
    <x v="1"/>
    <x v="11"/>
    <s v="Knoxville"/>
    <x v="3"/>
    <n v="0.4"/>
    <n v="5750"/>
    <n v="2300"/>
    <n v="1265"/>
    <n v="0.55000000000000004"/>
  </r>
  <r>
    <m/>
    <x v="1"/>
    <n v="1197831"/>
    <x v="116"/>
    <x v="1"/>
    <x v="11"/>
    <s v="Knoxville"/>
    <x v="4"/>
    <n v="0.45"/>
    <n v="5500"/>
    <n v="2475"/>
    <n v="989.99999999999989"/>
    <n v="0.39999999999999997"/>
  </r>
  <r>
    <m/>
    <x v="1"/>
    <n v="1197831"/>
    <x v="116"/>
    <x v="1"/>
    <x v="11"/>
    <s v="Knoxville"/>
    <x v="5"/>
    <n v="0.54999999999999993"/>
    <n v="8250"/>
    <n v="4537.4999999999991"/>
    <n v="2722.5"/>
    <n v="0.60000000000000009"/>
  </r>
  <r>
    <m/>
    <x v="1"/>
    <n v="1197831"/>
    <x v="117"/>
    <x v="1"/>
    <x v="11"/>
    <s v="Knoxville"/>
    <x v="0"/>
    <n v="0.45"/>
    <n v="7750"/>
    <n v="3487.5"/>
    <n v="1569.3749999999998"/>
    <n v="0.44999999999999996"/>
  </r>
  <r>
    <m/>
    <x v="1"/>
    <n v="1197831"/>
    <x v="117"/>
    <x v="1"/>
    <x v="11"/>
    <s v="Knoxville"/>
    <x v="1"/>
    <n v="0.55000000000000004"/>
    <n v="7750"/>
    <n v="4262.5"/>
    <n v="1918.1249999999998"/>
    <n v="0.44999999999999996"/>
  </r>
  <r>
    <m/>
    <x v="1"/>
    <n v="1197831"/>
    <x v="117"/>
    <x v="1"/>
    <x v="11"/>
    <s v="Knoxville"/>
    <x v="2"/>
    <n v="0.5"/>
    <n v="9500"/>
    <n v="4750"/>
    <n v="2137.5"/>
    <n v="0.44999999999999996"/>
  </r>
  <r>
    <m/>
    <x v="1"/>
    <n v="1197831"/>
    <x v="117"/>
    <x v="1"/>
    <x v="11"/>
    <s v="Knoxville"/>
    <x v="3"/>
    <n v="0.45"/>
    <n v="4750"/>
    <n v="2137.5"/>
    <n v="1175.625"/>
    <n v="0.55000000000000004"/>
  </r>
  <r>
    <m/>
    <x v="1"/>
    <n v="1197831"/>
    <x v="117"/>
    <x v="1"/>
    <x v="11"/>
    <s v="Knoxville"/>
    <x v="4"/>
    <n v="0.5"/>
    <n v="4750"/>
    <n v="2375"/>
    <n v="949.99999999999989"/>
    <n v="0.39999999999999997"/>
  </r>
  <r>
    <m/>
    <x v="1"/>
    <n v="1197831"/>
    <x v="117"/>
    <x v="1"/>
    <x v="11"/>
    <s v="Knoxville"/>
    <x v="5"/>
    <n v="0.54999999999999993"/>
    <n v="7250"/>
    <n v="3987.4999999999995"/>
    <n v="2392.5"/>
    <n v="0.60000000000000009"/>
  </r>
  <r>
    <m/>
    <x v="1"/>
    <n v="1197831"/>
    <x v="74"/>
    <x v="1"/>
    <x v="11"/>
    <s v="Knoxville"/>
    <x v="0"/>
    <n v="0.5"/>
    <n v="6750"/>
    <n v="3375"/>
    <n v="1518.7499999999998"/>
    <n v="0.44999999999999996"/>
  </r>
  <r>
    <m/>
    <x v="1"/>
    <n v="1197831"/>
    <x v="74"/>
    <x v="1"/>
    <x v="11"/>
    <s v="Knoxville"/>
    <x v="1"/>
    <n v="0.5"/>
    <n v="6250"/>
    <n v="3125"/>
    <n v="1406.2499999999998"/>
    <n v="0.44999999999999996"/>
  </r>
  <r>
    <m/>
    <x v="1"/>
    <n v="1197831"/>
    <x v="74"/>
    <x v="1"/>
    <x v="11"/>
    <s v="Knoxville"/>
    <x v="2"/>
    <n v="0.54999999999999993"/>
    <n v="6750"/>
    <n v="3712.4999999999995"/>
    <n v="1670.6249999999995"/>
    <n v="0.44999999999999996"/>
  </r>
  <r>
    <m/>
    <x v="1"/>
    <n v="1197831"/>
    <x v="74"/>
    <x v="1"/>
    <x v="11"/>
    <s v="Knoxville"/>
    <x v="3"/>
    <n v="0.54999999999999993"/>
    <n v="4000"/>
    <n v="2199.9999999999995"/>
    <n v="1209.9999999999998"/>
    <n v="0.55000000000000004"/>
  </r>
  <r>
    <m/>
    <x v="1"/>
    <n v="1197831"/>
    <x v="74"/>
    <x v="1"/>
    <x v="11"/>
    <s v="Knoxville"/>
    <x v="4"/>
    <n v="0.5"/>
    <n v="4000"/>
    <n v="2000"/>
    <n v="799.99999999999989"/>
    <n v="0.39999999999999997"/>
  </r>
  <r>
    <m/>
    <x v="1"/>
    <n v="1197831"/>
    <x v="74"/>
    <x v="1"/>
    <x v="11"/>
    <s v="Knoxville"/>
    <x v="5"/>
    <n v="0.45"/>
    <n v="6250"/>
    <n v="2812.5"/>
    <n v="1687.5000000000002"/>
    <n v="0.60000000000000009"/>
  </r>
  <r>
    <m/>
    <x v="1"/>
    <n v="1197831"/>
    <x v="75"/>
    <x v="1"/>
    <x v="11"/>
    <s v="Knoxville"/>
    <x v="0"/>
    <n v="0.35000000000000003"/>
    <n v="5750"/>
    <n v="2012.5000000000002"/>
    <n v="905.625"/>
    <n v="0.44999999999999996"/>
  </r>
  <r>
    <m/>
    <x v="1"/>
    <n v="1197831"/>
    <x v="75"/>
    <x v="1"/>
    <x v="11"/>
    <s v="Knoxville"/>
    <x v="1"/>
    <n v="0.35000000000000003"/>
    <n v="5750"/>
    <n v="2012.5000000000002"/>
    <n v="905.625"/>
    <n v="0.44999999999999996"/>
  </r>
  <r>
    <m/>
    <x v="1"/>
    <n v="1197831"/>
    <x v="75"/>
    <x v="1"/>
    <x v="11"/>
    <s v="Knoxville"/>
    <x v="2"/>
    <n v="0.4"/>
    <n v="5250"/>
    <n v="2100"/>
    <n v="944.99999999999989"/>
    <n v="0.44999999999999996"/>
  </r>
  <r>
    <m/>
    <x v="1"/>
    <n v="1197831"/>
    <x v="75"/>
    <x v="1"/>
    <x v="11"/>
    <s v="Knoxville"/>
    <x v="3"/>
    <n v="0.4"/>
    <n v="3750"/>
    <n v="1500"/>
    <n v="825.00000000000011"/>
    <n v="0.55000000000000004"/>
  </r>
  <r>
    <m/>
    <x v="1"/>
    <n v="1197831"/>
    <x v="75"/>
    <x v="1"/>
    <x v="11"/>
    <s v="Knoxville"/>
    <x v="4"/>
    <n v="0.35000000000000003"/>
    <n v="3500"/>
    <n v="1225.0000000000002"/>
    <n v="490.00000000000006"/>
    <n v="0.39999999999999997"/>
  </r>
  <r>
    <m/>
    <x v="1"/>
    <n v="1197831"/>
    <x v="75"/>
    <x v="1"/>
    <x v="11"/>
    <s v="Knoxville"/>
    <x v="5"/>
    <n v="0.45"/>
    <n v="5250"/>
    <n v="2362.5"/>
    <n v="1417.5000000000002"/>
    <n v="0.60000000000000009"/>
  </r>
  <r>
    <m/>
    <x v="1"/>
    <n v="1197831"/>
    <x v="56"/>
    <x v="1"/>
    <x v="11"/>
    <s v="Knoxville"/>
    <x v="0"/>
    <n v="0.30000000000000004"/>
    <n v="6750"/>
    <n v="2025.0000000000002"/>
    <n v="911.25"/>
    <n v="0.44999999999999996"/>
  </r>
  <r>
    <m/>
    <x v="1"/>
    <n v="1197831"/>
    <x v="56"/>
    <x v="1"/>
    <x v="11"/>
    <s v="Knoxville"/>
    <x v="1"/>
    <n v="0.30000000000000004"/>
    <n v="6750"/>
    <n v="2025.0000000000002"/>
    <n v="911.25"/>
    <n v="0.44999999999999996"/>
  </r>
  <r>
    <m/>
    <x v="1"/>
    <n v="1197831"/>
    <x v="56"/>
    <x v="1"/>
    <x v="11"/>
    <s v="Knoxville"/>
    <x v="2"/>
    <n v="0.55000000000000004"/>
    <n v="6000"/>
    <n v="3300.0000000000005"/>
    <n v="1485"/>
    <n v="0.44999999999999996"/>
  </r>
  <r>
    <m/>
    <x v="1"/>
    <n v="1197831"/>
    <x v="56"/>
    <x v="1"/>
    <x v="11"/>
    <s v="Knoxville"/>
    <x v="3"/>
    <n v="0.55000000000000004"/>
    <n v="4750"/>
    <n v="2612.5"/>
    <n v="1436.8750000000002"/>
    <n v="0.55000000000000004"/>
  </r>
  <r>
    <m/>
    <x v="1"/>
    <n v="1197831"/>
    <x v="56"/>
    <x v="1"/>
    <x v="11"/>
    <s v="Knoxville"/>
    <x v="4"/>
    <n v="0.54999999999999993"/>
    <n v="4500"/>
    <n v="2474.9999999999995"/>
    <n v="989.99999999999977"/>
    <n v="0.39999999999999997"/>
  </r>
  <r>
    <m/>
    <x v="1"/>
    <n v="1197831"/>
    <x v="56"/>
    <x v="1"/>
    <x v="11"/>
    <s v="Knoxville"/>
    <x v="5"/>
    <n v="0.65"/>
    <n v="6500"/>
    <n v="4225"/>
    <n v="2535.0000000000005"/>
    <n v="0.60000000000000009"/>
  </r>
  <r>
    <m/>
    <x v="1"/>
    <n v="1197831"/>
    <x v="57"/>
    <x v="1"/>
    <x v="11"/>
    <s v="Knoxville"/>
    <x v="0"/>
    <n v="0.54999999999999993"/>
    <n v="8000"/>
    <n v="4399.9999999999991"/>
    <n v="1979.9999999999993"/>
    <n v="0.44999999999999996"/>
  </r>
  <r>
    <m/>
    <x v="1"/>
    <n v="1197831"/>
    <x v="57"/>
    <x v="1"/>
    <x v="11"/>
    <s v="Knoxville"/>
    <x v="1"/>
    <n v="0.54999999999999993"/>
    <n v="8000"/>
    <n v="4399.9999999999991"/>
    <n v="1979.9999999999993"/>
    <n v="0.44999999999999996"/>
  </r>
  <r>
    <m/>
    <x v="1"/>
    <n v="1197831"/>
    <x v="57"/>
    <x v="1"/>
    <x v="11"/>
    <s v="Knoxville"/>
    <x v="2"/>
    <n v="0.6"/>
    <n v="7000"/>
    <n v="4200"/>
    <n v="1889.9999999999998"/>
    <n v="0.44999999999999996"/>
  </r>
  <r>
    <m/>
    <x v="1"/>
    <n v="1197831"/>
    <x v="57"/>
    <x v="1"/>
    <x v="11"/>
    <s v="Knoxville"/>
    <x v="3"/>
    <n v="0.6"/>
    <n v="5500"/>
    <n v="3300"/>
    <n v="1815.0000000000002"/>
    <n v="0.55000000000000004"/>
  </r>
  <r>
    <m/>
    <x v="1"/>
    <n v="1197831"/>
    <x v="57"/>
    <x v="1"/>
    <x v="11"/>
    <s v="Knoxville"/>
    <x v="4"/>
    <n v="0.54999999999999993"/>
    <n v="5000"/>
    <n v="2749.9999999999995"/>
    <n v="1099.9999999999998"/>
    <n v="0.39999999999999997"/>
  </r>
  <r>
    <m/>
    <x v="1"/>
    <n v="1197831"/>
    <x v="57"/>
    <x v="1"/>
    <x v="11"/>
    <s v="Knoxville"/>
    <x v="5"/>
    <n v="0.65"/>
    <n v="7500"/>
    <n v="4875"/>
    <n v="2925.0000000000005"/>
    <n v="0.60000000000000009"/>
  </r>
  <r>
    <s v="x"/>
    <x v="0"/>
    <n v="1185732"/>
    <x v="118"/>
    <x v="3"/>
    <x v="12"/>
    <s v="Omaha"/>
    <x v="0"/>
    <n v="0.35"/>
    <n v="4250"/>
    <n v="1487.5"/>
    <n v="595"/>
    <n v="0.4"/>
  </r>
  <r>
    <m/>
    <x v="0"/>
    <n v="1185732"/>
    <x v="118"/>
    <x v="3"/>
    <x v="12"/>
    <s v="Omaha"/>
    <x v="1"/>
    <n v="0.35"/>
    <n v="2250"/>
    <n v="787.5"/>
    <n v="275.625"/>
    <n v="0.35"/>
  </r>
  <r>
    <m/>
    <x v="0"/>
    <n v="1185732"/>
    <x v="118"/>
    <x v="3"/>
    <x v="12"/>
    <s v="Omaha"/>
    <x v="2"/>
    <n v="0.25"/>
    <n v="2250"/>
    <n v="562.5"/>
    <n v="196.875"/>
    <n v="0.35"/>
  </r>
  <r>
    <m/>
    <x v="0"/>
    <n v="1185732"/>
    <x v="118"/>
    <x v="3"/>
    <x v="12"/>
    <s v="Omaha"/>
    <x v="3"/>
    <n v="0.30000000000000004"/>
    <n v="750"/>
    <n v="225.00000000000003"/>
    <n v="90.000000000000014"/>
    <n v="0.4"/>
  </r>
  <r>
    <m/>
    <x v="0"/>
    <n v="1185732"/>
    <x v="118"/>
    <x v="3"/>
    <x v="12"/>
    <s v="Omaha"/>
    <x v="4"/>
    <n v="0.44999999999999996"/>
    <n v="1250"/>
    <n v="562.5"/>
    <n v="196.875"/>
    <n v="0.35"/>
  </r>
  <r>
    <m/>
    <x v="0"/>
    <n v="1185732"/>
    <x v="118"/>
    <x v="3"/>
    <x v="12"/>
    <s v="Omaha"/>
    <x v="5"/>
    <n v="0.35"/>
    <n v="2250"/>
    <n v="787.5"/>
    <n v="393.75"/>
    <n v="0.5"/>
  </r>
  <r>
    <m/>
    <x v="0"/>
    <n v="1185732"/>
    <x v="119"/>
    <x v="3"/>
    <x v="12"/>
    <s v="Omaha"/>
    <x v="0"/>
    <n v="0.35"/>
    <n v="4750"/>
    <n v="1662.5"/>
    <n v="665"/>
    <n v="0.4"/>
  </r>
  <r>
    <m/>
    <x v="0"/>
    <n v="1185732"/>
    <x v="119"/>
    <x v="3"/>
    <x v="12"/>
    <s v="Omaha"/>
    <x v="1"/>
    <n v="0.35"/>
    <n v="1250"/>
    <n v="437.5"/>
    <n v="153.125"/>
    <n v="0.35"/>
  </r>
  <r>
    <m/>
    <x v="0"/>
    <n v="1185732"/>
    <x v="119"/>
    <x v="3"/>
    <x v="12"/>
    <s v="Omaha"/>
    <x v="2"/>
    <n v="0.25"/>
    <n v="1750"/>
    <n v="437.5"/>
    <n v="153.125"/>
    <n v="0.35"/>
  </r>
  <r>
    <m/>
    <x v="0"/>
    <n v="1185732"/>
    <x v="119"/>
    <x v="3"/>
    <x v="12"/>
    <s v="Omaha"/>
    <x v="3"/>
    <n v="0.30000000000000004"/>
    <n v="500"/>
    <n v="150.00000000000003"/>
    <n v="60.000000000000014"/>
    <n v="0.4"/>
  </r>
  <r>
    <m/>
    <x v="0"/>
    <n v="1185732"/>
    <x v="119"/>
    <x v="3"/>
    <x v="12"/>
    <s v="Omaha"/>
    <x v="4"/>
    <n v="0.44999999999999996"/>
    <n v="1250"/>
    <n v="562.5"/>
    <n v="196.875"/>
    <n v="0.35"/>
  </r>
  <r>
    <m/>
    <x v="0"/>
    <n v="1185732"/>
    <x v="119"/>
    <x v="3"/>
    <x v="12"/>
    <s v="Omaha"/>
    <x v="5"/>
    <n v="0.35"/>
    <n v="2000"/>
    <n v="700"/>
    <n v="350"/>
    <n v="0.5"/>
  </r>
  <r>
    <m/>
    <x v="0"/>
    <n v="1185732"/>
    <x v="2"/>
    <x v="3"/>
    <x v="12"/>
    <s v="Omaha"/>
    <x v="0"/>
    <n v="0.4"/>
    <n v="4200"/>
    <n v="1680"/>
    <n v="672"/>
    <n v="0.4"/>
  </r>
  <r>
    <m/>
    <x v="0"/>
    <n v="1185732"/>
    <x v="2"/>
    <x v="3"/>
    <x v="12"/>
    <s v="Omaha"/>
    <x v="1"/>
    <n v="0.4"/>
    <n v="1000"/>
    <n v="400"/>
    <n v="140"/>
    <n v="0.35"/>
  </r>
  <r>
    <m/>
    <x v="0"/>
    <n v="1185732"/>
    <x v="2"/>
    <x v="3"/>
    <x v="12"/>
    <s v="Omaha"/>
    <x v="2"/>
    <n v="0.30000000000000004"/>
    <n v="1500"/>
    <n v="450.00000000000006"/>
    <n v="157.5"/>
    <n v="0.35"/>
  </r>
  <r>
    <m/>
    <x v="0"/>
    <n v="1185732"/>
    <x v="2"/>
    <x v="3"/>
    <x v="12"/>
    <s v="Omaha"/>
    <x v="3"/>
    <n v="0.35"/>
    <n v="0"/>
    <n v="0"/>
    <n v="0"/>
    <n v="0.4"/>
  </r>
  <r>
    <m/>
    <x v="0"/>
    <n v="1185732"/>
    <x v="2"/>
    <x v="3"/>
    <x v="12"/>
    <s v="Omaha"/>
    <x v="4"/>
    <n v="0.5"/>
    <n v="500"/>
    <n v="250"/>
    <n v="87.5"/>
    <n v="0.35"/>
  </r>
  <r>
    <m/>
    <x v="0"/>
    <n v="1185732"/>
    <x v="2"/>
    <x v="3"/>
    <x v="12"/>
    <s v="Omaha"/>
    <x v="5"/>
    <n v="0.4"/>
    <n v="1500"/>
    <n v="600"/>
    <n v="300"/>
    <n v="0.5"/>
  </r>
  <r>
    <m/>
    <x v="0"/>
    <n v="1185732"/>
    <x v="3"/>
    <x v="3"/>
    <x v="12"/>
    <s v="Omaha"/>
    <x v="0"/>
    <n v="0.4"/>
    <n v="3750"/>
    <n v="1500"/>
    <n v="600"/>
    <n v="0.4"/>
  </r>
  <r>
    <m/>
    <x v="0"/>
    <n v="1185732"/>
    <x v="3"/>
    <x v="3"/>
    <x v="12"/>
    <s v="Omaha"/>
    <x v="1"/>
    <n v="0.35000000000000003"/>
    <n v="750"/>
    <n v="262.5"/>
    <n v="91.875"/>
    <n v="0.35"/>
  </r>
  <r>
    <m/>
    <x v="0"/>
    <n v="1185732"/>
    <x v="3"/>
    <x v="3"/>
    <x v="12"/>
    <s v="Omaha"/>
    <x v="2"/>
    <n v="0.25000000000000006"/>
    <n v="750"/>
    <n v="187.50000000000003"/>
    <n v="65.625"/>
    <n v="0.35"/>
  </r>
  <r>
    <m/>
    <x v="0"/>
    <n v="1185732"/>
    <x v="3"/>
    <x v="3"/>
    <x v="12"/>
    <s v="Omaha"/>
    <x v="3"/>
    <n v="0.3"/>
    <n v="0"/>
    <n v="0"/>
    <n v="0"/>
    <n v="0.4"/>
  </r>
  <r>
    <m/>
    <x v="0"/>
    <n v="1185732"/>
    <x v="3"/>
    <x v="3"/>
    <x v="12"/>
    <s v="Omaha"/>
    <x v="4"/>
    <n v="0.45"/>
    <n v="250"/>
    <n v="112.5"/>
    <n v="39.375"/>
    <n v="0.35"/>
  </r>
  <r>
    <m/>
    <x v="0"/>
    <n v="1185732"/>
    <x v="3"/>
    <x v="3"/>
    <x v="12"/>
    <s v="Omaha"/>
    <x v="5"/>
    <n v="0.35000000000000003"/>
    <n v="1500"/>
    <n v="525"/>
    <n v="262.5"/>
    <n v="0.5"/>
  </r>
  <r>
    <m/>
    <x v="0"/>
    <n v="1185732"/>
    <x v="120"/>
    <x v="3"/>
    <x v="12"/>
    <s v="Omaha"/>
    <x v="0"/>
    <n v="0.45"/>
    <n v="4200"/>
    <n v="1890"/>
    <n v="756"/>
    <n v="0.4"/>
  </r>
  <r>
    <m/>
    <x v="0"/>
    <n v="1185732"/>
    <x v="120"/>
    <x v="3"/>
    <x v="12"/>
    <s v="Omaha"/>
    <x v="1"/>
    <n v="0.40000000000000008"/>
    <n v="1250"/>
    <n v="500.00000000000011"/>
    <n v="175.00000000000003"/>
    <n v="0.35"/>
  </r>
  <r>
    <m/>
    <x v="0"/>
    <n v="1185732"/>
    <x v="120"/>
    <x v="3"/>
    <x v="12"/>
    <s v="Omaha"/>
    <x v="2"/>
    <n v="0.35000000000000003"/>
    <n v="1000"/>
    <n v="350.00000000000006"/>
    <n v="122.50000000000001"/>
    <n v="0.35"/>
  </r>
  <r>
    <m/>
    <x v="0"/>
    <n v="1185732"/>
    <x v="120"/>
    <x v="3"/>
    <x v="12"/>
    <s v="Omaha"/>
    <x v="3"/>
    <n v="0.35000000000000003"/>
    <n v="250"/>
    <n v="87.500000000000014"/>
    <n v="35.000000000000007"/>
    <n v="0.4"/>
  </r>
  <r>
    <m/>
    <x v="0"/>
    <n v="1185732"/>
    <x v="120"/>
    <x v="3"/>
    <x v="12"/>
    <s v="Omaha"/>
    <x v="4"/>
    <n v="0.49999999999999994"/>
    <n v="500"/>
    <n v="249.99999999999997"/>
    <n v="87.499999999999986"/>
    <n v="0.35"/>
  </r>
  <r>
    <m/>
    <x v="0"/>
    <n v="1185732"/>
    <x v="120"/>
    <x v="3"/>
    <x v="12"/>
    <s v="Omaha"/>
    <x v="5"/>
    <n v="0.54999999999999993"/>
    <n v="1500"/>
    <n v="824.99999999999989"/>
    <n v="412.49999999999994"/>
    <n v="0.5"/>
  </r>
  <r>
    <m/>
    <x v="0"/>
    <n v="1185732"/>
    <x v="121"/>
    <x v="3"/>
    <x v="12"/>
    <s v="Omaha"/>
    <x v="0"/>
    <n v="0.4"/>
    <n v="4000"/>
    <n v="1600"/>
    <n v="640"/>
    <n v="0.4"/>
  </r>
  <r>
    <m/>
    <x v="0"/>
    <n v="1185732"/>
    <x v="121"/>
    <x v="3"/>
    <x v="12"/>
    <s v="Omaha"/>
    <x v="1"/>
    <n v="0.35000000000000009"/>
    <n v="1500"/>
    <n v="525.00000000000011"/>
    <n v="183.75000000000003"/>
    <n v="0.35"/>
  </r>
  <r>
    <m/>
    <x v="0"/>
    <n v="1185732"/>
    <x v="121"/>
    <x v="3"/>
    <x v="12"/>
    <s v="Omaha"/>
    <x v="2"/>
    <n v="0.30000000000000004"/>
    <n v="1750"/>
    <n v="525.00000000000011"/>
    <n v="183.75000000000003"/>
    <n v="0.35"/>
  </r>
  <r>
    <m/>
    <x v="0"/>
    <n v="1185732"/>
    <x v="121"/>
    <x v="3"/>
    <x v="12"/>
    <s v="Omaha"/>
    <x v="3"/>
    <n v="0.30000000000000004"/>
    <n v="1500"/>
    <n v="450.00000000000006"/>
    <n v="180.00000000000003"/>
    <n v="0.4"/>
  </r>
  <r>
    <m/>
    <x v="0"/>
    <n v="1185732"/>
    <x v="121"/>
    <x v="3"/>
    <x v="12"/>
    <s v="Omaha"/>
    <x v="4"/>
    <n v="0.45"/>
    <n v="1500"/>
    <n v="675"/>
    <n v="236.24999999999997"/>
    <n v="0.35"/>
  </r>
  <r>
    <m/>
    <x v="0"/>
    <n v="1185732"/>
    <x v="121"/>
    <x v="3"/>
    <x v="12"/>
    <s v="Omaha"/>
    <x v="5"/>
    <n v="0.5"/>
    <n v="3250"/>
    <n v="1625"/>
    <n v="812.5"/>
    <n v="0.5"/>
  </r>
  <r>
    <m/>
    <x v="0"/>
    <n v="1185732"/>
    <x v="6"/>
    <x v="3"/>
    <x v="12"/>
    <s v="Omaha"/>
    <x v="0"/>
    <n v="0.45"/>
    <n v="5500"/>
    <n v="2475"/>
    <n v="990"/>
    <n v="0.4"/>
  </r>
  <r>
    <m/>
    <x v="0"/>
    <n v="1185732"/>
    <x v="6"/>
    <x v="3"/>
    <x v="12"/>
    <s v="Omaha"/>
    <x v="1"/>
    <n v="0.40000000000000008"/>
    <n v="3000"/>
    <n v="1200.0000000000002"/>
    <n v="420.00000000000006"/>
    <n v="0.35"/>
  </r>
  <r>
    <m/>
    <x v="0"/>
    <n v="1185732"/>
    <x v="6"/>
    <x v="3"/>
    <x v="12"/>
    <s v="Omaha"/>
    <x v="2"/>
    <n v="0.35000000000000003"/>
    <n v="2250"/>
    <n v="787.50000000000011"/>
    <n v="275.625"/>
    <n v="0.35"/>
  </r>
  <r>
    <m/>
    <x v="0"/>
    <n v="1185732"/>
    <x v="6"/>
    <x v="3"/>
    <x v="12"/>
    <s v="Omaha"/>
    <x v="3"/>
    <n v="0.35000000000000003"/>
    <n v="1750"/>
    <n v="612.50000000000011"/>
    <n v="245.00000000000006"/>
    <n v="0.4"/>
  </r>
  <r>
    <m/>
    <x v="0"/>
    <n v="1185732"/>
    <x v="6"/>
    <x v="3"/>
    <x v="12"/>
    <s v="Omaha"/>
    <x v="4"/>
    <n v="0.45"/>
    <n v="1750"/>
    <n v="787.5"/>
    <n v="275.625"/>
    <n v="0.35"/>
  </r>
  <r>
    <m/>
    <x v="0"/>
    <n v="1185732"/>
    <x v="6"/>
    <x v="3"/>
    <x v="12"/>
    <s v="Omaha"/>
    <x v="5"/>
    <n v="0.5"/>
    <n v="3500"/>
    <n v="1750"/>
    <n v="875"/>
    <n v="0.5"/>
  </r>
  <r>
    <m/>
    <x v="0"/>
    <n v="1185732"/>
    <x v="7"/>
    <x v="3"/>
    <x v="12"/>
    <s v="Omaha"/>
    <x v="0"/>
    <n v="0.45"/>
    <n v="5000"/>
    <n v="2250"/>
    <n v="900"/>
    <n v="0.4"/>
  </r>
  <r>
    <m/>
    <x v="0"/>
    <n v="1185732"/>
    <x v="7"/>
    <x v="3"/>
    <x v="12"/>
    <s v="Omaha"/>
    <x v="1"/>
    <n v="0.45000000000000007"/>
    <n v="2750"/>
    <n v="1237.5000000000002"/>
    <n v="433.12500000000006"/>
    <n v="0.35"/>
  </r>
  <r>
    <m/>
    <x v="0"/>
    <n v="1185732"/>
    <x v="7"/>
    <x v="3"/>
    <x v="12"/>
    <s v="Omaha"/>
    <x v="2"/>
    <n v="0.4"/>
    <n v="2000"/>
    <n v="800"/>
    <n v="280"/>
    <n v="0.35"/>
  </r>
  <r>
    <m/>
    <x v="0"/>
    <n v="1185732"/>
    <x v="7"/>
    <x v="3"/>
    <x v="12"/>
    <s v="Omaha"/>
    <x v="3"/>
    <n v="0.30000000000000004"/>
    <n v="1250"/>
    <n v="375.00000000000006"/>
    <n v="150.00000000000003"/>
    <n v="0.4"/>
  </r>
  <r>
    <m/>
    <x v="0"/>
    <n v="1185732"/>
    <x v="7"/>
    <x v="3"/>
    <x v="12"/>
    <s v="Omaha"/>
    <x v="4"/>
    <n v="0.4"/>
    <n v="1000"/>
    <n v="400"/>
    <n v="140"/>
    <n v="0.35"/>
  </r>
  <r>
    <m/>
    <x v="0"/>
    <n v="1185732"/>
    <x v="7"/>
    <x v="3"/>
    <x v="12"/>
    <s v="Omaha"/>
    <x v="5"/>
    <n v="0.45"/>
    <n v="2750"/>
    <n v="1237.5"/>
    <n v="618.75"/>
    <n v="0.5"/>
  </r>
  <r>
    <m/>
    <x v="0"/>
    <n v="1185732"/>
    <x v="122"/>
    <x v="3"/>
    <x v="12"/>
    <s v="Omaha"/>
    <x v="0"/>
    <n v="0.4"/>
    <n v="4000"/>
    <n v="1600"/>
    <n v="640"/>
    <n v="0.4"/>
  </r>
  <r>
    <m/>
    <x v="0"/>
    <n v="1185732"/>
    <x v="122"/>
    <x v="3"/>
    <x v="12"/>
    <s v="Omaha"/>
    <x v="1"/>
    <n v="0.35000000000000009"/>
    <n v="2000"/>
    <n v="700.00000000000023"/>
    <n v="245.00000000000006"/>
    <n v="0.35"/>
  </r>
  <r>
    <m/>
    <x v="0"/>
    <n v="1185732"/>
    <x v="122"/>
    <x v="3"/>
    <x v="12"/>
    <s v="Omaha"/>
    <x v="2"/>
    <n v="0.2"/>
    <n v="1000"/>
    <n v="200"/>
    <n v="70"/>
    <n v="0.35"/>
  </r>
  <r>
    <m/>
    <x v="0"/>
    <n v="1185732"/>
    <x v="122"/>
    <x v="3"/>
    <x v="12"/>
    <s v="Omaha"/>
    <x v="3"/>
    <n v="0.2"/>
    <n v="750"/>
    <n v="150"/>
    <n v="60"/>
    <n v="0.4"/>
  </r>
  <r>
    <m/>
    <x v="0"/>
    <n v="1185732"/>
    <x v="122"/>
    <x v="3"/>
    <x v="12"/>
    <s v="Omaha"/>
    <x v="4"/>
    <n v="0.3"/>
    <n v="750"/>
    <n v="225"/>
    <n v="78.75"/>
    <n v="0.35"/>
  </r>
  <r>
    <m/>
    <x v="0"/>
    <n v="1185732"/>
    <x v="122"/>
    <x v="3"/>
    <x v="12"/>
    <s v="Omaha"/>
    <x v="5"/>
    <n v="0.35000000000000003"/>
    <n v="1500"/>
    <n v="525"/>
    <n v="262.5"/>
    <n v="0.5"/>
  </r>
  <r>
    <m/>
    <x v="0"/>
    <n v="1185732"/>
    <x v="123"/>
    <x v="3"/>
    <x v="12"/>
    <s v="Omaha"/>
    <x v="0"/>
    <n v="0.39999999999999997"/>
    <n v="3250"/>
    <n v="1300"/>
    <n v="520"/>
    <n v="0.4"/>
  </r>
  <r>
    <m/>
    <x v="0"/>
    <n v="1185732"/>
    <x v="123"/>
    <x v="3"/>
    <x v="12"/>
    <s v="Omaha"/>
    <x v="1"/>
    <n v="0.3"/>
    <n v="1500"/>
    <n v="450"/>
    <n v="157.5"/>
    <n v="0.35"/>
  </r>
  <r>
    <m/>
    <x v="0"/>
    <n v="1185732"/>
    <x v="123"/>
    <x v="3"/>
    <x v="12"/>
    <s v="Omaha"/>
    <x v="2"/>
    <n v="0.3"/>
    <n v="500"/>
    <n v="150"/>
    <n v="52.5"/>
    <n v="0.35"/>
  </r>
  <r>
    <m/>
    <x v="0"/>
    <n v="1185732"/>
    <x v="123"/>
    <x v="3"/>
    <x v="12"/>
    <s v="Omaha"/>
    <x v="3"/>
    <n v="0.3"/>
    <n v="250"/>
    <n v="75"/>
    <n v="30"/>
    <n v="0.4"/>
  </r>
  <r>
    <m/>
    <x v="0"/>
    <n v="1185732"/>
    <x v="123"/>
    <x v="3"/>
    <x v="12"/>
    <s v="Omaha"/>
    <x v="4"/>
    <n v="0.39999999999999997"/>
    <n v="250"/>
    <n v="99.999999999999986"/>
    <n v="34.999999999999993"/>
    <n v="0.35"/>
  </r>
  <r>
    <m/>
    <x v="0"/>
    <n v="1185732"/>
    <x v="123"/>
    <x v="3"/>
    <x v="12"/>
    <s v="Omaha"/>
    <x v="5"/>
    <n v="0.4499999999999999"/>
    <n v="1500"/>
    <n v="674.99999999999989"/>
    <n v="337.49999999999994"/>
    <n v="0.5"/>
  </r>
  <r>
    <m/>
    <x v="0"/>
    <n v="1185732"/>
    <x v="10"/>
    <x v="3"/>
    <x v="12"/>
    <s v="Omaha"/>
    <x v="0"/>
    <n v="0.4"/>
    <n v="3000"/>
    <n v="1200"/>
    <n v="480"/>
    <n v="0.4"/>
  </r>
  <r>
    <m/>
    <x v="0"/>
    <n v="1185732"/>
    <x v="10"/>
    <x v="3"/>
    <x v="12"/>
    <s v="Omaha"/>
    <x v="1"/>
    <n v="0.30000000000000004"/>
    <n v="1500"/>
    <n v="450.00000000000006"/>
    <n v="157.5"/>
    <n v="0.35"/>
  </r>
  <r>
    <m/>
    <x v="0"/>
    <n v="1185732"/>
    <x v="10"/>
    <x v="3"/>
    <x v="12"/>
    <s v="Omaha"/>
    <x v="2"/>
    <n v="0.30000000000000004"/>
    <n v="950"/>
    <n v="285.00000000000006"/>
    <n v="99.750000000000014"/>
    <n v="0.35"/>
  </r>
  <r>
    <m/>
    <x v="0"/>
    <n v="1185732"/>
    <x v="10"/>
    <x v="3"/>
    <x v="12"/>
    <s v="Omaha"/>
    <x v="3"/>
    <n v="0.30000000000000004"/>
    <n v="1250"/>
    <n v="375.00000000000006"/>
    <n v="150.00000000000003"/>
    <n v="0.4"/>
  </r>
  <r>
    <m/>
    <x v="0"/>
    <n v="1185732"/>
    <x v="10"/>
    <x v="3"/>
    <x v="12"/>
    <s v="Omaha"/>
    <x v="4"/>
    <n v="0.49999999999999994"/>
    <n v="1000"/>
    <n v="499.99999999999994"/>
    <n v="174.99999999999997"/>
    <n v="0.35"/>
  </r>
  <r>
    <m/>
    <x v="0"/>
    <n v="1185732"/>
    <x v="10"/>
    <x v="3"/>
    <x v="12"/>
    <s v="Omaha"/>
    <x v="5"/>
    <n v="0.54999999999999982"/>
    <n v="2000"/>
    <n v="1099.9999999999995"/>
    <n v="549.99999999999977"/>
    <n v="0.5"/>
  </r>
  <r>
    <m/>
    <x v="0"/>
    <n v="1185732"/>
    <x v="11"/>
    <x v="3"/>
    <x v="12"/>
    <s v="Omaha"/>
    <x v="0"/>
    <n v="0.49999999999999994"/>
    <n v="4500"/>
    <n v="2249.9999999999995"/>
    <n v="899.99999999999989"/>
    <n v="0.4"/>
  </r>
  <r>
    <m/>
    <x v="0"/>
    <n v="1185732"/>
    <x v="11"/>
    <x v="3"/>
    <x v="12"/>
    <s v="Omaha"/>
    <x v="1"/>
    <n v="0.4"/>
    <n v="2500"/>
    <n v="1000"/>
    <n v="350"/>
    <n v="0.35"/>
  </r>
  <r>
    <m/>
    <x v="0"/>
    <n v="1185732"/>
    <x v="11"/>
    <x v="3"/>
    <x v="12"/>
    <s v="Omaha"/>
    <x v="2"/>
    <n v="0.4"/>
    <n v="2000"/>
    <n v="800"/>
    <n v="280"/>
    <n v="0.35"/>
  </r>
  <r>
    <m/>
    <x v="0"/>
    <n v="1185732"/>
    <x v="11"/>
    <x v="3"/>
    <x v="12"/>
    <s v="Omaha"/>
    <x v="3"/>
    <n v="0.4"/>
    <n v="1500"/>
    <n v="600"/>
    <n v="240"/>
    <n v="0.4"/>
  </r>
  <r>
    <m/>
    <x v="0"/>
    <n v="1185732"/>
    <x v="11"/>
    <x v="3"/>
    <x v="12"/>
    <s v="Omaha"/>
    <x v="4"/>
    <n v="0.49999999999999994"/>
    <n v="1500"/>
    <n v="749.99999999999989"/>
    <n v="262.49999999999994"/>
    <n v="0.35"/>
  </r>
  <r>
    <m/>
    <x v="0"/>
    <n v="1185732"/>
    <x v="11"/>
    <x v="3"/>
    <x v="12"/>
    <s v="Omaha"/>
    <x v="5"/>
    <n v="0.54999999999999982"/>
    <n v="2500"/>
    <n v="1374.9999999999995"/>
    <n v="687.49999999999977"/>
    <n v="0.5"/>
  </r>
  <r>
    <s v="x"/>
    <x v="1"/>
    <n v="1197831"/>
    <x v="12"/>
    <x v="1"/>
    <x v="13"/>
    <s v="Birmingham"/>
    <x v="0"/>
    <n v="0.2"/>
    <n v="6750"/>
    <n v="1350"/>
    <n v="540"/>
    <n v="0.39999999999999997"/>
  </r>
  <r>
    <m/>
    <x v="1"/>
    <n v="1197831"/>
    <x v="12"/>
    <x v="1"/>
    <x v="13"/>
    <s v="Birmingham"/>
    <x v="1"/>
    <n v="0.3"/>
    <n v="6750"/>
    <n v="2025"/>
    <n v="809.99999999999989"/>
    <n v="0.39999999999999997"/>
  </r>
  <r>
    <m/>
    <x v="1"/>
    <n v="1197831"/>
    <x v="12"/>
    <x v="1"/>
    <x v="13"/>
    <s v="Birmingham"/>
    <x v="2"/>
    <n v="0.3"/>
    <n v="4750"/>
    <n v="1425"/>
    <n v="570"/>
    <n v="0.39999999999999997"/>
  </r>
  <r>
    <m/>
    <x v="1"/>
    <n v="1197831"/>
    <x v="12"/>
    <x v="1"/>
    <x v="13"/>
    <s v="Birmingham"/>
    <x v="3"/>
    <n v="0.35"/>
    <n v="4750"/>
    <n v="1662.5"/>
    <n v="831.25"/>
    <n v="0.5"/>
  </r>
  <r>
    <m/>
    <x v="1"/>
    <n v="1197831"/>
    <x v="12"/>
    <x v="1"/>
    <x v="13"/>
    <s v="Birmingham"/>
    <x v="4"/>
    <n v="0.4"/>
    <n v="3250"/>
    <n v="1300"/>
    <n v="454.99999999999994"/>
    <n v="0.35"/>
  </r>
  <r>
    <m/>
    <x v="1"/>
    <n v="1197831"/>
    <x v="12"/>
    <x v="1"/>
    <x v="13"/>
    <s v="Birmingham"/>
    <x v="5"/>
    <n v="0.35"/>
    <n v="4750"/>
    <n v="1662.5"/>
    <n v="914.37500000000011"/>
    <n v="0.55000000000000004"/>
  </r>
  <r>
    <m/>
    <x v="1"/>
    <n v="1197831"/>
    <x v="13"/>
    <x v="1"/>
    <x v="13"/>
    <s v="Birmingham"/>
    <x v="0"/>
    <n v="0.25"/>
    <n v="6250"/>
    <n v="1562.5"/>
    <n v="625"/>
    <n v="0.39999999999999997"/>
  </r>
  <r>
    <m/>
    <x v="1"/>
    <n v="1197831"/>
    <x v="13"/>
    <x v="1"/>
    <x v="13"/>
    <s v="Birmingham"/>
    <x v="1"/>
    <n v="0.35"/>
    <n v="6000"/>
    <n v="2100"/>
    <n v="839.99999999999989"/>
    <n v="0.39999999999999997"/>
  </r>
  <r>
    <m/>
    <x v="1"/>
    <n v="1197831"/>
    <x v="13"/>
    <x v="1"/>
    <x v="13"/>
    <s v="Birmingham"/>
    <x v="2"/>
    <n v="0.35"/>
    <n v="4250"/>
    <n v="1487.5"/>
    <n v="595"/>
    <n v="0.39999999999999997"/>
  </r>
  <r>
    <m/>
    <x v="1"/>
    <n v="1197831"/>
    <x v="13"/>
    <x v="1"/>
    <x v="13"/>
    <s v="Birmingham"/>
    <x v="3"/>
    <n v="0.35"/>
    <n v="3750"/>
    <n v="1312.5"/>
    <n v="656.25"/>
    <n v="0.5"/>
  </r>
  <r>
    <m/>
    <x v="1"/>
    <n v="1197831"/>
    <x v="13"/>
    <x v="1"/>
    <x v="13"/>
    <s v="Birmingham"/>
    <x v="4"/>
    <n v="0.4"/>
    <n v="2500"/>
    <n v="1000"/>
    <n v="350"/>
    <n v="0.35"/>
  </r>
  <r>
    <m/>
    <x v="1"/>
    <n v="1197831"/>
    <x v="13"/>
    <x v="1"/>
    <x v="13"/>
    <s v="Birmingham"/>
    <x v="5"/>
    <n v="0.35"/>
    <n v="4500"/>
    <n v="1575"/>
    <n v="866.25000000000011"/>
    <n v="0.55000000000000004"/>
  </r>
  <r>
    <m/>
    <x v="1"/>
    <n v="1197831"/>
    <x v="14"/>
    <x v="1"/>
    <x v="13"/>
    <s v="Birmingham"/>
    <x v="0"/>
    <n v="0.3"/>
    <n v="6250"/>
    <n v="1875"/>
    <n v="843.74999999999989"/>
    <n v="0.44999999999999996"/>
  </r>
  <r>
    <m/>
    <x v="1"/>
    <n v="1197831"/>
    <x v="14"/>
    <x v="1"/>
    <x v="13"/>
    <s v="Birmingham"/>
    <x v="1"/>
    <n v="0.4"/>
    <n v="6250"/>
    <n v="2500"/>
    <n v="1125"/>
    <n v="0.44999999999999996"/>
  </r>
  <r>
    <m/>
    <x v="1"/>
    <n v="1197831"/>
    <x v="14"/>
    <x v="1"/>
    <x v="13"/>
    <s v="Birmingham"/>
    <x v="2"/>
    <n v="0.3"/>
    <n v="4500"/>
    <n v="1350"/>
    <n v="607.49999999999989"/>
    <n v="0.44999999999999996"/>
  </r>
  <r>
    <m/>
    <x v="1"/>
    <n v="1197831"/>
    <x v="14"/>
    <x v="1"/>
    <x v="13"/>
    <s v="Birmingham"/>
    <x v="3"/>
    <n v="0.35000000000000003"/>
    <n v="3500"/>
    <n v="1225.0000000000002"/>
    <n v="673.75000000000023"/>
    <n v="0.55000000000000004"/>
  </r>
  <r>
    <m/>
    <x v="1"/>
    <n v="1197831"/>
    <x v="14"/>
    <x v="1"/>
    <x v="13"/>
    <s v="Birmingham"/>
    <x v="4"/>
    <n v="0.4"/>
    <n v="2500"/>
    <n v="1000"/>
    <n v="399.99999999999994"/>
    <n v="0.39999999999999997"/>
  </r>
  <r>
    <m/>
    <x v="1"/>
    <n v="1197831"/>
    <x v="14"/>
    <x v="1"/>
    <x v="13"/>
    <s v="Birmingham"/>
    <x v="5"/>
    <n v="0.35000000000000003"/>
    <n v="4000"/>
    <n v="1400.0000000000002"/>
    <n v="840.00000000000023"/>
    <n v="0.60000000000000009"/>
  </r>
  <r>
    <m/>
    <x v="1"/>
    <n v="1197831"/>
    <x v="15"/>
    <x v="1"/>
    <x v="13"/>
    <s v="Birmingham"/>
    <x v="0"/>
    <n v="0.19999999999999998"/>
    <n v="6500"/>
    <n v="1300"/>
    <n v="584.99999999999989"/>
    <n v="0.44999999999999996"/>
  </r>
  <r>
    <m/>
    <x v="1"/>
    <n v="1197831"/>
    <x v="15"/>
    <x v="1"/>
    <x v="13"/>
    <s v="Birmingham"/>
    <x v="1"/>
    <n v="0.20000000000000007"/>
    <n v="6500"/>
    <n v="1300.0000000000005"/>
    <n v="585.00000000000011"/>
    <n v="0.44999999999999996"/>
  </r>
  <r>
    <m/>
    <x v="1"/>
    <n v="1197831"/>
    <x v="15"/>
    <x v="1"/>
    <x v="13"/>
    <s v="Birmingham"/>
    <x v="2"/>
    <n v="0.14999999999999997"/>
    <n v="4750"/>
    <n v="712.49999999999989"/>
    <n v="320.62499999999994"/>
    <n v="0.44999999999999996"/>
  </r>
  <r>
    <m/>
    <x v="1"/>
    <n v="1197831"/>
    <x v="15"/>
    <x v="1"/>
    <x v="13"/>
    <s v="Birmingham"/>
    <x v="3"/>
    <n v="0.20000000000000007"/>
    <n v="3750"/>
    <n v="750.00000000000023"/>
    <n v="412.50000000000017"/>
    <n v="0.55000000000000004"/>
  </r>
  <r>
    <m/>
    <x v="1"/>
    <n v="1197831"/>
    <x v="15"/>
    <x v="1"/>
    <x v="13"/>
    <s v="Birmingham"/>
    <x v="4"/>
    <n v="0.25"/>
    <n v="2750"/>
    <n v="687.5"/>
    <n v="275"/>
    <n v="0.39999999999999997"/>
  </r>
  <r>
    <m/>
    <x v="1"/>
    <n v="1197831"/>
    <x v="15"/>
    <x v="1"/>
    <x v="13"/>
    <s v="Birmingham"/>
    <x v="5"/>
    <n v="0.20000000000000007"/>
    <n v="5500"/>
    <n v="1100.0000000000005"/>
    <n v="660.00000000000034"/>
    <n v="0.60000000000000009"/>
  </r>
  <r>
    <m/>
    <x v="1"/>
    <n v="1197831"/>
    <x v="16"/>
    <x v="1"/>
    <x v="13"/>
    <s v="Birmingham"/>
    <x v="0"/>
    <n v="9.9999999999999964E-2"/>
    <n v="7000"/>
    <n v="699.99999999999977"/>
    <n v="314.99999999999989"/>
    <n v="0.44999999999999996"/>
  </r>
  <r>
    <m/>
    <x v="1"/>
    <n v="1197831"/>
    <x v="16"/>
    <x v="1"/>
    <x v="13"/>
    <s v="Birmingham"/>
    <x v="1"/>
    <n v="0.20000000000000007"/>
    <n v="7250"/>
    <n v="1450.0000000000005"/>
    <n v="652.50000000000011"/>
    <n v="0.44999999999999996"/>
  </r>
  <r>
    <m/>
    <x v="1"/>
    <n v="1197831"/>
    <x v="16"/>
    <x v="1"/>
    <x v="13"/>
    <s v="Birmingham"/>
    <x v="2"/>
    <n v="0.14999999999999997"/>
    <n v="5750"/>
    <n v="862.49999999999977"/>
    <n v="388.12499999999989"/>
    <n v="0.44999999999999996"/>
  </r>
  <r>
    <m/>
    <x v="1"/>
    <n v="1197831"/>
    <x v="16"/>
    <x v="1"/>
    <x v="13"/>
    <s v="Birmingham"/>
    <x v="3"/>
    <n v="0.35000000000000003"/>
    <n v="5000"/>
    <n v="1750.0000000000002"/>
    <n v="962.50000000000023"/>
    <n v="0.55000000000000004"/>
  </r>
  <r>
    <m/>
    <x v="1"/>
    <n v="1197831"/>
    <x v="16"/>
    <x v="1"/>
    <x v="13"/>
    <s v="Birmingham"/>
    <x v="4"/>
    <n v="0.5"/>
    <n v="4000"/>
    <n v="2000"/>
    <n v="799.99999999999989"/>
    <n v="0.39999999999999997"/>
  </r>
  <r>
    <m/>
    <x v="1"/>
    <n v="1197831"/>
    <x v="16"/>
    <x v="1"/>
    <x v="13"/>
    <s v="Birmingham"/>
    <x v="5"/>
    <n v="0.45"/>
    <n v="7500"/>
    <n v="3375"/>
    <n v="2025.0000000000002"/>
    <n v="0.60000000000000009"/>
  </r>
  <r>
    <m/>
    <x v="1"/>
    <n v="1197831"/>
    <x v="17"/>
    <x v="1"/>
    <x v="13"/>
    <s v="Birmingham"/>
    <x v="0"/>
    <n v="0.45"/>
    <n v="7500"/>
    <n v="3375"/>
    <n v="1518.7499999999998"/>
    <n v="0.44999999999999996"/>
  </r>
  <r>
    <m/>
    <x v="1"/>
    <n v="1197831"/>
    <x v="17"/>
    <x v="1"/>
    <x v="13"/>
    <s v="Birmingham"/>
    <x v="1"/>
    <n v="0.5"/>
    <n v="7500"/>
    <n v="3750"/>
    <n v="1687.4999999999998"/>
    <n v="0.44999999999999996"/>
  </r>
  <r>
    <m/>
    <x v="1"/>
    <n v="1197831"/>
    <x v="17"/>
    <x v="1"/>
    <x v="13"/>
    <s v="Birmingham"/>
    <x v="2"/>
    <n v="0.45"/>
    <n v="6500"/>
    <n v="2925"/>
    <n v="1316.2499999999998"/>
    <n v="0.44999999999999996"/>
  </r>
  <r>
    <m/>
    <x v="1"/>
    <n v="1197831"/>
    <x v="17"/>
    <x v="1"/>
    <x v="13"/>
    <s v="Birmingham"/>
    <x v="3"/>
    <n v="0.45"/>
    <n v="6000"/>
    <n v="2700"/>
    <n v="1485.0000000000002"/>
    <n v="0.55000000000000004"/>
  </r>
  <r>
    <m/>
    <x v="1"/>
    <n v="1197831"/>
    <x v="17"/>
    <x v="1"/>
    <x v="13"/>
    <s v="Birmingham"/>
    <x v="4"/>
    <n v="0.5"/>
    <n v="5000"/>
    <n v="2500"/>
    <n v="999.99999999999989"/>
    <n v="0.39999999999999997"/>
  </r>
  <r>
    <m/>
    <x v="1"/>
    <n v="1197831"/>
    <x v="17"/>
    <x v="1"/>
    <x v="13"/>
    <s v="Birmingham"/>
    <x v="5"/>
    <n v="0.55000000000000004"/>
    <n v="8750"/>
    <n v="4812.5"/>
    <n v="2887.5000000000005"/>
    <n v="0.60000000000000009"/>
  </r>
  <r>
    <m/>
    <x v="1"/>
    <n v="1197831"/>
    <x v="18"/>
    <x v="1"/>
    <x v="13"/>
    <s v="Birmingham"/>
    <x v="0"/>
    <n v="0.45"/>
    <n v="8250"/>
    <n v="3712.5"/>
    <n v="1856.2499999999998"/>
    <n v="0.49999999999999994"/>
  </r>
  <r>
    <m/>
    <x v="1"/>
    <n v="1197831"/>
    <x v="18"/>
    <x v="1"/>
    <x v="13"/>
    <s v="Birmingham"/>
    <x v="1"/>
    <n v="0.5"/>
    <n v="8250"/>
    <n v="4125"/>
    <n v="2062.4999999999995"/>
    <n v="0.49999999999999994"/>
  </r>
  <r>
    <m/>
    <x v="1"/>
    <n v="1197831"/>
    <x v="18"/>
    <x v="1"/>
    <x v="13"/>
    <s v="Birmingham"/>
    <x v="2"/>
    <n v="0.45"/>
    <n v="9750"/>
    <n v="4387.5"/>
    <n v="2193.7499999999995"/>
    <n v="0.49999999999999994"/>
  </r>
  <r>
    <m/>
    <x v="1"/>
    <n v="1197831"/>
    <x v="18"/>
    <x v="1"/>
    <x v="13"/>
    <s v="Birmingham"/>
    <x v="3"/>
    <n v="0.45"/>
    <n v="5750"/>
    <n v="2587.5"/>
    <n v="1552.5000000000002"/>
    <n v="0.60000000000000009"/>
  </r>
  <r>
    <m/>
    <x v="1"/>
    <n v="1197831"/>
    <x v="18"/>
    <x v="1"/>
    <x v="13"/>
    <s v="Birmingham"/>
    <x v="4"/>
    <n v="0.5"/>
    <n v="5250"/>
    <n v="2625"/>
    <n v="1181.2499999999998"/>
    <n v="0.44999999999999996"/>
  </r>
  <r>
    <m/>
    <x v="1"/>
    <n v="1197831"/>
    <x v="18"/>
    <x v="1"/>
    <x v="13"/>
    <s v="Birmingham"/>
    <x v="5"/>
    <n v="0.6"/>
    <n v="8000"/>
    <n v="4800"/>
    <n v="3120.0000000000005"/>
    <n v="0.65000000000000013"/>
  </r>
  <r>
    <m/>
    <x v="1"/>
    <n v="1197831"/>
    <x v="19"/>
    <x v="1"/>
    <x v="13"/>
    <s v="Birmingham"/>
    <x v="0"/>
    <n v="0.4"/>
    <n v="7500"/>
    <n v="3000"/>
    <n v="1499.9999999999998"/>
    <n v="0.49999999999999994"/>
  </r>
  <r>
    <m/>
    <x v="1"/>
    <n v="1197831"/>
    <x v="19"/>
    <x v="1"/>
    <x v="13"/>
    <s v="Birmingham"/>
    <x v="1"/>
    <n v="0.55000000000000004"/>
    <n v="7500"/>
    <n v="4125"/>
    <n v="2062.4999999999995"/>
    <n v="0.49999999999999994"/>
  </r>
  <r>
    <m/>
    <x v="1"/>
    <n v="1197831"/>
    <x v="19"/>
    <x v="1"/>
    <x v="13"/>
    <s v="Birmingham"/>
    <x v="2"/>
    <n v="0.55000000000000004"/>
    <n v="9250"/>
    <n v="5087.5"/>
    <n v="2543.7499999999995"/>
    <n v="0.49999999999999994"/>
  </r>
  <r>
    <m/>
    <x v="1"/>
    <n v="1197831"/>
    <x v="19"/>
    <x v="1"/>
    <x v="13"/>
    <s v="Birmingham"/>
    <x v="3"/>
    <n v="0.5"/>
    <n v="4250"/>
    <n v="2125"/>
    <n v="1275.0000000000002"/>
    <n v="0.60000000000000009"/>
  </r>
  <r>
    <m/>
    <x v="1"/>
    <n v="1197831"/>
    <x v="19"/>
    <x v="1"/>
    <x v="13"/>
    <s v="Birmingham"/>
    <x v="4"/>
    <n v="0.55000000000000004"/>
    <n v="4250"/>
    <n v="2337.5"/>
    <n v="1051.875"/>
    <n v="0.44999999999999996"/>
  </r>
  <r>
    <m/>
    <x v="1"/>
    <n v="1197831"/>
    <x v="19"/>
    <x v="1"/>
    <x v="13"/>
    <s v="Birmingham"/>
    <x v="5"/>
    <n v="0.6"/>
    <n v="6750"/>
    <n v="4050"/>
    <n v="2632.5000000000005"/>
    <n v="0.65000000000000013"/>
  </r>
  <r>
    <m/>
    <x v="1"/>
    <n v="1197831"/>
    <x v="20"/>
    <x v="1"/>
    <x v="13"/>
    <s v="Birmingham"/>
    <x v="0"/>
    <n v="0.55000000000000004"/>
    <n v="6250"/>
    <n v="3437.5000000000005"/>
    <n v="1718.75"/>
    <n v="0.49999999999999994"/>
  </r>
  <r>
    <m/>
    <x v="1"/>
    <n v="1197831"/>
    <x v="20"/>
    <x v="1"/>
    <x v="13"/>
    <s v="Birmingham"/>
    <x v="1"/>
    <n v="0.55000000000000004"/>
    <n v="5750"/>
    <n v="3162.5000000000005"/>
    <n v="1581.25"/>
    <n v="0.49999999999999994"/>
  </r>
  <r>
    <m/>
    <x v="1"/>
    <n v="1197831"/>
    <x v="20"/>
    <x v="1"/>
    <x v="13"/>
    <s v="Birmingham"/>
    <x v="2"/>
    <n v="0.6"/>
    <n v="6250"/>
    <n v="3750"/>
    <n v="1874.9999999999998"/>
    <n v="0.49999999999999994"/>
  </r>
  <r>
    <m/>
    <x v="1"/>
    <n v="1197831"/>
    <x v="20"/>
    <x v="1"/>
    <x v="13"/>
    <s v="Birmingham"/>
    <x v="3"/>
    <n v="0.6"/>
    <n v="3500"/>
    <n v="2100"/>
    <n v="1260.0000000000002"/>
    <n v="0.60000000000000009"/>
  </r>
  <r>
    <m/>
    <x v="1"/>
    <n v="1197831"/>
    <x v="20"/>
    <x v="1"/>
    <x v="13"/>
    <s v="Birmingham"/>
    <x v="4"/>
    <n v="0.45"/>
    <n v="3500"/>
    <n v="1575"/>
    <n v="708.74999999999989"/>
    <n v="0.44999999999999996"/>
  </r>
  <r>
    <m/>
    <x v="1"/>
    <n v="1197831"/>
    <x v="20"/>
    <x v="1"/>
    <x v="13"/>
    <s v="Birmingham"/>
    <x v="5"/>
    <n v="0.4"/>
    <n v="5750"/>
    <n v="2300"/>
    <n v="1495.0000000000002"/>
    <n v="0.65000000000000013"/>
  </r>
  <r>
    <m/>
    <x v="1"/>
    <n v="1197831"/>
    <x v="21"/>
    <x v="1"/>
    <x v="13"/>
    <s v="Birmingham"/>
    <x v="0"/>
    <n v="0.30000000000000004"/>
    <n v="5250"/>
    <n v="1575.0000000000002"/>
    <n v="787.5"/>
    <n v="0.49999999999999994"/>
  </r>
  <r>
    <m/>
    <x v="1"/>
    <n v="1197831"/>
    <x v="21"/>
    <x v="1"/>
    <x v="13"/>
    <s v="Birmingham"/>
    <x v="1"/>
    <n v="0.30000000000000004"/>
    <n v="5250"/>
    <n v="1575.0000000000002"/>
    <n v="787.5"/>
    <n v="0.49999999999999994"/>
  </r>
  <r>
    <m/>
    <x v="1"/>
    <n v="1197831"/>
    <x v="21"/>
    <x v="1"/>
    <x v="13"/>
    <s v="Birmingham"/>
    <x v="2"/>
    <n v="0.35000000000000003"/>
    <n v="4750"/>
    <n v="1662.5000000000002"/>
    <n v="831.25"/>
    <n v="0.49999999999999994"/>
  </r>
  <r>
    <m/>
    <x v="1"/>
    <n v="1197831"/>
    <x v="21"/>
    <x v="1"/>
    <x v="13"/>
    <s v="Birmingham"/>
    <x v="3"/>
    <n v="0.35000000000000003"/>
    <n v="3250"/>
    <n v="1137.5"/>
    <n v="682.50000000000011"/>
    <n v="0.60000000000000009"/>
  </r>
  <r>
    <m/>
    <x v="1"/>
    <n v="1197831"/>
    <x v="21"/>
    <x v="1"/>
    <x v="13"/>
    <s v="Birmingham"/>
    <x v="4"/>
    <n v="0.30000000000000004"/>
    <n v="3000"/>
    <n v="900.00000000000011"/>
    <n v="405"/>
    <n v="0.44999999999999996"/>
  </r>
  <r>
    <m/>
    <x v="1"/>
    <n v="1197831"/>
    <x v="21"/>
    <x v="1"/>
    <x v="13"/>
    <s v="Birmingham"/>
    <x v="5"/>
    <n v="0.4"/>
    <n v="4750"/>
    <n v="1900"/>
    <n v="1235.0000000000002"/>
    <n v="0.65000000000000013"/>
  </r>
  <r>
    <m/>
    <x v="1"/>
    <n v="1197831"/>
    <x v="22"/>
    <x v="1"/>
    <x v="13"/>
    <s v="Birmingham"/>
    <x v="0"/>
    <n v="0.20000000000000004"/>
    <n v="6250"/>
    <n v="1250.0000000000002"/>
    <n v="625"/>
    <n v="0.49999999999999994"/>
  </r>
  <r>
    <m/>
    <x v="1"/>
    <n v="1197831"/>
    <x v="22"/>
    <x v="1"/>
    <x v="13"/>
    <s v="Birmingham"/>
    <x v="1"/>
    <n v="0.20000000000000004"/>
    <n v="6250"/>
    <n v="1250.0000000000002"/>
    <n v="625"/>
    <n v="0.49999999999999994"/>
  </r>
  <r>
    <m/>
    <x v="1"/>
    <n v="1197831"/>
    <x v="22"/>
    <x v="1"/>
    <x v="13"/>
    <s v="Birmingham"/>
    <x v="2"/>
    <n v="0.45000000000000007"/>
    <n v="5750"/>
    <n v="2587.5000000000005"/>
    <n v="1293.75"/>
    <n v="0.49999999999999994"/>
  </r>
  <r>
    <m/>
    <x v="1"/>
    <n v="1197831"/>
    <x v="22"/>
    <x v="1"/>
    <x v="13"/>
    <s v="Birmingham"/>
    <x v="3"/>
    <n v="0.45000000000000007"/>
    <n v="4500"/>
    <n v="2025.0000000000002"/>
    <n v="1215.0000000000002"/>
    <n v="0.60000000000000009"/>
  </r>
  <r>
    <m/>
    <x v="1"/>
    <n v="1197831"/>
    <x v="22"/>
    <x v="1"/>
    <x v="13"/>
    <s v="Birmingham"/>
    <x v="4"/>
    <n v="0.49999999999999994"/>
    <n v="4250"/>
    <n v="2124.9999999999995"/>
    <n v="956.24999999999966"/>
    <n v="0.44999999999999996"/>
  </r>
  <r>
    <m/>
    <x v="1"/>
    <n v="1197831"/>
    <x v="22"/>
    <x v="1"/>
    <x v="13"/>
    <s v="Birmingham"/>
    <x v="5"/>
    <n v="0.6"/>
    <n v="6250"/>
    <n v="3750"/>
    <n v="2437.5000000000005"/>
    <n v="0.65000000000000013"/>
  </r>
  <r>
    <m/>
    <x v="1"/>
    <n v="1197831"/>
    <x v="23"/>
    <x v="1"/>
    <x v="13"/>
    <s v="Birmingham"/>
    <x v="0"/>
    <n v="0.6"/>
    <n v="7750"/>
    <n v="4650"/>
    <n v="2324.9999999999995"/>
    <n v="0.49999999999999994"/>
  </r>
  <r>
    <m/>
    <x v="1"/>
    <n v="1197831"/>
    <x v="23"/>
    <x v="1"/>
    <x v="13"/>
    <s v="Birmingham"/>
    <x v="1"/>
    <n v="0.6"/>
    <n v="7750"/>
    <n v="4650"/>
    <n v="2324.9999999999995"/>
    <n v="0.49999999999999994"/>
  </r>
  <r>
    <m/>
    <x v="1"/>
    <n v="1197831"/>
    <x v="23"/>
    <x v="1"/>
    <x v="13"/>
    <s v="Birmingham"/>
    <x v="2"/>
    <n v="0.65"/>
    <n v="7000"/>
    <n v="4550"/>
    <n v="2274.9999999999995"/>
    <n v="0.49999999999999994"/>
  </r>
  <r>
    <m/>
    <x v="1"/>
    <n v="1197831"/>
    <x v="23"/>
    <x v="1"/>
    <x v="13"/>
    <s v="Birmingham"/>
    <x v="3"/>
    <n v="0.65"/>
    <n v="5500"/>
    <n v="3575"/>
    <n v="2145.0000000000005"/>
    <n v="0.60000000000000009"/>
  </r>
  <r>
    <m/>
    <x v="1"/>
    <n v="1197831"/>
    <x v="23"/>
    <x v="1"/>
    <x v="13"/>
    <s v="Birmingham"/>
    <x v="4"/>
    <n v="0.6"/>
    <n v="5000"/>
    <n v="3000"/>
    <n v="1349.9999999999998"/>
    <n v="0.44999999999999996"/>
  </r>
  <r>
    <m/>
    <x v="1"/>
    <n v="1197831"/>
    <x v="23"/>
    <x v="1"/>
    <x v="13"/>
    <s v="Birmingham"/>
    <x v="5"/>
    <n v="0.70000000000000007"/>
    <n v="7500"/>
    <n v="5250.0000000000009"/>
    <n v="3412.5000000000014"/>
    <n v="0.65000000000000013"/>
  </r>
  <r>
    <s v="x"/>
    <x v="0"/>
    <n v="1185732"/>
    <x v="124"/>
    <x v="0"/>
    <x v="14"/>
    <s v="Portland"/>
    <x v="0"/>
    <n v="0.4"/>
    <n v="4500"/>
    <n v="1800"/>
    <n v="630"/>
    <n v="0.35"/>
  </r>
  <r>
    <m/>
    <x v="0"/>
    <n v="1185732"/>
    <x v="124"/>
    <x v="0"/>
    <x v="14"/>
    <s v="Portland"/>
    <x v="1"/>
    <n v="0.4"/>
    <n v="2500"/>
    <n v="1000"/>
    <n v="350"/>
    <n v="0.35"/>
  </r>
  <r>
    <m/>
    <x v="0"/>
    <n v="1185732"/>
    <x v="124"/>
    <x v="0"/>
    <x v="14"/>
    <s v="Portland"/>
    <x v="2"/>
    <n v="0.30000000000000004"/>
    <n v="2500"/>
    <n v="750.00000000000011"/>
    <n v="300"/>
    <n v="0.39999999999999997"/>
  </r>
  <r>
    <m/>
    <x v="0"/>
    <n v="1185732"/>
    <x v="124"/>
    <x v="0"/>
    <x v="14"/>
    <s v="Portland"/>
    <x v="3"/>
    <n v="0.35"/>
    <n v="1000"/>
    <n v="350"/>
    <n v="105"/>
    <n v="0.3"/>
  </r>
  <r>
    <m/>
    <x v="0"/>
    <n v="1185732"/>
    <x v="124"/>
    <x v="0"/>
    <x v="14"/>
    <s v="Portland"/>
    <x v="4"/>
    <n v="0.5"/>
    <n v="1500"/>
    <n v="750"/>
    <n v="187.5"/>
    <n v="0.25"/>
  </r>
  <r>
    <m/>
    <x v="0"/>
    <n v="1185732"/>
    <x v="124"/>
    <x v="0"/>
    <x v="14"/>
    <s v="Portland"/>
    <x v="5"/>
    <n v="0.4"/>
    <n v="2500"/>
    <n v="1000"/>
    <n v="400"/>
    <n v="0.4"/>
  </r>
  <r>
    <m/>
    <x v="0"/>
    <n v="1185732"/>
    <x v="125"/>
    <x v="0"/>
    <x v="14"/>
    <s v="Portland"/>
    <x v="0"/>
    <n v="0.4"/>
    <n v="5000"/>
    <n v="2000"/>
    <n v="700"/>
    <n v="0.35"/>
  </r>
  <r>
    <m/>
    <x v="0"/>
    <n v="1185732"/>
    <x v="125"/>
    <x v="0"/>
    <x v="14"/>
    <s v="Portland"/>
    <x v="1"/>
    <n v="0.4"/>
    <n v="1500"/>
    <n v="600"/>
    <n v="210"/>
    <n v="0.35"/>
  </r>
  <r>
    <m/>
    <x v="0"/>
    <n v="1185732"/>
    <x v="125"/>
    <x v="0"/>
    <x v="14"/>
    <s v="Portland"/>
    <x v="2"/>
    <n v="0.30000000000000004"/>
    <n v="2000"/>
    <n v="600.00000000000011"/>
    <n v="240.00000000000003"/>
    <n v="0.39999999999999997"/>
  </r>
  <r>
    <m/>
    <x v="0"/>
    <n v="1185732"/>
    <x v="125"/>
    <x v="0"/>
    <x v="14"/>
    <s v="Portland"/>
    <x v="3"/>
    <n v="0.35"/>
    <n v="750"/>
    <n v="262.5"/>
    <n v="78.75"/>
    <n v="0.3"/>
  </r>
  <r>
    <m/>
    <x v="0"/>
    <n v="1185732"/>
    <x v="125"/>
    <x v="0"/>
    <x v="14"/>
    <s v="Portland"/>
    <x v="4"/>
    <n v="0.5"/>
    <n v="1500"/>
    <n v="750"/>
    <n v="187.5"/>
    <n v="0.25"/>
  </r>
  <r>
    <m/>
    <x v="0"/>
    <n v="1185732"/>
    <x v="125"/>
    <x v="0"/>
    <x v="14"/>
    <s v="Portland"/>
    <x v="5"/>
    <n v="0.4"/>
    <n v="2500"/>
    <n v="1000"/>
    <n v="400"/>
    <n v="0.4"/>
  </r>
  <r>
    <m/>
    <x v="0"/>
    <n v="1185732"/>
    <x v="126"/>
    <x v="0"/>
    <x v="14"/>
    <s v="Portland"/>
    <x v="0"/>
    <n v="0.4"/>
    <n v="4700"/>
    <n v="1880"/>
    <n v="658"/>
    <n v="0.35"/>
  </r>
  <r>
    <m/>
    <x v="0"/>
    <n v="1185732"/>
    <x v="126"/>
    <x v="0"/>
    <x v="14"/>
    <s v="Portland"/>
    <x v="1"/>
    <n v="0.4"/>
    <n v="1750"/>
    <n v="700"/>
    <n v="244.99999999999997"/>
    <n v="0.35"/>
  </r>
  <r>
    <m/>
    <x v="0"/>
    <n v="1185732"/>
    <x v="126"/>
    <x v="0"/>
    <x v="14"/>
    <s v="Portland"/>
    <x v="2"/>
    <n v="0.30000000000000004"/>
    <n v="2000"/>
    <n v="600.00000000000011"/>
    <n v="240.00000000000003"/>
    <n v="0.39999999999999997"/>
  </r>
  <r>
    <m/>
    <x v="0"/>
    <n v="1185732"/>
    <x v="126"/>
    <x v="0"/>
    <x v="14"/>
    <s v="Portland"/>
    <x v="3"/>
    <n v="0.35"/>
    <n v="500"/>
    <n v="175"/>
    <n v="52.5"/>
    <n v="0.3"/>
  </r>
  <r>
    <m/>
    <x v="0"/>
    <n v="1185732"/>
    <x v="126"/>
    <x v="0"/>
    <x v="14"/>
    <s v="Portland"/>
    <x v="4"/>
    <n v="0.5"/>
    <n v="1000"/>
    <n v="500"/>
    <n v="125"/>
    <n v="0.25"/>
  </r>
  <r>
    <m/>
    <x v="0"/>
    <n v="1185732"/>
    <x v="126"/>
    <x v="0"/>
    <x v="14"/>
    <s v="Portland"/>
    <x v="5"/>
    <n v="0.4"/>
    <n v="2000"/>
    <n v="800"/>
    <n v="320"/>
    <n v="0.4"/>
  </r>
  <r>
    <m/>
    <x v="0"/>
    <n v="1185732"/>
    <x v="127"/>
    <x v="0"/>
    <x v="14"/>
    <s v="Portland"/>
    <x v="0"/>
    <n v="0.4"/>
    <n v="4500"/>
    <n v="1800"/>
    <n v="630"/>
    <n v="0.35"/>
  </r>
  <r>
    <m/>
    <x v="0"/>
    <n v="1185732"/>
    <x v="127"/>
    <x v="0"/>
    <x v="14"/>
    <s v="Portland"/>
    <x v="1"/>
    <n v="0.4"/>
    <n v="1500"/>
    <n v="600"/>
    <n v="210"/>
    <n v="0.35"/>
  </r>
  <r>
    <m/>
    <x v="0"/>
    <n v="1185732"/>
    <x v="127"/>
    <x v="0"/>
    <x v="14"/>
    <s v="Portland"/>
    <x v="2"/>
    <n v="0.30000000000000004"/>
    <n v="1500"/>
    <n v="450.00000000000006"/>
    <n v="180"/>
    <n v="0.39999999999999997"/>
  </r>
  <r>
    <m/>
    <x v="0"/>
    <n v="1185732"/>
    <x v="127"/>
    <x v="0"/>
    <x v="14"/>
    <s v="Portland"/>
    <x v="3"/>
    <n v="0.35"/>
    <n v="750"/>
    <n v="262.5"/>
    <n v="78.75"/>
    <n v="0.3"/>
  </r>
  <r>
    <m/>
    <x v="0"/>
    <n v="1185732"/>
    <x v="127"/>
    <x v="0"/>
    <x v="14"/>
    <s v="Portland"/>
    <x v="4"/>
    <n v="0.5"/>
    <n v="750"/>
    <n v="375"/>
    <n v="93.75"/>
    <n v="0.25"/>
  </r>
  <r>
    <m/>
    <x v="0"/>
    <n v="1185732"/>
    <x v="127"/>
    <x v="0"/>
    <x v="14"/>
    <s v="Portland"/>
    <x v="5"/>
    <n v="0.4"/>
    <n v="2250"/>
    <n v="900"/>
    <n v="360"/>
    <n v="0.4"/>
  </r>
  <r>
    <m/>
    <x v="0"/>
    <n v="1185732"/>
    <x v="128"/>
    <x v="0"/>
    <x v="14"/>
    <s v="Portland"/>
    <x v="0"/>
    <n v="0.54999999999999993"/>
    <n v="4950"/>
    <n v="2722.4999999999995"/>
    <n v="952.87499999999977"/>
    <n v="0.35"/>
  </r>
  <r>
    <m/>
    <x v="0"/>
    <n v="1185732"/>
    <x v="128"/>
    <x v="0"/>
    <x v="14"/>
    <s v="Portland"/>
    <x v="1"/>
    <n v="0.5"/>
    <n v="2000"/>
    <n v="1000"/>
    <n v="350"/>
    <n v="0.35"/>
  </r>
  <r>
    <m/>
    <x v="0"/>
    <n v="1185732"/>
    <x v="128"/>
    <x v="0"/>
    <x v="14"/>
    <s v="Portland"/>
    <x v="2"/>
    <n v="0.45"/>
    <n v="1750"/>
    <n v="787.5"/>
    <n v="315"/>
    <n v="0.39999999999999997"/>
  </r>
  <r>
    <m/>
    <x v="0"/>
    <n v="1185732"/>
    <x v="128"/>
    <x v="0"/>
    <x v="14"/>
    <s v="Portland"/>
    <x v="3"/>
    <n v="0.45"/>
    <n v="1250"/>
    <n v="562.5"/>
    <n v="168.75"/>
    <n v="0.3"/>
  </r>
  <r>
    <m/>
    <x v="0"/>
    <n v="1185732"/>
    <x v="128"/>
    <x v="0"/>
    <x v="14"/>
    <s v="Portland"/>
    <x v="4"/>
    <n v="0.54999999999999993"/>
    <n v="1500"/>
    <n v="824.99999999999989"/>
    <n v="206.24999999999997"/>
    <n v="0.25"/>
  </r>
  <r>
    <m/>
    <x v="0"/>
    <n v="1185732"/>
    <x v="128"/>
    <x v="0"/>
    <x v="14"/>
    <s v="Portland"/>
    <x v="5"/>
    <n v="0.6"/>
    <n v="2750"/>
    <n v="1650"/>
    <n v="660"/>
    <n v="0.4"/>
  </r>
  <r>
    <m/>
    <x v="0"/>
    <n v="1185732"/>
    <x v="129"/>
    <x v="0"/>
    <x v="14"/>
    <s v="Portland"/>
    <x v="0"/>
    <n v="0.54999999999999993"/>
    <n v="5250"/>
    <n v="2887.4999999999995"/>
    <n v="1010.6249999999998"/>
    <n v="0.35"/>
  </r>
  <r>
    <m/>
    <x v="0"/>
    <n v="1185732"/>
    <x v="129"/>
    <x v="0"/>
    <x v="14"/>
    <s v="Portland"/>
    <x v="1"/>
    <n v="0.5"/>
    <n v="2750"/>
    <n v="1375"/>
    <n v="481.24999999999994"/>
    <n v="0.35"/>
  </r>
  <r>
    <m/>
    <x v="0"/>
    <n v="1185732"/>
    <x v="129"/>
    <x v="0"/>
    <x v="14"/>
    <s v="Portland"/>
    <x v="2"/>
    <n v="0.45"/>
    <n v="2000"/>
    <n v="900"/>
    <n v="359.99999999999994"/>
    <n v="0.39999999999999997"/>
  </r>
  <r>
    <m/>
    <x v="0"/>
    <n v="1185732"/>
    <x v="129"/>
    <x v="0"/>
    <x v="14"/>
    <s v="Portland"/>
    <x v="3"/>
    <n v="0.45"/>
    <n v="1750"/>
    <n v="787.5"/>
    <n v="236.25"/>
    <n v="0.3"/>
  </r>
  <r>
    <m/>
    <x v="0"/>
    <n v="1185732"/>
    <x v="129"/>
    <x v="0"/>
    <x v="14"/>
    <s v="Portland"/>
    <x v="4"/>
    <n v="0.54999999999999993"/>
    <n v="1750"/>
    <n v="962.49999999999989"/>
    <n v="240.62499999999997"/>
    <n v="0.25"/>
  </r>
  <r>
    <m/>
    <x v="0"/>
    <n v="1185732"/>
    <x v="129"/>
    <x v="0"/>
    <x v="14"/>
    <s v="Portland"/>
    <x v="5"/>
    <n v="0.6"/>
    <n v="3250"/>
    <n v="1950"/>
    <n v="780"/>
    <n v="0.4"/>
  </r>
  <r>
    <m/>
    <x v="0"/>
    <n v="1185732"/>
    <x v="130"/>
    <x v="0"/>
    <x v="14"/>
    <s v="Portland"/>
    <x v="0"/>
    <n v="0.54999999999999993"/>
    <n v="5500"/>
    <n v="3024.9999999999995"/>
    <n v="1058.7499999999998"/>
    <n v="0.35"/>
  </r>
  <r>
    <m/>
    <x v="0"/>
    <n v="1185732"/>
    <x v="130"/>
    <x v="0"/>
    <x v="14"/>
    <s v="Portland"/>
    <x v="1"/>
    <n v="0.5"/>
    <n v="3000"/>
    <n v="1500"/>
    <n v="525"/>
    <n v="0.35"/>
  </r>
  <r>
    <m/>
    <x v="0"/>
    <n v="1185732"/>
    <x v="130"/>
    <x v="0"/>
    <x v="14"/>
    <s v="Portland"/>
    <x v="2"/>
    <n v="0.45"/>
    <n v="2250"/>
    <n v="1012.5"/>
    <n v="404.99999999999994"/>
    <n v="0.39999999999999997"/>
  </r>
  <r>
    <m/>
    <x v="0"/>
    <n v="1185732"/>
    <x v="130"/>
    <x v="0"/>
    <x v="14"/>
    <s v="Portland"/>
    <x v="3"/>
    <n v="0.45"/>
    <n v="1750"/>
    <n v="787.5"/>
    <n v="236.25"/>
    <n v="0.3"/>
  </r>
  <r>
    <m/>
    <x v="0"/>
    <n v="1185732"/>
    <x v="130"/>
    <x v="0"/>
    <x v="14"/>
    <s v="Portland"/>
    <x v="4"/>
    <n v="0.54999999999999993"/>
    <n v="2000"/>
    <n v="1099.9999999999998"/>
    <n v="274.99999999999994"/>
    <n v="0.25"/>
  </r>
  <r>
    <m/>
    <x v="0"/>
    <n v="1185732"/>
    <x v="130"/>
    <x v="0"/>
    <x v="14"/>
    <s v="Portland"/>
    <x v="5"/>
    <n v="0.6"/>
    <n v="3750"/>
    <n v="2250"/>
    <n v="900"/>
    <n v="0.4"/>
  </r>
  <r>
    <m/>
    <x v="0"/>
    <n v="1185732"/>
    <x v="131"/>
    <x v="0"/>
    <x v="14"/>
    <s v="Portland"/>
    <x v="0"/>
    <n v="0.54999999999999993"/>
    <n v="5250"/>
    <n v="2887.4999999999995"/>
    <n v="1010.6249999999998"/>
    <n v="0.35"/>
  </r>
  <r>
    <m/>
    <x v="0"/>
    <n v="1185732"/>
    <x v="131"/>
    <x v="0"/>
    <x v="14"/>
    <s v="Portland"/>
    <x v="1"/>
    <n v="0.5"/>
    <n v="3000"/>
    <n v="1500"/>
    <n v="525"/>
    <n v="0.35"/>
  </r>
  <r>
    <m/>
    <x v="0"/>
    <n v="1185732"/>
    <x v="131"/>
    <x v="0"/>
    <x v="14"/>
    <s v="Portland"/>
    <x v="2"/>
    <n v="0.45"/>
    <n v="2250"/>
    <n v="1012.5"/>
    <n v="404.99999999999994"/>
    <n v="0.39999999999999997"/>
  </r>
  <r>
    <m/>
    <x v="0"/>
    <n v="1185732"/>
    <x v="131"/>
    <x v="0"/>
    <x v="14"/>
    <s v="Portland"/>
    <x v="3"/>
    <n v="0.45"/>
    <n v="1750"/>
    <n v="787.5"/>
    <n v="236.25"/>
    <n v="0.3"/>
  </r>
  <r>
    <m/>
    <x v="0"/>
    <n v="1185732"/>
    <x v="131"/>
    <x v="0"/>
    <x v="14"/>
    <s v="Portland"/>
    <x v="4"/>
    <n v="0.54999999999999993"/>
    <n v="1500"/>
    <n v="824.99999999999989"/>
    <n v="206.24999999999997"/>
    <n v="0.25"/>
  </r>
  <r>
    <m/>
    <x v="0"/>
    <n v="1185732"/>
    <x v="131"/>
    <x v="0"/>
    <x v="14"/>
    <s v="Portland"/>
    <x v="5"/>
    <n v="0.6"/>
    <n v="3250"/>
    <n v="1950"/>
    <n v="780"/>
    <n v="0.4"/>
  </r>
  <r>
    <m/>
    <x v="0"/>
    <n v="1185732"/>
    <x v="132"/>
    <x v="0"/>
    <x v="14"/>
    <s v="Portland"/>
    <x v="0"/>
    <n v="0.54999999999999993"/>
    <n v="4500"/>
    <n v="2474.9999999999995"/>
    <n v="866.24999999999977"/>
    <n v="0.35"/>
  </r>
  <r>
    <m/>
    <x v="0"/>
    <n v="1185732"/>
    <x v="132"/>
    <x v="0"/>
    <x v="14"/>
    <s v="Portland"/>
    <x v="1"/>
    <n v="0.5"/>
    <n v="2500"/>
    <n v="1250"/>
    <n v="437.5"/>
    <n v="0.35"/>
  </r>
  <r>
    <m/>
    <x v="0"/>
    <n v="1185732"/>
    <x v="132"/>
    <x v="0"/>
    <x v="14"/>
    <s v="Portland"/>
    <x v="2"/>
    <n v="0.45"/>
    <n v="1500"/>
    <n v="675"/>
    <n v="270"/>
    <n v="0.39999999999999997"/>
  </r>
  <r>
    <m/>
    <x v="0"/>
    <n v="1185732"/>
    <x v="132"/>
    <x v="0"/>
    <x v="14"/>
    <s v="Portland"/>
    <x v="3"/>
    <n v="0.45"/>
    <n v="1250"/>
    <n v="562.5"/>
    <n v="168.75"/>
    <n v="0.3"/>
  </r>
  <r>
    <m/>
    <x v="0"/>
    <n v="1185732"/>
    <x v="132"/>
    <x v="0"/>
    <x v="14"/>
    <s v="Portland"/>
    <x v="4"/>
    <n v="0.54999999999999993"/>
    <n v="1250"/>
    <n v="687.49999999999989"/>
    <n v="171.87499999999997"/>
    <n v="0.25"/>
  </r>
  <r>
    <m/>
    <x v="0"/>
    <n v="1185732"/>
    <x v="132"/>
    <x v="0"/>
    <x v="14"/>
    <s v="Portland"/>
    <x v="5"/>
    <n v="0.6"/>
    <n v="2250"/>
    <n v="1350"/>
    <n v="540"/>
    <n v="0.4"/>
  </r>
  <r>
    <m/>
    <x v="0"/>
    <n v="1185732"/>
    <x v="133"/>
    <x v="0"/>
    <x v="14"/>
    <s v="Portland"/>
    <x v="0"/>
    <n v="0.6"/>
    <n v="4000"/>
    <n v="2400"/>
    <n v="840"/>
    <n v="0.35"/>
  </r>
  <r>
    <m/>
    <x v="0"/>
    <n v="1185732"/>
    <x v="133"/>
    <x v="0"/>
    <x v="14"/>
    <s v="Portland"/>
    <x v="1"/>
    <n v="0.55000000000000004"/>
    <n v="2250"/>
    <n v="1237.5"/>
    <n v="433.125"/>
    <n v="0.35"/>
  </r>
  <r>
    <m/>
    <x v="0"/>
    <n v="1185732"/>
    <x v="133"/>
    <x v="0"/>
    <x v="14"/>
    <s v="Portland"/>
    <x v="2"/>
    <n v="0.55000000000000004"/>
    <n v="1250"/>
    <n v="687.5"/>
    <n v="275"/>
    <n v="0.39999999999999997"/>
  </r>
  <r>
    <m/>
    <x v="0"/>
    <n v="1185732"/>
    <x v="133"/>
    <x v="0"/>
    <x v="14"/>
    <s v="Portland"/>
    <x v="3"/>
    <n v="0.55000000000000004"/>
    <n v="1000"/>
    <n v="550"/>
    <n v="165"/>
    <n v="0.3"/>
  </r>
  <r>
    <m/>
    <x v="0"/>
    <n v="1185732"/>
    <x v="133"/>
    <x v="0"/>
    <x v="14"/>
    <s v="Portland"/>
    <x v="4"/>
    <n v="0.65"/>
    <n v="1000"/>
    <n v="650"/>
    <n v="162.5"/>
    <n v="0.25"/>
  </r>
  <r>
    <m/>
    <x v="0"/>
    <n v="1185732"/>
    <x v="133"/>
    <x v="0"/>
    <x v="14"/>
    <s v="Portland"/>
    <x v="5"/>
    <n v="0.7"/>
    <n v="2250"/>
    <n v="1575"/>
    <n v="630"/>
    <n v="0.4"/>
  </r>
  <r>
    <m/>
    <x v="0"/>
    <n v="1185732"/>
    <x v="134"/>
    <x v="0"/>
    <x v="14"/>
    <s v="Portland"/>
    <x v="0"/>
    <n v="0.65"/>
    <n v="3750"/>
    <n v="2437.5"/>
    <n v="853.125"/>
    <n v="0.35"/>
  </r>
  <r>
    <m/>
    <x v="0"/>
    <n v="1185732"/>
    <x v="134"/>
    <x v="0"/>
    <x v="14"/>
    <s v="Portland"/>
    <x v="1"/>
    <n v="0.55000000000000004"/>
    <n v="2000"/>
    <n v="1100"/>
    <n v="385"/>
    <n v="0.35"/>
  </r>
  <r>
    <m/>
    <x v="0"/>
    <n v="1185732"/>
    <x v="134"/>
    <x v="0"/>
    <x v="14"/>
    <s v="Portland"/>
    <x v="2"/>
    <n v="0.55000000000000004"/>
    <n v="1950"/>
    <n v="1072.5"/>
    <n v="428.99999999999994"/>
    <n v="0.39999999999999997"/>
  </r>
  <r>
    <m/>
    <x v="0"/>
    <n v="1185732"/>
    <x v="134"/>
    <x v="0"/>
    <x v="14"/>
    <s v="Portland"/>
    <x v="3"/>
    <n v="0.55000000000000004"/>
    <n v="1750"/>
    <n v="962.50000000000011"/>
    <n v="288.75"/>
    <n v="0.3"/>
  </r>
  <r>
    <m/>
    <x v="0"/>
    <n v="1185732"/>
    <x v="134"/>
    <x v="0"/>
    <x v="14"/>
    <s v="Portland"/>
    <x v="4"/>
    <n v="0.65"/>
    <n v="1500"/>
    <n v="975"/>
    <n v="243.75"/>
    <n v="0.25"/>
  </r>
  <r>
    <m/>
    <x v="0"/>
    <n v="1185732"/>
    <x v="134"/>
    <x v="0"/>
    <x v="14"/>
    <s v="Portland"/>
    <x v="5"/>
    <n v="0.7"/>
    <n v="2500"/>
    <n v="1750"/>
    <n v="700"/>
    <n v="0.4"/>
  </r>
  <r>
    <m/>
    <x v="0"/>
    <n v="1185732"/>
    <x v="135"/>
    <x v="0"/>
    <x v="14"/>
    <s v="Portland"/>
    <x v="0"/>
    <n v="0.65"/>
    <n v="4750"/>
    <n v="3087.5"/>
    <n v="1080.625"/>
    <n v="0.35"/>
  </r>
  <r>
    <m/>
    <x v="0"/>
    <n v="1185732"/>
    <x v="135"/>
    <x v="0"/>
    <x v="14"/>
    <s v="Portland"/>
    <x v="1"/>
    <n v="0.55000000000000004"/>
    <n v="2750"/>
    <n v="1512.5000000000002"/>
    <n v="529.375"/>
    <n v="0.35"/>
  </r>
  <r>
    <m/>
    <x v="0"/>
    <n v="1185732"/>
    <x v="135"/>
    <x v="0"/>
    <x v="14"/>
    <s v="Portland"/>
    <x v="2"/>
    <n v="0.55000000000000004"/>
    <n v="2500"/>
    <n v="1375"/>
    <n v="550"/>
    <n v="0.39999999999999997"/>
  </r>
  <r>
    <m/>
    <x v="0"/>
    <n v="1185732"/>
    <x v="135"/>
    <x v="0"/>
    <x v="14"/>
    <s v="Portland"/>
    <x v="3"/>
    <n v="0.55000000000000004"/>
    <n v="2000"/>
    <n v="1100"/>
    <n v="330"/>
    <n v="0.3"/>
  </r>
  <r>
    <m/>
    <x v="0"/>
    <n v="1185732"/>
    <x v="135"/>
    <x v="0"/>
    <x v="14"/>
    <s v="Portland"/>
    <x v="4"/>
    <n v="0.65"/>
    <n v="2000"/>
    <n v="1300"/>
    <n v="325"/>
    <n v="0.25"/>
  </r>
  <r>
    <m/>
    <x v="0"/>
    <n v="1185732"/>
    <x v="135"/>
    <x v="0"/>
    <x v="14"/>
    <s v="Portland"/>
    <x v="5"/>
    <n v="0.7"/>
    <n v="3000"/>
    <n v="2100"/>
    <n v="840"/>
    <n v="0.4"/>
  </r>
  <r>
    <s v="x"/>
    <x v="2"/>
    <n v="1128299"/>
    <x v="136"/>
    <x v="2"/>
    <x v="15"/>
    <s v="Anchorage"/>
    <x v="0"/>
    <n v="0.35000000000000003"/>
    <n v="3750"/>
    <n v="1312.5000000000002"/>
    <n v="328.12500000000006"/>
    <n v="0.25"/>
  </r>
  <r>
    <m/>
    <x v="2"/>
    <n v="1128299"/>
    <x v="136"/>
    <x v="2"/>
    <x v="15"/>
    <s v="Anchorage"/>
    <x v="1"/>
    <n v="0.45"/>
    <n v="3750"/>
    <n v="1687.5"/>
    <n v="337.5"/>
    <n v="0.2"/>
  </r>
  <r>
    <m/>
    <x v="2"/>
    <n v="1128299"/>
    <x v="136"/>
    <x v="2"/>
    <x v="15"/>
    <s v="Anchorage"/>
    <x v="2"/>
    <n v="0.45"/>
    <n v="3750"/>
    <n v="1687.5"/>
    <n v="421.875"/>
    <n v="0.25"/>
  </r>
  <r>
    <m/>
    <x v="2"/>
    <n v="1128299"/>
    <x v="136"/>
    <x v="2"/>
    <x v="15"/>
    <s v="Anchorage"/>
    <x v="3"/>
    <n v="0.45"/>
    <n v="2250"/>
    <n v="1012.5"/>
    <n v="253.125"/>
    <n v="0.25"/>
  </r>
  <r>
    <m/>
    <x v="2"/>
    <n v="1128299"/>
    <x v="136"/>
    <x v="2"/>
    <x v="15"/>
    <s v="Anchorage"/>
    <x v="4"/>
    <n v="0.5"/>
    <n v="1750"/>
    <n v="875"/>
    <n v="131.25"/>
    <n v="0.15"/>
  </r>
  <r>
    <m/>
    <x v="2"/>
    <n v="1128299"/>
    <x v="136"/>
    <x v="2"/>
    <x v="15"/>
    <s v="Anchorage"/>
    <x v="5"/>
    <n v="0.45"/>
    <n v="4250"/>
    <n v="1912.5"/>
    <n v="765"/>
    <n v="0.4"/>
  </r>
  <r>
    <m/>
    <x v="2"/>
    <n v="1128299"/>
    <x v="79"/>
    <x v="2"/>
    <x v="15"/>
    <s v="Anchorage"/>
    <x v="0"/>
    <n v="0.35000000000000003"/>
    <n v="4750"/>
    <n v="1662.5000000000002"/>
    <n v="415.62500000000006"/>
    <n v="0.25"/>
  </r>
  <r>
    <m/>
    <x v="2"/>
    <n v="1128299"/>
    <x v="79"/>
    <x v="2"/>
    <x v="15"/>
    <s v="Anchorage"/>
    <x v="1"/>
    <n v="0.45"/>
    <n v="3750"/>
    <n v="1687.5"/>
    <n v="337.5"/>
    <n v="0.2"/>
  </r>
  <r>
    <m/>
    <x v="2"/>
    <n v="1128299"/>
    <x v="79"/>
    <x v="2"/>
    <x v="15"/>
    <s v="Anchorage"/>
    <x v="2"/>
    <n v="0.45"/>
    <n v="3750"/>
    <n v="1687.5"/>
    <n v="421.875"/>
    <n v="0.25"/>
  </r>
  <r>
    <m/>
    <x v="2"/>
    <n v="1128299"/>
    <x v="79"/>
    <x v="2"/>
    <x v="15"/>
    <s v="Anchorage"/>
    <x v="3"/>
    <n v="0.45"/>
    <n v="2250"/>
    <n v="1012.5"/>
    <n v="253.125"/>
    <n v="0.25"/>
  </r>
  <r>
    <m/>
    <x v="2"/>
    <n v="1128299"/>
    <x v="79"/>
    <x v="2"/>
    <x v="15"/>
    <s v="Anchorage"/>
    <x v="4"/>
    <n v="0.5"/>
    <n v="1500"/>
    <n v="750"/>
    <n v="112.5"/>
    <n v="0.15"/>
  </r>
  <r>
    <m/>
    <x v="2"/>
    <n v="1128299"/>
    <x v="79"/>
    <x v="2"/>
    <x v="15"/>
    <s v="Anchorage"/>
    <x v="5"/>
    <n v="0.45"/>
    <n v="3500"/>
    <n v="1575"/>
    <n v="630"/>
    <n v="0.4"/>
  </r>
  <r>
    <m/>
    <x v="2"/>
    <n v="1128299"/>
    <x v="137"/>
    <x v="2"/>
    <x v="15"/>
    <s v="Anchorage"/>
    <x v="0"/>
    <n v="0.45"/>
    <n v="5000"/>
    <n v="2250"/>
    <n v="562.5"/>
    <n v="0.25"/>
  </r>
  <r>
    <m/>
    <x v="2"/>
    <n v="1128299"/>
    <x v="137"/>
    <x v="2"/>
    <x v="15"/>
    <s v="Anchorage"/>
    <x v="1"/>
    <n v="0.54999999999999993"/>
    <n v="3500"/>
    <n v="1924.9999999999998"/>
    <n v="385"/>
    <n v="0.2"/>
  </r>
  <r>
    <m/>
    <x v="2"/>
    <n v="1128299"/>
    <x v="137"/>
    <x v="2"/>
    <x v="15"/>
    <s v="Anchorage"/>
    <x v="2"/>
    <n v="0.59999999999999987"/>
    <n v="3750"/>
    <n v="2249.9999999999995"/>
    <n v="562.49999999999989"/>
    <n v="0.25"/>
  </r>
  <r>
    <m/>
    <x v="2"/>
    <n v="1128299"/>
    <x v="137"/>
    <x v="2"/>
    <x v="15"/>
    <s v="Anchorage"/>
    <x v="3"/>
    <n v="0.54999999999999993"/>
    <n v="2750"/>
    <n v="1512.4999999999998"/>
    <n v="378.12499999999994"/>
    <n v="0.25"/>
  </r>
  <r>
    <m/>
    <x v="2"/>
    <n v="1128299"/>
    <x v="137"/>
    <x v="2"/>
    <x v="15"/>
    <s v="Anchorage"/>
    <x v="4"/>
    <n v="0.6"/>
    <n v="1250"/>
    <n v="750"/>
    <n v="112.5"/>
    <n v="0.15"/>
  </r>
  <r>
    <m/>
    <x v="2"/>
    <n v="1128299"/>
    <x v="137"/>
    <x v="2"/>
    <x v="15"/>
    <s v="Anchorage"/>
    <x v="5"/>
    <n v="0.54999999999999993"/>
    <n v="3250"/>
    <n v="1787.4999999999998"/>
    <n v="715"/>
    <n v="0.4"/>
  </r>
  <r>
    <m/>
    <x v="2"/>
    <n v="1128299"/>
    <x v="138"/>
    <x v="2"/>
    <x v="15"/>
    <s v="Anchorage"/>
    <x v="0"/>
    <n v="0.6"/>
    <n v="5000"/>
    <n v="3000"/>
    <n v="750"/>
    <n v="0.25"/>
  </r>
  <r>
    <m/>
    <x v="2"/>
    <n v="1128299"/>
    <x v="138"/>
    <x v="2"/>
    <x v="15"/>
    <s v="Anchorage"/>
    <x v="1"/>
    <n v="0.65"/>
    <n v="3000"/>
    <n v="1950"/>
    <n v="390"/>
    <n v="0.2"/>
  </r>
  <r>
    <m/>
    <x v="2"/>
    <n v="1128299"/>
    <x v="138"/>
    <x v="2"/>
    <x v="15"/>
    <s v="Anchorage"/>
    <x v="2"/>
    <n v="0.65"/>
    <n v="3500"/>
    <n v="2275"/>
    <n v="568.75"/>
    <n v="0.25"/>
  </r>
  <r>
    <m/>
    <x v="2"/>
    <n v="1128299"/>
    <x v="138"/>
    <x v="2"/>
    <x v="15"/>
    <s v="Anchorage"/>
    <x v="3"/>
    <n v="0.5"/>
    <n v="2500"/>
    <n v="1250"/>
    <n v="312.5"/>
    <n v="0.25"/>
  </r>
  <r>
    <m/>
    <x v="2"/>
    <n v="1128299"/>
    <x v="138"/>
    <x v="2"/>
    <x v="15"/>
    <s v="Anchorage"/>
    <x v="4"/>
    <n v="0.55000000000000004"/>
    <n v="1500"/>
    <n v="825.00000000000011"/>
    <n v="123.75000000000001"/>
    <n v="0.15"/>
  </r>
  <r>
    <m/>
    <x v="2"/>
    <n v="1128299"/>
    <x v="138"/>
    <x v="2"/>
    <x v="15"/>
    <s v="Anchorage"/>
    <x v="5"/>
    <n v="0.70000000000000007"/>
    <n v="3250"/>
    <n v="2275"/>
    <n v="910"/>
    <n v="0.4"/>
  </r>
  <r>
    <m/>
    <x v="2"/>
    <n v="1128299"/>
    <x v="139"/>
    <x v="2"/>
    <x v="15"/>
    <s v="Anchorage"/>
    <x v="0"/>
    <n v="0.54999999999999993"/>
    <n v="5250"/>
    <n v="2887.4999999999995"/>
    <n v="721.87499999999989"/>
    <n v="0.25"/>
  </r>
  <r>
    <m/>
    <x v="2"/>
    <n v="1128299"/>
    <x v="139"/>
    <x v="2"/>
    <x v="15"/>
    <s v="Anchorage"/>
    <x v="1"/>
    <n v="0.6"/>
    <n v="3750"/>
    <n v="2250"/>
    <n v="450"/>
    <n v="0.2"/>
  </r>
  <r>
    <m/>
    <x v="2"/>
    <n v="1128299"/>
    <x v="139"/>
    <x v="2"/>
    <x v="15"/>
    <s v="Anchorage"/>
    <x v="2"/>
    <n v="0.6"/>
    <n v="3750"/>
    <n v="2250"/>
    <n v="562.5"/>
    <n v="0.25"/>
  </r>
  <r>
    <m/>
    <x v="2"/>
    <n v="1128299"/>
    <x v="139"/>
    <x v="2"/>
    <x v="15"/>
    <s v="Anchorage"/>
    <x v="3"/>
    <n v="0.54999999999999993"/>
    <n v="2750"/>
    <n v="1512.4999999999998"/>
    <n v="378.12499999999994"/>
    <n v="0.25"/>
  </r>
  <r>
    <m/>
    <x v="2"/>
    <n v="1128299"/>
    <x v="139"/>
    <x v="2"/>
    <x v="15"/>
    <s v="Anchorage"/>
    <x v="4"/>
    <n v="0.6"/>
    <n v="1750"/>
    <n v="1050"/>
    <n v="157.5"/>
    <n v="0.15"/>
  </r>
  <r>
    <m/>
    <x v="2"/>
    <n v="1128299"/>
    <x v="139"/>
    <x v="2"/>
    <x v="15"/>
    <s v="Anchorage"/>
    <x v="5"/>
    <n v="0.75"/>
    <n v="4750"/>
    <n v="3562.5"/>
    <n v="1425"/>
    <n v="0.4"/>
  </r>
  <r>
    <m/>
    <x v="2"/>
    <n v="1128299"/>
    <x v="83"/>
    <x v="2"/>
    <x v="15"/>
    <s v="Anchorage"/>
    <x v="0"/>
    <n v="0.7"/>
    <n v="7250"/>
    <n v="5075"/>
    <n v="1268.75"/>
    <n v="0.25"/>
  </r>
  <r>
    <m/>
    <x v="2"/>
    <n v="1128299"/>
    <x v="83"/>
    <x v="2"/>
    <x v="15"/>
    <s v="Anchorage"/>
    <x v="1"/>
    <n v="0.75"/>
    <n v="6000"/>
    <n v="4500"/>
    <n v="900"/>
    <n v="0.2"/>
  </r>
  <r>
    <m/>
    <x v="2"/>
    <n v="1128299"/>
    <x v="83"/>
    <x v="2"/>
    <x v="15"/>
    <s v="Anchorage"/>
    <x v="2"/>
    <n v="0.75"/>
    <n v="6000"/>
    <n v="4500"/>
    <n v="1125"/>
    <n v="0.25"/>
  </r>
  <r>
    <m/>
    <x v="2"/>
    <n v="1128299"/>
    <x v="83"/>
    <x v="2"/>
    <x v="15"/>
    <s v="Anchorage"/>
    <x v="3"/>
    <n v="0.75"/>
    <n v="4750"/>
    <n v="3562.5"/>
    <n v="890.625"/>
    <n v="0.25"/>
  </r>
  <r>
    <m/>
    <x v="2"/>
    <n v="1128299"/>
    <x v="83"/>
    <x v="2"/>
    <x v="15"/>
    <s v="Anchorage"/>
    <x v="4"/>
    <n v="0.85000000000000009"/>
    <n v="3500"/>
    <n v="2975.0000000000005"/>
    <n v="446.25000000000006"/>
    <n v="0.15"/>
  </r>
  <r>
    <m/>
    <x v="2"/>
    <n v="1128299"/>
    <x v="83"/>
    <x v="2"/>
    <x v="15"/>
    <s v="Anchorage"/>
    <x v="5"/>
    <n v="1"/>
    <n v="6500"/>
    <n v="6500"/>
    <n v="2600"/>
    <n v="0.4"/>
  </r>
  <r>
    <m/>
    <x v="2"/>
    <n v="1128299"/>
    <x v="140"/>
    <x v="2"/>
    <x v="15"/>
    <s v="Anchorage"/>
    <x v="0"/>
    <n v="0.8"/>
    <n v="8000"/>
    <n v="6400"/>
    <n v="1600"/>
    <n v="0.25"/>
  </r>
  <r>
    <m/>
    <x v="2"/>
    <n v="1128299"/>
    <x v="140"/>
    <x v="2"/>
    <x v="15"/>
    <s v="Anchorage"/>
    <x v="1"/>
    <n v="0.85000000000000009"/>
    <n v="6500"/>
    <n v="5525.0000000000009"/>
    <n v="1105.0000000000002"/>
    <n v="0.2"/>
  </r>
  <r>
    <m/>
    <x v="2"/>
    <n v="1128299"/>
    <x v="140"/>
    <x v="2"/>
    <x v="15"/>
    <s v="Anchorage"/>
    <x v="2"/>
    <n v="0.85000000000000009"/>
    <n v="6000"/>
    <n v="5100.0000000000009"/>
    <n v="1275.0000000000002"/>
    <n v="0.25"/>
  </r>
  <r>
    <m/>
    <x v="2"/>
    <n v="1128299"/>
    <x v="140"/>
    <x v="2"/>
    <x v="15"/>
    <s v="Anchorage"/>
    <x v="3"/>
    <n v="0.8"/>
    <n v="5000"/>
    <n v="4000"/>
    <n v="1000"/>
    <n v="0.25"/>
  </r>
  <r>
    <m/>
    <x v="2"/>
    <n v="1128299"/>
    <x v="140"/>
    <x v="2"/>
    <x v="15"/>
    <s v="Anchorage"/>
    <x v="4"/>
    <n v="0.85000000000000009"/>
    <n v="5500"/>
    <n v="4675.0000000000009"/>
    <n v="701.25000000000011"/>
    <n v="0.15"/>
  </r>
  <r>
    <m/>
    <x v="2"/>
    <n v="1128299"/>
    <x v="140"/>
    <x v="2"/>
    <x v="15"/>
    <s v="Anchorage"/>
    <x v="5"/>
    <n v="1"/>
    <n v="5500"/>
    <n v="5500"/>
    <n v="2200"/>
    <n v="0.4"/>
  </r>
  <r>
    <m/>
    <x v="2"/>
    <n v="1128299"/>
    <x v="141"/>
    <x v="2"/>
    <x v="15"/>
    <s v="Anchorage"/>
    <x v="0"/>
    <n v="0.85000000000000009"/>
    <n v="7500"/>
    <n v="6375.0000000000009"/>
    <n v="1593.7500000000002"/>
    <n v="0.25"/>
  </r>
  <r>
    <m/>
    <x v="2"/>
    <n v="1128299"/>
    <x v="141"/>
    <x v="2"/>
    <x v="15"/>
    <s v="Anchorage"/>
    <x v="1"/>
    <n v="0.75000000000000011"/>
    <n v="7250"/>
    <n v="5437.5000000000009"/>
    <n v="1087.5000000000002"/>
    <n v="0.2"/>
  </r>
  <r>
    <m/>
    <x v="2"/>
    <n v="1128299"/>
    <x v="141"/>
    <x v="2"/>
    <x v="15"/>
    <s v="Anchorage"/>
    <x v="2"/>
    <n v="0.70000000000000007"/>
    <n v="6000"/>
    <n v="4200"/>
    <n v="1050"/>
    <n v="0.25"/>
  </r>
  <r>
    <m/>
    <x v="2"/>
    <n v="1128299"/>
    <x v="141"/>
    <x v="2"/>
    <x v="15"/>
    <s v="Anchorage"/>
    <x v="3"/>
    <n v="0.70000000000000007"/>
    <n v="5250"/>
    <n v="3675.0000000000005"/>
    <n v="918.75000000000011"/>
    <n v="0.25"/>
  </r>
  <r>
    <m/>
    <x v="2"/>
    <n v="1128299"/>
    <x v="141"/>
    <x v="2"/>
    <x v="15"/>
    <s v="Anchorage"/>
    <x v="4"/>
    <n v="0.7"/>
    <n v="5250"/>
    <n v="3674.9999999999995"/>
    <n v="551.24999999999989"/>
    <n v="0.15"/>
  </r>
  <r>
    <m/>
    <x v="2"/>
    <n v="1128299"/>
    <x v="141"/>
    <x v="2"/>
    <x v="15"/>
    <s v="Anchorage"/>
    <x v="5"/>
    <n v="0.75"/>
    <n v="3500"/>
    <n v="2625"/>
    <n v="1050"/>
    <n v="0.4"/>
  </r>
  <r>
    <m/>
    <x v="2"/>
    <n v="1128299"/>
    <x v="142"/>
    <x v="2"/>
    <x v="15"/>
    <s v="Anchorage"/>
    <x v="0"/>
    <n v="0.65000000000000013"/>
    <n v="5500"/>
    <n v="3575.0000000000009"/>
    <n v="893.75000000000023"/>
    <n v="0.25"/>
  </r>
  <r>
    <m/>
    <x v="2"/>
    <n v="1128299"/>
    <x v="142"/>
    <x v="2"/>
    <x v="15"/>
    <s v="Anchorage"/>
    <x v="1"/>
    <n v="0.70000000000000018"/>
    <n v="5500"/>
    <n v="3850.0000000000009"/>
    <n v="770.00000000000023"/>
    <n v="0.2"/>
  </r>
  <r>
    <m/>
    <x v="2"/>
    <n v="1128299"/>
    <x v="142"/>
    <x v="2"/>
    <x v="15"/>
    <s v="Anchorage"/>
    <x v="2"/>
    <n v="0.65000000000000013"/>
    <n v="3750"/>
    <n v="2437.5000000000005"/>
    <n v="609.37500000000011"/>
    <n v="0.25"/>
  </r>
  <r>
    <m/>
    <x v="2"/>
    <n v="1128299"/>
    <x v="142"/>
    <x v="2"/>
    <x v="15"/>
    <s v="Anchorage"/>
    <x v="3"/>
    <n v="0.65000000000000013"/>
    <n v="3250"/>
    <n v="2112.5000000000005"/>
    <n v="528.12500000000011"/>
    <n v="0.25"/>
  </r>
  <r>
    <m/>
    <x v="2"/>
    <n v="1128299"/>
    <x v="142"/>
    <x v="2"/>
    <x v="15"/>
    <s v="Anchorage"/>
    <x v="4"/>
    <n v="0.75000000000000011"/>
    <n v="3500"/>
    <n v="2625.0000000000005"/>
    <n v="393.75000000000006"/>
    <n v="0.15"/>
  </r>
  <r>
    <m/>
    <x v="2"/>
    <n v="1128299"/>
    <x v="142"/>
    <x v="2"/>
    <x v="15"/>
    <s v="Anchorage"/>
    <x v="5"/>
    <n v="0.6"/>
    <n v="3750"/>
    <n v="2250"/>
    <n v="900"/>
    <n v="0.4"/>
  </r>
  <r>
    <m/>
    <x v="2"/>
    <n v="1128299"/>
    <x v="87"/>
    <x v="2"/>
    <x v="15"/>
    <s v="Anchorage"/>
    <x v="0"/>
    <n v="0.55000000000000004"/>
    <n v="4750"/>
    <n v="2612.5"/>
    <n v="653.125"/>
    <n v="0.25"/>
  </r>
  <r>
    <m/>
    <x v="2"/>
    <n v="1128299"/>
    <x v="87"/>
    <x v="2"/>
    <x v="15"/>
    <s v="Anchorage"/>
    <x v="1"/>
    <n v="0.65000000000000013"/>
    <n v="4750"/>
    <n v="3087.5000000000005"/>
    <n v="617.50000000000011"/>
    <n v="0.2"/>
  </r>
  <r>
    <m/>
    <x v="2"/>
    <n v="1128299"/>
    <x v="87"/>
    <x v="2"/>
    <x v="15"/>
    <s v="Anchorage"/>
    <x v="2"/>
    <n v="0.60000000000000009"/>
    <n v="3000"/>
    <n v="1800.0000000000002"/>
    <n v="450.00000000000006"/>
    <n v="0.25"/>
  </r>
  <r>
    <m/>
    <x v="2"/>
    <n v="1128299"/>
    <x v="87"/>
    <x v="2"/>
    <x v="15"/>
    <s v="Anchorage"/>
    <x v="3"/>
    <n v="0.55000000000000004"/>
    <n v="2750"/>
    <n v="1512.5000000000002"/>
    <n v="378.12500000000006"/>
    <n v="0.25"/>
  </r>
  <r>
    <m/>
    <x v="2"/>
    <n v="1128299"/>
    <x v="87"/>
    <x v="2"/>
    <x v="15"/>
    <s v="Anchorage"/>
    <x v="4"/>
    <n v="0.65"/>
    <n v="2500"/>
    <n v="1625"/>
    <n v="243.75"/>
    <n v="0.15"/>
  </r>
  <r>
    <m/>
    <x v="2"/>
    <n v="1128299"/>
    <x v="87"/>
    <x v="2"/>
    <x v="15"/>
    <s v="Anchorage"/>
    <x v="5"/>
    <n v="0.70000000000000007"/>
    <n v="3000"/>
    <n v="2100"/>
    <n v="840"/>
    <n v="0.4"/>
  </r>
  <r>
    <m/>
    <x v="2"/>
    <n v="1128299"/>
    <x v="143"/>
    <x v="2"/>
    <x v="15"/>
    <s v="Anchorage"/>
    <x v="0"/>
    <n v="0.55000000000000004"/>
    <n v="5250"/>
    <n v="2887.5000000000005"/>
    <n v="721.87500000000011"/>
    <n v="0.25"/>
  </r>
  <r>
    <m/>
    <x v="2"/>
    <n v="1128299"/>
    <x v="143"/>
    <x v="2"/>
    <x v="15"/>
    <s v="Anchorage"/>
    <x v="1"/>
    <n v="0.60000000000000009"/>
    <n v="6000"/>
    <n v="3600.0000000000005"/>
    <n v="720.00000000000011"/>
    <n v="0.2"/>
  </r>
  <r>
    <m/>
    <x v="2"/>
    <n v="1128299"/>
    <x v="143"/>
    <x v="2"/>
    <x v="15"/>
    <s v="Anchorage"/>
    <x v="2"/>
    <n v="0.55000000000000004"/>
    <n v="4250"/>
    <n v="2337.5"/>
    <n v="584.375"/>
    <n v="0.25"/>
  </r>
  <r>
    <m/>
    <x v="2"/>
    <n v="1128299"/>
    <x v="143"/>
    <x v="2"/>
    <x v="15"/>
    <s v="Anchorage"/>
    <x v="3"/>
    <n v="0.65000000000000013"/>
    <n v="4000"/>
    <n v="2600.0000000000005"/>
    <n v="650.00000000000011"/>
    <n v="0.25"/>
  </r>
  <r>
    <m/>
    <x v="2"/>
    <n v="1128299"/>
    <x v="143"/>
    <x v="2"/>
    <x v="15"/>
    <s v="Anchorage"/>
    <x v="4"/>
    <n v="0.85000000000000009"/>
    <n v="3750"/>
    <n v="3187.5000000000005"/>
    <n v="478.12500000000006"/>
    <n v="0.15"/>
  </r>
  <r>
    <m/>
    <x v="2"/>
    <n v="1128299"/>
    <x v="143"/>
    <x v="2"/>
    <x v="15"/>
    <s v="Anchorage"/>
    <x v="5"/>
    <n v="0.90000000000000013"/>
    <n v="5000"/>
    <n v="4500.0000000000009"/>
    <n v="1800.0000000000005"/>
    <n v="0.4"/>
  </r>
  <r>
    <m/>
    <x v="2"/>
    <n v="1128299"/>
    <x v="144"/>
    <x v="2"/>
    <x v="15"/>
    <s v="Anchorage"/>
    <x v="0"/>
    <n v="0.75000000000000011"/>
    <n v="7000"/>
    <n v="5250.0000000000009"/>
    <n v="1312.5000000000002"/>
    <n v="0.25"/>
  </r>
  <r>
    <m/>
    <x v="2"/>
    <n v="1128299"/>
    <x v="144"/>
    <x v="2"/>
    <x v="15"/>
    <s v="Anchorage"/>
    <x v="1"/>
    <n v="0.8500000000000002"/>
    <n v="7000"/>
    <n v="5950.0000000000018"/>
    <n v="1190.0000000000005"/>
    <n v="0.2"/>
  </r>
  <r>
    <m/>
    <x v="2"/>
    <n v="1128299"/>
    <x v="144"/>
    <x v="2"/>
    <x v="15"/>
    <s v="Anchorage"/>
    <x v="2"/>
    <n v="0.80000000000000016"/>
    <n v="5000"/>
    <n v="4000.0000000000009"/>
    <n v="1000.0000000000002"/>
    <n v="0.25"/>
  </r>
  <r>
    <m/>
    <x v="2"/>
    <n v="1128299"/>
    <x v="144"/>
    <x v="2"/>
    <x v="15"/>
    <s v="Anchorage"/>
    <x v="3"/>
    <n v="0.80000000000000016"/>
    <n v="5000"/>
    <n v="4000.0000000000009"/>
    <n v="1000.0000000000002"/>
    <n v="0.25"/>
  </r>
  <r>
    <m/>
    <x v="2"/>
    <n v="1128299"/>
    <x v="144"/>
    <x v="2"/>
    <x v="15"/>
    <s v="Anchorage"/>
    <x v="4"/>
    <n v="0.90000000000000013"/>
    <n v="4250"/>
    <n v="3825.0000000000005"/>
    <n v="573.75"/>
    <n v="0.15"/>
  </r>
  <r>
    <m/>
    <x v="2"/>
    <n v="1128299"/>
    <x v="144"/>
    <x v="2"/>
    <x v="15"/>
    <s v="Anchorage"/>
    <x v="5"/>
    <n v="0.95000000000000018"/>
    <n v="5250"/>
    <n v="4987.5000000000009"/>
    <n v="1995.0000000000005"/>
    <n v="0.4"/>
  </r>
  <r>
    <s v="x"/>
    <x v="2"/>
    <n v="1128299"/>
    <x v="102"/>
    <x v="2"/>
    <x v="16"/>
    <s v="Honolulu"/>
    <x v="0"/>
    <n v="0.4"/>
    <n v="4250"/>
    <n v="1700"/>
    <n v="510"/>
    <n v="0.3"/>
  </r>
  <r>
    <m/>
    <x v="2"/>
    <n v="1128299"/>
    <x v="102"/>
    <x v="2"/>
    <x v="16"/>
    <s v="Honolulu"/>
    <x v="1"/>
    <n v="0.5"/>
    <n v="4250"/>
    <n v="2125"/>
    <n v="531.25"/>
    <n v="0.25"/>
  </r>
  <r>
    <m/>
    <x v="2"/>
    <n v="1128299"/>
    <x v="102"/>
    <x v="2"/>
    <x v="16"/>
    <s v="Honolulu"/>
    <x v="2"/>
    <n v="0.5"/>
    <n v="4250"/>
    <n v="2125"/>
    <n v="637.5"/>
    <n v="0.3"/>
  </r>
  <r>
    <m/>
    <x v="2"/>
    <n v="1128299"/>
    <x v="102"/>
    <x v="2"/>
    <x v="16"/>
    <s v="Honolulu"/>
    <x v="3"/>
    <n v="0.5"/>
    <n v="2750"/>
    <n v="1375"/>
    <n v="412.5"/>
    <n v="0.3"/>
  </r>
  <r>
    <m/>
    <x v="2"/>
    <n v="1128299"/>
    <x v="102"/>
    <x v="2"/>
    <x v="16"/>
    <s v="Honolulu"/>
    <x v="4"/>
    <n v="0.55000000000000004"/>
    <n v="2250"/>
    <n v="1237.5"/>
    <n v="247.5"/>
    <n v="0.2"/>
  </r>
  <r>
    <m/>
    <x v="2"/>
    <n v="1128299"/>
    <x v="102"/>
    <x v="2"/>
    <x v="16"/>
    <s v="Honolulu"/>
    <x v="5"/>
    <n v="0.5"/>
    <n v="4750"/>
    <n v="2375"/>
    <n v="1068.75"/>
    <n v="0.45"/>
  </r>
  <r>
    <m/>
    <x v="2"/>
    <n v="1128299"/>
    <x v="103"/>
    <x v="2"/>
    <x v="16"/>
    <s v="Honolulu"/>
    <x v="0"/>
    <n v="0.4"/>
    <n v="5250"/>
    <n v="2100"/>
    <n v="630"/>
    <n v="0.3"/>
  </r>
  <r>
    <m/>
    <x v="2"/>
    <n v="1128299"/>
    <x v="103"/>
    <x v="2"/>
    <x v="16"/>
    <s v="Honolulu"/>
    <x v="1"/>
    <n v="0.5"/>
    <n v="4250"/>
    <n v="2125"/>
    <n v="531.25"/>
    <n v="0.25"/>
  </r>
  <r>
    <m/>
    <x v="2"/>
    <n v="1128299"/>
    <x v="103"/>
    <x v="2"/>
    <x v="16"/>
    <s v="Honolulu"/>
    <x v="2"/>
    <n v="0.5"/>
    <n v="4250"/>
    <n v="2125"/>
    <n v="637.5"/>
    <n v="0.3"/>
  </r>
  <r>
    <m/>
    <x v="2"/>
    <n v="1128299"/>
    <x v="103"/>
    <x v="2"/>
    <x v="16"/>
    <s v="Honolulu"/>
    <x v="3"/>
    <n v="0.5"/>
    <n v="2750"/>
    <n v="1375"/>
    <n v="412.5"/>
    <n v="0.3"/>
  </r>
  <r>
    <m/>
    <x v="2"/>
    <n v="1128299"/>
    <x v="103"/>
    <x v="2"/>
    <x v="16"/>
    <s v="Honolulu"/>
    <x v="4"/>
    <n v="0.55000000000000004"/>
    <n v="2000"/>
    <n v="1100"/>
    <n v="220"/>
    <n v="0.2"/>
  </r>
  <r>
    <m/>
    <x v="2"/>
    <n v="1128299"/>
    <x v="103"/>
    <x v="2"/>
    <x v="16"/>
    <s v="Honolulu"/>
    <x v="5"/>
    <n v="0.5"/>
    <n v="4000"/>
    <n v="2000"/>
    <n v="900"/>
    <n v="0.45"/>
  </r>
  <r>
    <m/>
    <x v="2"/>
    <n v="1128299"/>
    <x v="104"/>
    <x v="2"/>
    <x v="16"/>
    <s v="Honolulu"/>
    <x v="0"/>
    <n v="0.5"/>
    <n v="5500"/>
    <n v="2750"/>
    <n v="825"/>
    <n v="0.3"/>
  </r>
  <r>
    <m/>
    <x v="2"/>
    <n v="1128299"/>
    <x v="104"/>
    <x v="2"/>
    <x v="16"/>
    <s v="Honolulu"/>
    <x v="1"/>
    <n v="0.6"/>
    <n v="4000"/>
    <n v="2400"/>
    <n v="600"/>
    <n v="0.25"/>
  </r>
  <r>
    <m/>
    <x v="2"/>
    <n v="1128299"/>
    <x v="104"/>
    <x v="2"/>
    <x v="16"/>
    <s v="Honolulu"/>
    <x v="2"/>
    <n v="0.64999999999999991"/>
    <n v="4250"/>
    <n v="2762.4999999999995"/>
    <n v="828.74999999999989"/>
    <n v="0.3"/>
  </r>
  <r>
    <m/>
    <x v="2"/>
    <n v="1128299"/>
    <x v="104"/>
    <x v="2"/>
    <x v="16"/>
    <s v="Honolulu"/>
    <x v="3"/>
    <n v="0.6"/>
    <n v="3250"/>
    <n v="1950"/>
    <n v="585"/>
    <n v="0.3"/>
  </r>
  <r>
    <m/>
    <x v="2"/>
    <n v="1128299"/>
    <x v="104"/>
    <x v="2"/>
    <x v="16"/>
    <s v="Honolulu"/>
    <x v="4"/>
    <n v="0.65"/>
    <n v="1750"/>
    <n v="1137.5"/>
    <n v="227.5"/>
    <n v="0.2"/>
  </r>
  <r>
    <m/>
    <x v="2"/>
    <n v="1128299"/>
    <x v="104"/>
    <x v="2"/>
    <x v="16"/>
    <s v="Honolulu"/>
    <x v="5"/>
    <n v="0.6"/>
    <n v="3750"/>
    <n v="2250"/>
    <n v="1012.5"/>
    <n v="0.45"/>
  </r>
  <r>
    <m/>
    <x v="2"/>
    <n v="1128299"/>
    <x v="105"/>
    <x v="2"/>
    <x v="16"/>
    <s v="Honolulu"/>
    <x v="0"/>
    <n v="0.65"/>
    <n v="5500"/>
    <n v="3575"/>
    <n v="1072.5"/>
    <n v="0.3"/>
  </r>
  <r>
    <m/>
    <x v="2"/>
    <n v="1128299"/>
    <x v="105"/>
    <x v="2"/>
    <x v="16"/>
    <s v="Honolulu"/>
    <x v="1"/>
    <n v="0.70000000000000007"/>
    <n v="3500"/>
    <n v="2450.0000000000005"/>
    <n v="612.50000000000011"/>
    <n v="0.25"/>
  </r>
  <r>
    <m/>
    <x v="2"/>
    <n v="1128299"/>
    <x v="105"/>
    <x v="2"/>
    <x v="16"/>
    <s v="Honolulu"/>
    <x v="2"/>
    <n v="0.70000000000000007"/>
    <n v="4000"/>
    <n v="2800.0000000000005"/>
    <n v="840.00000000000011"/>
    <n v="0.3"/>
  </r>
  <r>
    <m/>
    <x v="2"/>
    <n v="1128299"/>
    <x v="105"/>
    <x v="2"/>
    <x v="16"/>
    <s v="Honolulu"/>
    <x v="3"/>
    <n v="0.55000000000000004"/>
    <n v="3000"/>
    <n v="1650.0000000000002"/>
    <n v="495.00000000000006"/>
    <n v="0.3"/>
  </r>
  <r>
    <m/>
    <x v="2"/>
    <n v="1128299"/>
    <x v="105"/>
    <x v="2"/>
    <x v="16"/>
    <s v="Honolulu"/>
    <x v="4"/>
    <n v="0.60000000000000009"/>
    <n v="2000"/>
    <n v="1200.0000000000002"/>
    <n v="240.00000000000006"/>
    <n v="0.2"/>
  </r>
  <r>
    <m/>
    <x v="2"/>
    <n v="1128299"/>
    <x v="105"/>
    <x v="2"/>
    <x v="16"/>
    <s v="Honolulu"/>
    <x v="5"/>
    <n v="0.75000000000000011"/>
    <n v="3750"/>
    <n v="2812.5000000000005"/>
    <n v="1265.6250000000002"/>
    <n v="0.45"/>
  </r>
  <r>
    <m/>
    <x v="2"/>
    <n v="1128299"/>
    <x v="106"/>
    <x v="2"/>
    <x v="16"/>
    <s v="Honolulu"/>
    <x v="0"/>
    <n v="0.6"/>
    <n v="5750"/>
    <n v="3450"/>
    <n v="1035"/>
    <n v="0.3"/>
  </r>
  <r>
    <m/>
    <x v="2"/>
    <n v="1128299"/>
    <x v="106"/>
    <x v="2"/>
    <x v="16"/>
    <s v="Honolulu"/>
    <x v="1"/>
    <n v="0.65"/>
    <n v="4250"/>
    <n v="2762.5"/>
    <n v="690.625"/>
    <n v="0.25"/>
  </r>
  <r>
    <m/>
    <x v="2"/>
    <n v="1128299"/>
    <x v="106"/>
    <x v="2"/>
    <x v="16"/>
    <s v="Honolulu"/>
    <x v="2"/>
    <n v="0.65"/>
    <n v="4250"/>
    <n v="2762.5"/>
    <n v="828.75"/>
    <n v="0.3"/>
  </r>
  <r>
    <m/>
    <x v="2"/>
    <n v="1128299"/>
    <x v="106"/>
    <x v="2"/>
    <x v="16"/>
    <s v="Honolulu"/>
    <x v="3"/>
    <n v="0.6"/>
    <n v="3250"/>
    <n v="1950"/>
    <n v="585"/>
    <n v="0.3"/>
  </r>
  <r>
    <m/>
    <x v="2"/>
    <n v="1128299"/>
    <x v="106"/>
    <x v="2"/>
    <x v="16"/>
    <s v="Honolulu"/>
    <x v="4"/>
    <n v="0.54999999999999993"/>
    <n v="2250"/>
    <n v="1237.4999999999998"/>
    <n v="247.49999999999997"/>
    <n v="0.2"/>
  </r>
  <r>
    <m/>
    <x v="2"/>
    <n v="1128299"/>
    <x v="106"/>
    <x v="2"/>
    <x v="16"/>
    <s v="Honolulu"/>
    <x v="5"/>
    <n v="0.7"/>
    <n v="5750"/>
    <n v="4024.9999999999995"/>
    <n v="1811.2499999999998"/>
    <n v="0.45"/>
  </r>
  <r>
    <m/>
    <x v="2"/>
    <n v="1128299"/>
    <x v="107"/>
    <x v="2"/>
    <x v="16"/>
    <s v="Honolulu"/>
    <x v="0"/>
    <n v="0.64999999999999991"/>
    <n v="8250"/>
    <n v="5362.4999999999991"/>
    <n v="1608.7499999999998"/>
    <n v="0.3"/>
  </r>
  <r>
    <m/>
    <x v="2"/>
    <n v="1128299"/>
    <x v="107"/>
    <x v="2"/>
    <x v="16"/>
    <s v="Honolulu"/>
    <x v="1"/>
    <n v="0.7"/>
    <n v="7000"/>
    <n v="4900"/>
    <n v="1225"/>
    <n v="0.25"/>
  </r>
  <r>
    <m/>
    <x v="2"/>
    <n v="1128299"/>
    <x v="107"/>
    <x v="2"/>
    <x v="16"/>
    <s v="Honolulu"/>
    <x v="2"/>
    <n v="0.85"/>
    <n v="7000"/>
    <n v="5950"/>
    <n v="1785"/>
    <n v="0.3"/>
  </r>
  <r>
    <m/>
    <x v="2"/>
    <n v="1128299"/>
    <x v="107"/>
    <x v="2"/>
    <x v="16"/>
    <s v="Honolulu"/>
    <x v="3"/>
    <n v="0.85"/>
    <n v="5750"/>
    <n v="4887.5"/>
    <n v="1466.25"/>
    <n v="0.3"/>
  </r>
  <r>
    <m/>
    <x v="2"/>
    <n v="1128299"/>
    <x v="107"/>
    <x v="2"/>
    <x v="16"/>
    <s v="Honolulu"/>
    <x v="4"/>
    <n v="0.95000000000000007"/>
    <n v="4500"/>
    <n v="4275"/>
    <n v="855"/>
    <n v="0.2"/>
  </r>
  <r>
    <m/>
    <x v="2"/>
    <n v="1128299"/>
    <x v="107"/>
    <x v="2"/>
    <x v="16"/>
    <s v="Honolulu"/>
    <x v="5"/>
    <n v="1.1000000000000001"/>
    <n v="7500"/>
    <n v="8250"/>
    <n v="3712.5"/>
    <n v="0.45"/>
  </r>
  <r>
    <m/>
    <x v="2"/>
    <n v="1128299"/>
    <x v="108"/>
    <x v="2"/>
    <x v="16"/>
    <s v="Honolulu"/>
    <x v="0"/>
    <n v="0.9"/>
    <n v="9000"/>
    <n v="8100"/>
    <n v="2430"/>
    <n v="0.3"/>
  </r>
  <r>
    <m/>
    <x v="2"/>
    <n v="1128299"/>
    <x v="108"/>
    <x v="2"/>
    <x v="16"/>
    <s v="Honolulu"/>
    <x v="1"/>
    <n v="0.95000000000000007"/>
    <n v="7500"/>
    <n v="7125.0000000000009"/>
    <n v="1781.2500000000002"/>
    <n v="0.25"/>
  </r>
  <r>
    <m/>
    <x v="2"/>
    <n v="1128299"/>
    <x v="108"/>
    <x v="2"/>
    <x v="16"/>
    <s v="Honolulu"/>
    <x v="2"/>
    <n v="0.95000000000000007"/>
    <n v="7000"/>
    <n v="6650.0000000000009"/>
    <n v="1995.0000000000002"/>
    <n v="0.3"/>
  </r>
  <r>
    <m/>
    <x v="2"/>
    <n v="1128299"/>
    <x v="108"/>
    <x v="2"/>
    <x v="16"/>
    <s v="Honolulu"/>
    <x v="3"/>
    <n v="0.9"/>
    <n v="6000"/>
    <n v="5400"/>
    <n v="1620"/>
    <n v="0.3"/>
  </r>
  <r>
    <m/>
    <x v="2"/>
    <n v="1128299"/>
    <x v="108"/>
    <x v="2"/>
    <x v="16"/>
    <s v="Honolulu"/>
    <x v="4"/>
    <n v="0.95000000000000007"/>
    <n v="6500"/>
    <n v="6175"/>
    <n v="1235"/>
    <n v="0.2"/>
  </r>
  <r>
    <m/>
    <x v="2"/>
    <n v="1128299"/>
    <x v="108"/>
    <x v="2"/>
    <x v="16"/>
    <s v="Honolulu"/>
    <x v="5"/>
    <n v="1.1000000000000001"/>
    <n v="6500"/>
    <n v="7150.0000000000009"/>
    <n v="3217.5000000000005"/>
    <n v="0.45"/>
  </r>
  <r>
    <m/>
    <x v="2"/>
    <n v="1128299"/>
    <x v="109"/>
    <x v="2"/>
    <x v="16"/>
    <s v="Honolulu"/>
    <x v="0"/>
    <n v="0.95000000000000007"/>
    <n v="8500"/>
    <n v="8075.0000000000009"/>
    <n v="2422.5"/>
    <n v="0.3"/>
  </r>
  <r>
    <m/>
    <x v="2"/>
    <n v="1128299"/>
    <x v="109"/>
    <x v="2"/>
    <x v="16"/>
    <s v="Honolulu"/>
    <x v="1"/>
    <n v="0.85000000000000009"/>
    <n v="8250"/>
    <n v="7012.5000000000009"/>
    <n v="1753.1250000000002"/>
    <n v="0.25"/>
  </r>
  <r>
    <m/>
    <x v="2"/>
    <n v="1128299"/>
    <x v="109"/>
    <x v="2"/>
    <x v="16"/>
    <s v="Honolulu"/>
    <x v="2"/>
    <n v="0.8"/>
    <n v="7000"/>
    <n v="5600"/>
    <n v="1680"/>
    <n v="0.3"/>
  </r>
  <r>
    <m/>
    <x v="2"/>
    <n v="1128299"/>
    <x v="109"/>
    <x v="2"/>
    <x v="16"/>
    <s v="Honolulu"/>
    <x v="3"/>
    <n v="0.8"/>
    <n v="4750"/>
    <n v="3800"/>
    <n v="1140"/>
    <n v="0.3"/>
  </r>
  <r>
    <m/>
    <x v="2"/>
    <n v="1128299"/>
    <x v="109"/>
    <x v="2"/>
    <x v="16"/>
    <s v="Honolulu"/>
    <x v="4"/>
    <n v="0.79999999999999993"/>
    <n v="4750"/>
    <n v="3799.9999999999995"/>
    <n v="760"/>
    <n v="0.2"/>
  </r>
  <r>
    <m/>
    <x v="2"/>
    <n v="1128299"/>
    <x v="109"/>
    <x v="2"/>
    <x v="16"/>
    <s v="Honolulu"/>
    <x v="5"/>
    <n v="0.85"/>
    <n v="3000"/>
    <n v="2550"/>
    <n v="1147.5"/>
    <n v="0.45"/>
  </r>
  <r>
    <m/>
    <x v="2"/>
    <n v="1128299"/>
    <x v="110"/>
    <x v="2"/>
    <x v="16"/>
    <s v="Honolulu"/>
    <x v="0"/>
    <n v="0.60000000000000009"/>
    <n v="5000"/>
    <n v="3000.0000000000005"/>
    <n v="900.00000000000011"/>
    <n v="0.3"/>
  </r>
  <r>
    <m/>
    <x v="2"/>
    <n v="1128299"/>
    <x v="110"/>
    <x v="2"/>
    <x v="16"/>
    <s v="Honolulu"/>
    <x v="1"/>
    <n v="0.65000000000000013"/>
    <n v="5000"/>
    <n v="3250.0000000000005"/>
    <n v="812.50000000000011"/>
    <n v="0.25"/>
  </r>
  <r>
    <m/>
    <x v="2"/>
    <n v="1128299"/>
    <x v="110"/>
    <x v="2"/>
    <x v="16"/>
    <s v="Honolulu"/>
    <x v="2"/>
    <n v="0.60000000000000009"/>
    <n v="3000"/>
    <n v="1800.0000000000002"/>
    <n v="540"/>
    <n v="0.3"/>
  </r>
  <r>
    <m/>
    <x v="2"/>
    <n v="1128299"/>
    <x v="110"/>
    <x v="2"/>
    <x v="16"/>
    <s v="Honolulu"/>
    <x v="3"/>
    <n v="0.60000000000000009"/>
    <n v="2500"/>
    <n v="1500.0000000000002"/>
    <n v="450.00000000000006"/>
    <n v="0.3"/>
  </r>
  <r>
    <m/>
    <x v="2"/>
    <n v="1128299"/>
    <x v="110"/>
    <x v="2"/>
    <x v="16"/>
    <s v="Honolulu"/>
    <x v="4"/>
    <n v="0.70000000000000007"/>
    <n v="2750"/>
    <n v="1925.0000000000002"/>
    <n v="385.00000000000006"/>
    <n v="0.2"/>
  </r>
  <r>
    <m/>
    <x v="2"/>
    <n v="1128299"/>
    <x v="110"/>
    <x v="2"/>
    <x v="16"/>
    <s v="Honolulu"/>
    <x v="5"/>
    <n v="0.54999999999999993"/>
    <n v="3000"/>
    <n v="1649.9999999999998"/>
    <n v="742.49999999999989"/>
    <n v="0.45"/>
  </r>
  <r>
    <m/>
    <x v="2"/>
    <n v="1128299"/>
    <x v="111"/>
    <x v="2"/>
    <x v="16"/>
    <s v="Honolulu"/>
    <x v="0"/>
    <n v="0.5"/>
    <n v="4000"/>
    <n v="2000"/>
    <n v="600"/>
    <n v="0.3"/>
  </r>
  <r>
    <m/>
    <x v="2"/>
    <n v="1128299"/>
    <x v="111"/>
    <x v="2"/>
    <x v="16"/>
    <s v="Honolulu"/>
    <x v="1"/>
    <n v="0.65000000000000013"/>
    <n v="5750"/>
    <n v="3737.5000000000009"/>
    <n v="934.37500000000023"/>
    <n v="0.25"/>
  </r>
  <r>
    <m/>
    <x v="2"/>
    <n v="1128299"/>
    <x v="111"/>
    <x v="2"/>
    <x v="16"/>
    <s v="Honolulu"/>
    <x v="2"/>
    <n v="0.60000000000000009"/>
    <n v="4000"/>
    <n v="2400.0000000000005"/>
    <n v="720.00000000000011"/>
    <n v="0.3"/>
  </r>
  <r>
    <m/>
    <x v="2"/>
    <n v="1128299"/>
    <x v="111"/>
    <x v="2"/>
    <x v="16"/>
    <s v="Honolulu"/>
    <x v="3"/>
    <n v="0.55000000000000004"/>
    <n v="3750"/>
    <n v="2062.5"/>
    <n v="618.75"/>
    <n v="0.3"/>
  </r>
  <r>
    <m/>
    <x v="2"/>
    <n v="1128299"/>
    <x v="111"/>
    <x v="2"/>
    <x v="16"/>
    <s v="Honolulu"/>
    <x v="4"/>
    <n v="0.65"/>
    <n v="3500"/>
    <n v="2275"/>
    <n v="455"/>
    <n v="0.2"/>
  </r>
  <r>
    <m/>
    <x v="2"/>
    <n v="1128299"/>
    <x v="111"/>
    <x v="2"/>
    <x v="16"/>
    <s v="Honolulu"/>
    <x v="5"/>
    <n v="0.70000000000000007"/>
    <n v="4000"/>
    <n v="2800.0000000000005"/>
    <n v="1260.0000000000002"/>
    <n v="0.45"/>
  </r>
  <r>
    <m/>
    <x v="2"/>
    <n v="1128299"/>
    <x v="112"/>
    <x v="2"/>
    <x v="16"/>
    <s v="Honolulu"/>
    <x v="0"/>
    <n v="0.55000000000000004"/>
    <n v="6250"/>
    <n v="3437.5000000000005"/>
    <n v="1031.25"/>
    <n v="0.3"/>
  </r>
  <r>
    <m/>
    <x v="2"/>
    <n v="1128299"/>
    <x v="112"/>
    <x v="2"/>
    <x v="16"/>
    <s v="Honolulu"/>
    <x v="1"/>
    <n v="0.60000000000000009"/>
    <n v="7000"/>
    <n v="4200.0000000000009"/>
    <n v="1050.0000000000002"/>
    <n v="0.25"/>
  </r>
  <r>
    <m/>
    <x v="2"/>
    <n v="1128299"/>
    <x v="112"/>
    <x v="2"/>
    <x v="16"/>
    <s v="Honolulu"/>
    <x v="2"/>
    <n v="0.55000000000000004"/>
    <n v="5250"/>
    <n v="2887.5000000000005"/>
    <n v="866.25000000000011"/>
    <n v="0.3"/>
  </r>
  <r>
    <m/>
    <x v="2"/>
    <n v="1128299"/>
    <x v="112"/>
    <x v="2"/>
    <x v="16"/>
    <s v="Honolulu"/>
    <x v="3"/>
    <n v="0.65000000000000013"/>
    <n v="5000"/>
    <n v="3250.0000000000005"/>
    <n v="975.00000000000011"/>
    <n v="0.3"/>
  </r>
  <r>
    <m/>
    <x v="2"/>
    <n v="1128299"/>
    <x v="112"/>
    <x v="2"/>
    <x v="16"/>
    <s v="Honolulu"/>
    <x v="4"/>
    <n v="0.85000000000000009"/>
    <n v="4750"/>
    <n v="4037.5000000000005"/>
    <n v="807.50000000000011"/>
    <n v="0.2"/>
  </r>
  <r>
    <m/>
    <x v="2"/>
    <n v="1128299"/>
    <x v="112"/>
    <x v="2"/>
    <x v="16"/>
    <s v="Honolulu"/>
    <x v="5"/>
    <n v="0.90000000000000013"/>
    <n v="6000"/>
    <n v="5400.0000000000009"/>
    <n v="2430.0000000000005"/>
    <n v="0.45"/>
  </r>
  <r>
    <m/>
    <x v="2"/>
    <n v="1128299"/>
    <x v="113"/>
    <x v="2"/>
    <x v="16"/>
    <s v="Honolulu"/>
    <x v="0"/>
    <n v="0.75000000000000011"/>
    <n v="8000"/>
    <n v="6000.0000000000009"/>
    <n v="1800.0000000000002"/>
    <n v="0.3"/>
  </r>
  <r>
    <m/>
    <x v="2"/>
    <n v="1128299"/>
    <x v="113"/>
    <x v="2"/>
    <x v="16"/>
    <s v="Honolulu"/>
    <x v="1"/>
    <n v="0.8500000000000002"/>
    <n v="8000"/>
    <n v="6800.0000000000018"/>
    <n v="1700.0000000000005"/>
    <n v="0.25"/>
  </r>
  <r>
    <m/>
    <x v="2"/>
    <n v="1128299"/>
    <x v="113"/>
    <x v="2"/>
    <x v="16"/>
    <s v="Honolulu"/>
    <x v="2"/>
    <n v="0.80000000000000016"/>
    <n v="6000"/>
    <n v="4800.0000000000009"/>
    <n v="1440.0000000000002"/>
    <n v="0.3"/>
  </r>
  <r>
    <m/>
    <x v="2"/>
    <n v="1128299"/>
    <x v="113"/>
    <x v="2"/>
    <x v="16"/>
    <s v="Honolulu"/>
    <x v="3"/>
    <n v="0.80000000000000016"/>
    <n v="6000"/>
    <n v="4800.0000000000009"/>
    <n v="1440.0000000000002"/>
    <n v="0.3"/>
  </r>
  <r>
    <m/>
    <x v="2"/>
    <n v="1128299"/>
    <x v="113"/>
    <x v="2"/>
    <x v="16"/>
    <s v="Honolulu"/>
    <x v="4"/>
    <n v="0.90000000000000013"/>
    <n v="5250"/>
    <n v="4725.0000000000009"/>
    <n v="945.00000000000023"/>
    <n v="0.2"/>
  </r>
  <r>
    <m/>
    <x v="2"/>
    <n v="1128299"/>
    <x v="113"/>
    <x v="2"/>
    <x v="16"/>
    <s v="Honolulu"/>
    <x v="5"/>
    <n v="0.95000000000000018"/>
    <n v="6250"/>
    <n v="5937.5000000000009"/>
    <n v="2671.8750000000005"/>
    <n v="0.45"/>
  </r>
  <r>
    <s v="x"/>
    <x v="0"/>
    <n v="1185732"/>
    <x v="78"/>
    <x v="4"/>
    <x v="8"/>
    <s v="Orlando"/>
    <x v="0"/>
    <n v="0.45"/>
    <n v="8500"/>
    <n v="3825"/>
    <n v="1721.25"/>
    <n v="0.45"/>
  </r>
  <r>
    <m/>
    <x v="0"/>
    <n v="1185732"/>
    <x v="78"/>
    <x v="4"/>
    <x v="8"/>
    <s v="Orlando"/>
    <x v="1"/>
    <n v="0.45"/>
    <n v="6500"/>
    <n v="2925"/>
    <n v="1023.7499999999999"/>
    <n v="0.35"/>
  </r>
  <r>
    <m/>
    <x v="0"/>
    <n v="1185732"/>
    <x v="78"/>
    <x v="4"/>
    <x v="8"/>
    <s v="Orlando"/>
    <x v="2"/>
    <n v="0.35000000000000003"/>
    <n v="6500"/>
    <n v="2275"/>
    <n v="568.75"/>
    <n v="0.25"/>
  </r>
  <r>
    <m/>
    <x v="0"/>
    <n v="1185732"/>
    <x v="78"/>
    <x v="4"/>
    <x v="8"/>
    <s v="Orlando"/>
    <x v="3"/>
    <n v="0.39999999999999997"/>
    <n v="5000"/>
    <n v="1999.9999999999998"/>
    <n v="599.99999999999989"/>
    <n v="0.3"/>
  </r>
  <r>
    <m/>
    <x v="0"/>
    <n v="1185732"/>
    <x v="78"/>
    <x v="4"/>
    <x v="8"/>
    <s v="Orlando"/>
    <x v="4"/>
    <n v="0.55000000000000004"/>
    <n v="5500"/>
    <n v="3025.0000000000005"/>
    <n v="1058.75"/>
    <n v="0.35"/>
  </r>
  <r>
    <m/>
    <x v="0"/>
    <n v="1185732"/>
    <x v="78"/>
    <x v="4"/>
    <x v="8"/>
    <s v="Orlando"/>
    <x v="5"/>
    <n v="0.45"/>
    <n v="6500"/>
    <n v="2925"/>
    <n v="1462.5"/>
    <n v="0.5"/>
  </r>
  <r>
    <m/>
    <x v="0"/>
    <n v="1185732"/>
    <x v="79"/>
    <x v="4"/>
    <x v="8"/>
    <s v="Orlando"/>
    <x v="0"/>
    <n v="0.45"/>
    <n v="9000"/>
    <n v="4050"/>
    <n v="1822.5"/>
    <n v="0.45"/>
  </r>
  <r>
    <m/>
    <x v="0"/>
    <n v="1185732"/>
    <x v="79"/>
    <x v="4"/>
    <x v="8"/>
    <s v="Orlando"/>
    <x v="1"/>
    <n v="0.45"/>
    <n v="5500"/>
    <n v="2475"/>
    <n v="866.25"/>
    <n v="0.35"/>
  </r>
  <r>
    <m/>
    <x v="0"/>
    <n v="1185732"/>
    <x v="79"/>
    <x v="4"/>
    <x v="8"/>
    <s v="Orlando"/>
    <x v="2"/>
    <n v="0.35000000000000003"/>
    <n v="6000"/>
    <n v="2100"/>
    <n v="525"/>
    <n v="0.25"/>
  </r>
  <r>
    <m/>
    <x v="0"/>
    <n v="1185732"/>
    <x v="79"/>
    <x v="4"/>
    <x v="8"/>
    <s v="Orlando"/>
    <x v="3"/>
    <n v="0.39999999999999997"/>
    <n v="4750"/>
    <n v="1899.9999999999998"/>
    <n v="569.99999999999989"/>
    <n v="0.3"/>
  </r>
  <r>
    <m/>
    <x v="0"/>
    <n v="1185732"/>
    <x v="79"/>
    <x v="4"/>
    <x v="8"/>
    <s v="Orlando"/>
    <x v="4"/>
    <n v="0.55000000000000004"/>
    <n v="5500"/>
    <n v="3025.0000000000005"/>
    <n v="1058.75"/>
    <n v="0.35"/>
  </r>
  <r>
    <m/>
    <x v="0"/>
    <n v="1185732"/>
    <x v="79"/>
    <x v="4"/>
    <x v="8"/>
    <s v="Orlando"/>
    <x v="5"/>
    <n v="0.45"/>
    <n v="6500"/>
    <n v="2925"/>
    <n v="1462.5"/>
    <n v="0.5"/>
  </r>
  <r>
    <m/>
    <x v="0"/>
    <n v="1185732"/>
    <x v="80"/>
    <x v="4"/>
    <x v="8"/>
    <s v="Orlando"/>
    <x v="0"/>
    <n v="0.45"/>
    <n v="8700"/>
    <n v="3915"/>
    <n v="1761.75"/>
    <n v="0.45"/>
  </r>
  <r>
    <m/>
    <x v="0"/>
    <n v="1185732"/>
    <x v="80"/>
    <x v="4"/>
    <x v="8"/>
    <s v="Orlando"/>
    <x v="1"/>
    <n v="0.45"/>
    <n v="5500"/>
    <n v="2475"/>
    <n v="866.25"/>
    <n v="0.35"/>
  </r>
  <r>
    <m/>
    <x v="0"/>
    <n v="1185732"/>
    <x v="80"/>
    <x v="4"/>
    <x v="8"/>
    <s v="Orlando"/>
    <x v="2"/>
    <n v="0.35000000000000003"/>
    <n v="5750"/>
    <n v="2012.5000000000002"/>
    <n v="503.12500000000006"/>
    <n v="0.25"/>
  </r>
  <r>
    <m/>
    <x v="0"/>
    <n v="1185732"/>
    <x v="80"/>
    <x v="4"/>
    <x v="8"/>
    <s v="Orlando"/>
    <x v="3"/>
    <n v="0.39999999999999997"/>
    <n v="4250"/>
    <n v="1699.9999999999998"/>
    <n v="509.99999999999989"/>
    <n v="0.3"/>
  </r>
  <r>
    <m/>
    <x v="0"/>
    <n v="1185732"/>
    <x v="80"/>
    <x v="4"/>
    <x v="8"/>
    <s v="Orlando"/>
    <x v="4"/>
    <n v="0.55000000000000004"/>
    <n v="4750"/>
    <n v="2612.5"/>
    <n v="914.37499999999989"/>
    <n v="0.35"/>
  </r>
  <r>
    <m/>
    <x v="0"/>
    <n v="1185732"/>
    <x v="80"/>
    <x v="4"/>
    <x v="8"/>
    <s v="Orlando"/>
    <x v="5"/>
    <n v="0.45"/>
    <n v="5750"/>
    <n v="2587.5"/>
    <n v="1293.75"/>
    <n v="0.5"/>
  </r>
  <r>
    <m/>
    <x v="0"/>
    <n v="1185732"/>
    <x v="81"/>
    <x v="4"/>
    <x v="8"/>
    <s v="Orlando"/>
    <x v="0"/>
    <n v="0.45"/>
    <n v="8250"/>
    <n v="3712.5"/>
    <n v="1670.625"/>
    <n v="0.45"/>
  </r>
  <r>
    <m/>
    <x v="0"/>
    <n v="1185732"/>
    <x v="81"/>
    <x v="4"/>
    <x v="8"/>
    <s v="Orlando"/>
    <x v="1"/>
    <n v="0.45"/>
    <n v="5250"/>
    <n v="2362.5"/>
    <n v="826.875"/>
    <n v="0.35"/>
  </r>
  <r>
    <m/>
    <x v="0"/>
    <n v="1185732"/>
    <x v="81"/>
    <x v="4"/>
    <x v="8"/>
    <s v="Orlando"/>
    <x v="2"/>
    <n v="0.35000000000000003"/>
    <n v="5250"/>
    <n v="1837.5000000000002"/>
    <n v="459.37500000000006"/>
    <n v="0.25"/>
  </r>
  <r>
    <m/>
    <x v="0"/>
    <n v="1185732"/>
    <x v="81"/>
    <x v="4"/>
    <x v="8"/>
    <s v="Orlando"/>
    <x v="3"/>
    <n v="0.39999999999999997"/>
    <n v="4500"/>
    <n v="1799.9999999999998"/>
    <n v="539.99999999999989"/>
    <n v="0.3"/>
  </r>
  <r>
    <m/>
    <x v="0"/>
    <n v="1185732"/>
    <x v="81"/>
    <x v="4"/>
    <x v="8"/>
    <s v="Orlando"/>
    <x v="4"/>
    <n v="0.55000000000000004"/>
    <n v="4750"/>
    <n v="2612.5"/>
    <n v="914.37499999999989"/>
    <n v="0.35"/>
  </r>
  <r>
    <m/>
    <x v="0"/>
    <n v="1185732"/>
    <x v="81"/>
    <x v="4"/>
    <x v="8"/>
    <s v="Orlando"/>
    <x v="5"/>
    <n v="0.45"/>
    <n v="6000"/>
    <n v="2700"/>
    <n v="1350"/>
    <n v="0.5"/>
  </r>
  <r>
    <m/>
    <x v="0"/>
    <n v="1185732"/>
    <x v="82"/>
    <x v="4"/>
    <x v="8"/>
    <s v="Orlando"/>
    <x v="0"/>
    <n v="0.55000000000000004"/>
    <n v="8700"/>
    <n v="4785"/>
    <n v="2153.25"/>
    <n v="0.45"/>
  </r>
  <r>
    <m/>
    <x v="0"/>
    <n v="1185732"/>
    <x v="82"/>
    <x v="4"/>
    <x v="8"/>
    <s v="Orlando"/>
    <x v="1"/>
    <n v="0.55000000000000004"/>
    <n v="5750"/>
    <n v="3162.5000000000005"/>
    <n v="1106.875"/>
    <n v="0.35"/>
  </r>
  <r>
    <m/>
    <x v="0"/>
    <n v="1185732"/>
    <x v="82"/>
    <x v="4"/>
    <x v="8"/>
    <s v="Orlando"/>
    <x v="2"/>
    <n v="0.5"/>
    <n v="5500"/>
    <n v="2750"/>
    <n v="687.5"/>
    <n v="0.25"/>
  </r>
  <r>
    <m/>
    <x v="0"/>
    <n v="1185732"/>
    <x v="82"/>
    <x v="4"/>
    <x v="8"/>
    <s v="Orlando"/>
    <x v="3"/>
    <n v="0.5"/>
    <n v="5000"/>
    <n v="2500"/>
    <n v="750"/>
    <n v="0.3"/>
  </r>
  <r>
    <m/>
    <x v="0"/>
    <n v="1185732"/>
    <x v="82"/>
    <x v="4"/>
    <x v="8"/>
    <s v="Orlando"/>
    <x v="4"/>
    <n v="0.6"/>
    <n v="5250"/>
    <n v="3150"/>
    <n v="1102.5"/>
    <n v="0.35"/>
  </r>
  <r>
    <m/>
    <x v="0"/>
    <n v="1185732"/>
    <x v="82"/>
    <x v="4"/>
    <x v="8"/>
    <s v="Orlando"/>
    <x v="5"/>
    <n v="0.65"/>
    <n v="6250"/>
    <n v="4062.5"/>
    <n v="2031.25"/>
    <n v="0.5"/>
  </r>
  <r>
    <m/>
    <x v="0"/>
    <n v="1185732"/>
    <x v="83"/>
    <x v="4"/>
    <x v="8"/>
    <s v="Orlando"/>
    <x v="0"/>
    <n v="0.6"/>
    <n v="8750"/>
    <n v="5250"/>
    <n v="2362.5"/>
    <n v="0.45"/>
  </r>
  <r>
    <m/>
    <x v="0"/>
    <n v="1185732"/>
    <x v="83"/>
    <x v="4"/>
    <x v="8"/>
    <s v="Orlando"/>
    <x v="1"/>
    <n v="0.55000000000000004"/>
    <n v="6250"/>
    <n v="3437.5000000000005"/>
    <n v="1203.125"/>
    <n v="0.35"/>
  </r>
  <r>
    <m/>
    <x v="0"/>
    <n v="1185732"/>
    <x v="83"/>
    <x v="4"/>
    <x v="8"/>
    <s v="Orlando"/>
    <x v="2"/>
    <n v="0.5"/>
    <n v="6000"/>
    <n v="3000"/>
    <n v="750"/>
    <n v="0.25"/>
  </r>
  <r>
    <m/>
    <x v="0"/>
    <n v="1185732"/>
    <x v="83"/>
    <x v="4"/>
    <x v="8"/>
    <s v="Orlando"/>
    <x v="3"/>
    <n v="0.5"/>
    <n v="5750"/>
    <n v="2875"/>
    <n v="862.5"/>
    <n v="0.3"/>
  </r>
  <r>
    <m/>
    <x v="0"/>
    <n v="1185732"/>
    <x v="83"/>
    <x v="4"/>
    <x v="8"/>
    <s v="Orlando"/>
    <x v="4"/>
    <n v="0.65"/>
    <n v="5750"/>
    <n v="3737.5"/>
    <n v="1308.125"/>
    <n v="0.35"/>
  </r>
  <r>
    <m/>
    <x v="0"/>
    <n v="1185732"/>
    <x v="83"/>
    <x v="4"/>
    <x v="8"/>
    <s v="Orlando"/>
    <x v="5"/>
    <n v="0.70000000000000007"/>
    <n v="7250"/>
    <n v="5075.0000000000009"/>
    <n v="2537.5000000000005"/>
    <n v="0.5"/>
  </r>
  <r>
    <m/>
    <x v="0"/>
    <n v="1185732"/>
    <x v="84"/>
    <x v="4"/>
    <x v="8"/>
    <s v="Orlando"/>
    <x v="0"/>
    <n v="0.65"/>
    <n v="9500"/>
    <n v="6175"/>
    <n v="2778.75"/>
    <n v="0.45"/>
  </r>
  <r>
    <m/>
    <x v="0"/>
    <n v="1185732"/>
    <x v="84"/>
    <x v="4"/>
    <x v="8"/>
    <s v="Orlando"/>
    <x v="1"/>
    <n v="0.60000000000000009"/>
    <n v="7000"/>
    <n v="4200.0000000000009"/>
    <n v="1470.0000000000002"/>
    <n v="0.35"/>
  </r>
  <r>
    <m/>
    <x v="0"/>
    <n v="1185732"/>
    <x v="84"/>
    <x v="4"/>
    <x v="8"/>
    <s v="Orlando"/>
    <x v="2"/>
    <n v="0.55000000000000004"/>
    <n v="6250"/>
    <n v="3437.5000000000005"/>
    <n v="859.37500000000011"/>
    <n v="0.25"/>
  </r>
  <r>
    <m/>
    <x v="0"/>
    <n v="1185732"/>
    <x v="84"/>
    <x v="4"/>
    <x v="8"/>
    <s v="Orlando"/>
    <x v="3"/>
    <n v="0.55000000000000004"/>
    <n v="5750"/>
    <n v="3162.5000000000005"/>
    <n v="948.75000000000011"/>
    <n v="0.3"/>
  </r>
  <r>
    <m/>
    <x v="0"/>
    <n v="1185732"/>
    <x v="84"/>
    <x v="4"/>
    <x v="8"/>
    <s v="Orlando"/>
    <x v="4"/>
    <n v="0.65"/>
    <n v="6000"/>
    <n v="3900"/>
    <n v="1365"/>
    <n v="0.35"/>
  </r>
  <r>
    <m/>
    <x v="0"/>
    <n v="1185732"/>
    <x v="84"/>
    <x v="4"/>
    <x v="8"/>
    <s v="Orlando"/>
    <x v="5"/>
    <n v="0.70000000000000007"/>
    <n v="7750"/>
    <n v="5425.0000000000009"/>
    <n v="2712.5000000000005"/>
    <n v="0.5"/>
  </r>
  <r>
    <m/>
    <x v="0"/>
    <n v="1185732"/>
    <x v="85"/>
    <x v="4"/>
    <x v="8"/>
    <s v="Orlando"/>
    <x v="0"/>
    <n v="0.65"/>
    <n v="9250"/>
    <n v="6012.5"/>
    <n v="2705.625"/>
    <n v="0.45"/>
  </r>
  <r>
    <m/>
    <x v="0"/>
    <n v="1185732"/>
    <x v="85"/>
    <x v="4"/>
    <x v="8"/>
    <s v="Orlando"/>
    <x v="1"/>
    <n v="0.60000000000000009"/>
    <n v="7000"/>
    <n v="4200.0000000000009"/>
    <n v="1470.0000000000002"/>
    <n v="0.35"/>
  </r>
  <r>
    <m/>
    <x v="0"/>
    <n v="1185732"/>
    <x v="85"/>
    <x v="4"/>
    <x v="8"/>
    <s v="Orlando"/>
    <x v="2"/>
    <n v="0.55000000000000004"/>
    <n v="6250"/>
    <n v="3437.5000000000005"/>
    <n v="859.37500000000011"/>
    <n v="0.25"/>
  </r>
  <r>
    <m/>
    <x v="0"/>
    <n v="1185732"/>
    <x v="85"/>
    <x v="4"/>
    <x v="8"/>
    <s v="Orlando"/>
    <x v="3"/>
    <n v="0.45"/>
    <n v="5750"/>
    <n v="2587.5"/>
    <n v="776.25"/>
    <n v="0.3"/>
  </r>
  <r>
    <m/>
    <x v="0"/>
    <n v="1185732"/>
    <x v="85"/>
    <x v="4"/>
    <x v="8"/>
    <s v="Orlando"/>
    <x v="4"/>
    <n v="0.55000000000000004"/>
    <n v="5500"/>
    <n v="3025.0000000000005"/>
    <n v="1058.75"/>
    <n v="0.35"/>
  </r>
  <r>
    <m/>
    <x v="0"/>
    <n v="1185732"/>
    <x v="85"/>
    <x v="4"/>
    <x v="8"/>
    <s v="Orlando"/>
    <x v="5"/>
    <n v="0.60000000000000009"/>
    <n v="7250"/>
    <n v="4350.0000000000009"/>
    <n v="2175.0000000000005"/>
    <n v="0.5"/>
  </r>
  <r>
    <m/>
    <x v="0"/>
    <n v="1185732"/>
    <x v="86"/>
    <x v="4"/>
    <x v="8"/>
    <s v="Orlando"/>
    <x v="0"/>
    <n v="0.55000000000000004"/>
    <n v="8500"/>
    <n v="4675"/>
    <n v="2103.75"/>
    <n v="0.45"/>
  </r>
  <r>
    <m/>
    <x v="0"/>
    <n v="1185732"/>
    <x v="86"/>
    <x v="4"/>
    <x v="8"/>
    <s v="Orlando"/>
    <x v="1"/>
    <n v="0.50000000000000011"/>
    <n v="6500"/>
    <n v="3250.0000000000009"/>
    <n v="1137.5000000000002"/>
    <n v="0.35"/>
  </r>
  <r>
    <m/>
    <x v="0"/>
    <n v="1185732"/>
    <x v="86"/>
    <x v="4"/>
    <x v="8"/>
    <s v="Orlando"/>
    <x v="2"/>
    <n v="0.45"/>
    <n v="5500"/>
    <n v="2475"/>
    <n v="618.75"/>
    <n v="0.25"/>
  </r>
  <r>
    <m/>
    <x v="0"/>
    <n v="1185732"/>
    <x v="86"/>
    <x v="4"/>
    <x v="8"/>
    <s v="Orlando"/>
    <x v="3"/>
    <n v="0.45"/>
    <n v="5250"/>
    <n v="2362.5"/>
    <n v="708.75"/>
    <n v="0.3"/>
  </r>
  <r>
    <m/>
    <x v="0"/>
    <n v="1185732"/>
    <x v="86"/>
    <x v="4"/>
    <x v="8"/>
    <s v="Orlando"/>
    <x v="4"/>
    <n v="0.55000000000000004"/>
    <n v="5250"/>
    <n v="2887.5000000000005"/>
    <n v="1010.6250000000001"/>
    <n v="0.35"/>
  </r>
  <r>
    <m/>
    <x v="0"/>
    <n v="1185732"/>
    <x v="86"/>
    <x v="4"/>
    <x v="8"/>
    <s v="Orlando"/>
    <x v="5"/>
    <n v="0.60000000000000009"/>
    <n v="6250"/>
    <n v="3750.0000000000005"/>
    <n v="1875.0000000000002"/>
    <n v="0.5"/>
  </r>
  <r>
    <m/>
    <x v="0"/>
    <n v="1185732"/>
    <x v="87"/>
    <x v="4"/>
    <x v="8"/>
    <s v="Orlando"/>
    <x v="0"/>
    <n v="0.60000000000000009"/>
    <n v="8000"/>
    <n v="4800.0000000000009"/>
    <n v="2160.0000000000005"/>
    <n v="0.45"/>
  </r>
  <r>
    <m/>
    <x v="0"/>
    <n v="1185732"/>
    <x v="87"/>
    <x v="4"/>
    <x v="8"/>
    <s v="Orlando"/>
    <x v="1"/>
    <n v="0.50000000000000011"/>
    <n v="6250"/>
    <n v="3125.0000000000009"/>
    <n v="1093.7500000000002"/>
    <n v="0.35"/>
  </r>
  <r>
    <m/>
    <x v="0"/>
    <n v="1185732"/>
    <x v="87"/>
    <x v="4"/>
    <x v="8"/>
    <s v="Orlando"/>
    <x v="2"/>
    <n v="0.50000000000000011"/>
    <n v="5250"/>
    <n v="2625.0000000000005"/>
    <n v="656.25000000000011"/>
    <n v="0.25"/>
  </r>
  <r>
    <m/>
    <x v="0"/>
    <n v="1185732"/>
    <x v="87"/>
    <x v="4"/>
    <x v="8"/>
    <s v="Orlando"/>
    <x v="3"/>
    <n v="0.50000000000000011"/>
    <n v="5000"/>
    <n v="2500.0000000000005"/>
    <n v="750.00000000000011"/>
    <n v="0.3"/>
  </r>
  <r>
    <m/>
    <x v="0"/>
    <n v="1185732"/>
    <x v="87"/>
    <x v="4"/>
    <x v="8"/>
    <s v="Orlando"/>
    <x v="4"/>
    <n v="0.60000000000000009"/>
    <n v="5000"/>
    <n v="3000.0000000000005"/>
    <n v="1050"/>
    <n v="0.35"/>
  </r>
  <r>
    <m/>
    <x v="0"/>
    <n v="1185732"/>
    <x v="87"/>
    <x v="4"/>
    <x v="8"/>
    <s v="Orlando"/>
    <x v="5"/>
    <n v="0.65"/>
    <n v="6250"/>
    <n v="4062.5"/>
    <n v="2031.25"/>
    <n v="0.5"/>
  </r>
  <r>
    <m/>
    <x v="0"/>
    <n v="1185732"/>
    <x v="88"/>
    <x v="4"/>
    <x v="8"/>
    <s v="Orlando"/>
    <x v="0"/>
    <n v="0.60000000000000009"/>
    <n v="7750"/>
    <n v="4650.0000000000009"/>
    <n v="2092.5000000000005"/>
    <n v="0.45"/>
  </r>
  <r>
    <m/>
    <x v="0"/>
    <n v="1185732"/>
    <x v="88"/>
    <x v="4"/>
    <x v="8"/>
    <s v="Orlando"/>
    <x v="1"/>
    <n v="0.50000000000000011"/>
    <n v="6000"/>
    <n v="3000.0000000000005"/>
    <n v="1050"/>
    <n v="0.35"/>
  </r>
  <r>
    <m/>
    <x v="0"/>
    <n v="1185732"/>
    <x v="88"/>
    <x v="4"/>
    <x v="8"/>
    <s v="Orlando"/>
    <x v="2"/>
    <n v="0.50000000000000011"/>
    <n v="5450"/>
    <n v="2725.0000000000005"/>
    <n v="681.25000000000011"/>
    <n v="0.25"/>
  </r>
  <r>
    <m/>
    <x v="0"/>
    <n v="1185732"/>
    <x v="88"/>
    <x v="4"/>
    <x v="8"/>
    <s v="Orlando"/>
    <x v="3"/>
    <n v="0.50000000000000011"/>
    <n v="5750"/>
    <n v="2875.0000000000005"/>
    <n v="862.50000000000011"/>
    <n v="0.3"/>
  </r>
  <r>
    <m/>
    <x v="0"/>
    <n v="1185732"/>
    <x v="88"/>
    <x v="4"/>
    <x v="8"/>
    <s v="Orlando"/>
    <x v="4"/>
    <n v="0.65"/>
    <n v="5500"/>
    <n v="3575"/>
    <n v="1251.25"/>
    <n v="0.35"/>
  </r>
  <r>
    <m/>
    <x v="0"/>
    <n v="1185732"/>
    <x v="88"/>
    <x v="4"/>
    <x v="8"/>
    <s v="Orlando"/>
    <x v="5"/>
    <n v="0.7"/>
    <n v="6500"/>
    <n v="4550"/>
    <n v="2275"/>
    <n v="0.5"/>
  </r>
  <r>
    <m/>
    <x v="0"/>
    <n v="1185732"/>
    <x v="89"/>
    <x v="4"/>
    <x v="8"/>
    <s v="Orlando"/>
    <x v="0"/>
    <n v="0.65"/>
    <n v="8750"/>
    <n v="5687.5"/>
    <n v="2559.375"/>
    <n v="0.45"/>
  </r>
  <r>
    <m/>
    <x v="0"/>
    <n v="1185732"/>
    <x v="89"/>
    <x v="4"/>
    <x v="8"/>
    <s v="Orlando"/>
    <x v="1"/>
    <n v="0.55000000000000004"/>
    <n v="6750"/>
    <n v="3712.5000000000005"/>
    <n v="1299.375"/>
    <n v="0.35"/>
  </r>
  <r>
    <m/>
    <x v="0"/>
    <n v="1185732"/>
    <x v="89"/>
    <x v="4"/>
    <x v="8"/>
    <s v="Orlando"/>
    <x v="2"/>
    <n v="0.55000000000000004"/>
    <n v="6250"/>
    <n v="3437.5000000000005"/>
    <n v="859.37500000000011"/>
    <n v="0.25"/>
  </r>
  <r>
    <m/>
    <x v="0"/>
    <n v="1185732"/>
    <x v="89"/>
    <x v="4"/>
    <x v="8"/>
    <s v="Orlando"/>
    <x v="3"/>
    <n v="0.55000000000000004"/>
    <n v="5750"/>
    <n v="3162.5000000000005"/>
    <n v="948.75000000000011"/>
    <n v="0.3"/>
  </r>
  <r>
    <m/>
    <x v="0"/>
    <n v="1185732"/>
    <x v="89"/>
    <x v="4"/>
    <x v="8"/>
    <s v="Orlando"/>
    <x v="4"/>
    <n v="0.65"/>
    <n v="5750"/>
    <n v="3737.5"/>
    <n v="1308.125"/>
    <n v="0.35"/>
  </r>
  <r>
    <m/>
    <x v="0"/>
    <n v="1185732"/>
    <x v="89"/>
    <x v="4"/>
    <x v="8"/>
    <s v="Orlando"/>
    <x v="5"/>
    <n v="0.7"/>
    <n v="6750"/>
    <n v="4725"/>
    <n v="2362.5"/>
    <n v="0.5"/>
  </r>
  <r>
    <s v="x"/>
    <x v="0"/>
    <n v="1185732"/>
    <x v="0"/>
    <x v="0"/>
    <x v="0"/>
    <s v="Albany"/>
    <x v="0"/>
    <n v="0.4"/>
    <n v="8000"/>
    <n v="3200"/>
    <n v="1600"/>
    <n v="0.5"/>
  </r>
  <r>
    <m/>
    <x v="0"/>
    <n v="1185732"/>
    <x v="0"/>
    <x v="0"/>
    <x v="0"/>
    <s v="Albany"/>
    <x v="1"/>
    <n v="0.4"/>
    <n v="6000"/>
    <n v="2400"/>
    <n v="720"/>
    <n v="0.3"/>
  </r>
  <r>
    <m/>
    <x v="0"/>
    <n v="1185732"/>
    <x v="0"/>
    <x v="0"/>
    <x v="0"/>
    <s v="Albany"/>
    <x v="2"/>
    <n v="0.30000000000000004"/>
    <n v="6000"/>
    <n v="1800.0000000000002"/>
    <n v="630"/>
    <n v="0.35"/>
  </r>
  <r>
    <m/>
    <x v="0"/>
    <n v="1185732"/>
    <x v="0"/>
    <x v="0"/>
    <x v="0"/>
    <s v="Albany"/>
    <x v="3"/>
    <n v="0.35"/>
    <n v="4500"/>
    <n v="1575"/>
    <n v="551.25"/>
    <n v="0.35"/>
  </r>
  <r>
    <m/>
    <x v="0"/>
    <n v="1185732"/>
    <x v="0"/>
    <x v="0"/>
    <x v="0"/>
    <s v="Albany"/>
    <x v="4"/>
    <n v="0.5"/>
    <n v="5000"/>
    <n v="2500"/>
    <n v="750"/>
    <n v="0.3"/>
  </r>
  <r>
    <m/>
    <x v="0"/>
    <n v="1185732"/>
    <x v="0"/>
    <x v="0"/>
    <x v="0"/>
    <s v="Albany"/>
    <x v="5"/>
    <n v="0.4"/>
    <n v="6000"/>
    <n v="2400"/>
    <n v="600"/>
    <n v="0.25"/>
  </r>
  <r>
    <m/>
    <x v="0"/>
    <n v="1185732"/>
    <x v="1"/>
    <x v="0"/>
    <x v="0"/>
    <s v="Albany"/>
    <x v="0"/>
    <n v="0.4"/>
    <n v="8500"/>
    <n v="3400"/>
    <n v="1700"/>
    <n v="0.5"/>
  </r>
  <r>
    <m/>
    <x v="0"/>
    <n v="1185732"/>
    <x v="1"/>
    <x v="0"/>
    <x v="0"/>
    <s v="Albany"/>
    <x v="1"/>
    <n v="0.4"/>
    <n v="5000"/>
    <n v="2000"/>
    <n v="600"/>
    <n v="0.3"/>
  </r>
  <r>
    <m/>
    <x v="0"/>
    <n v="1185732"/>
    <x v="1"/>
    <x v="0"/>
    <x v="0"/>
    <s v="Albany"/>
    <x v="2"/>
    <n v="0.30000000000000004"/>
    <n v="5500"/>
    <n v="1650.0000000000002"/>
    <n v="577.5"/>
    <n v="0.35"/>
  </r>
  <r>
    <m/>
    <x v="0"/>
    <n v="1185732"/>
    <x v="1"/>
    <x v="0"/>
    <x v="0"/>
    <s v="Albany"/>
    <x v="3"/>
    <n v="0.35"/>
    <n v="4250"/>
    <n v="1487.5"/>
    <n v="520.625"/>
    <n v="0.35"/>
  </r>
  <r>
    <m/>
    <x v="0"/>
    <n v="1185732"/>
    <x v="1"/>
    <x v="0"/>
    <x v="0"/>
    <s v="Albany"/>
    <x v="4"/>
    <n v="0.5"/>
    <n v="5000"/>
    <n v="2500"/>
    <n v="750"/>
    <n v="0.3"/>
  </r>
  <r>
    <m/>
    <x v="0"/>
    <n v="1185732"/>
    <x v="1"/>
    <x v="0"/>
    <x v="0"/>
    <s v="Albany"/>
    <x v="5"/>
    <n v="0.4"/>
    <n v="6000"/>
    <n v="2400"/>
    <n v="600"/>
    <n v="0.25"/>
  </r>
  <r>
    <m/>
    <x v="0"/>
    <n v="1185732"/>
    <x v="2"/>
    <x v="0"/>
    <x v="0"/>
    <s v="Albany"/>
    <x v="0"/>
    <n v="0.4"/>
    <n v="8200"/>
    <n v="3280"/>
    <n v="1640"/>
    <n v="0.5"/>
  </r>
  <r>
    <m/>
    <x v="0"/>
    <n v="1185732"/>
    <x v="2"/>
    <x v="0"/>
    <x v="0"/>
    <s v="Albany"/>
    <x v="1"/>
    <n v="0.4"/>
    <n v="5250"/>
    <n v="2100"/>
    <n v="630"/>
    <n v="0.3"/>
  </r>
  <r>
    <m/>
    <x v="0"/>
    <n v="1185732"/>
    <x v="2"/>
    <x v="0"/>
    <x v="0"/>
    <s v="Albany"/>
    <x v="2"/>
    <n v="0.30000000000000004"/>
    <n v="5500"/>
    <n v="1650.0000000000002"/>
    <n v="577.5"/>
    <n v="0.35"/>
  </r>
  <r>
    <m/>
    <x v="0"/>
    <n v="1185732"/>
    <x v="2"/>
    <x v="0"/>
    <x v="0"/>
    <s v="Albany"/>
    <x v="3"/>
    <n v="0.35"/>
    <n v="4000"/>
    <n v="1400"/>
    <n v="489.99999999999994"/>
    <n v="0.35"/>
  </r>
  <r>
    <m/>
    <x v="0"/>
    <n v="1185732"/>
    <x v="2"/>
    <x v="0"/>
    <x v="0"/>
    <s v="Albany"/>
    <x v="4"/>
    <n v="0.5"/>
    <n v="4500"/>
    <n v="2250"/>
    <n v="675"/>
    <n v="0.3"/>
  </r>
  <r>
    <m/>
    <x v="0"/>
    <n v="1185732"/>
    <x v="2"/>
    <x v="0"/>
    <x v="0"/>
    <s v="Albany"/>
    <x v="5"/>
    <n v="0.4"/>
    <n v="5500"/>
    <n v="2200"/>
    <n v="550"/>
    <n v="0.25"/>
  </r>
  <r>
    <m/>
    <x v="0"/>
    <n v="1185732"/>
    <x v="3"/>
    <x v="0"/>
    <x v="0"/>
    <s v="Albany"/>
    <x v="0"/>
    <n v="0.4"/>
    <n v="8000"/>
    <n v="3200"/>
    <n v="1600"/>
    <n v="0.5"/>
  </r>
  <r>
    <m/>
    <x v="0"/>
    <n v="1185732"/>
    <x v="3"/>
    <x v="0"/>
    <x v="0"/>
    <s v="Albany"/>
    <x v="1"/>
    <n v="0.4"/>
    <n v="5000"/>
    <n v="2000"/>
    <n v="600"/>
    <n v="0.3"/>
  </r>
  <r>
    <m/>
    <x v="0"/>
    <n v="1185732"/>
    <x v="3"/>
    <x v="0"/>
    <x v="0"/>
    <s v="Albany"/>
    <x v="2"/>
    <n v="0.30000000000000004"/>
    <n v="5000"/>
    <n v="1500.0000000000002"/>
    <n v="525"/>
    <n v="0.35"/>
  </r>
  <r>
    <m/>
    <x v="0"/>
    <n v="1185732"/>
    <x v="3"/>
    <x v="0"/>
    <x v="0"/>
    <s v="Albany"/>
    <x v="3"/>
    <n v="0.35"/>
    <n v="4250"/>
    <n v="1487.5"/>
    <n v="520.625"/>
    <n v="0.35"/>
  </r>
  <r>
    <m/>
    <x v="0"/>
    <n v="1185732"/>
    <x v="3"/>
    <x v="0"/>
    <x v="0"/>
    <s v="Albany"/>
    <x v="4"/>
    <n v="0.5"/>
    <n v="4250"/>
    <n v="2125"/>
    <n v="637.5"/>
    <n v="0.3"/>
  </r>
  <r>
    <m/>
    <x v="0"/>
    <n v="1185732"/>
    <x v="3"/>
    <x v="0"/>
    <x v="0"/>
    <s v="Albany"/>
    <x v="5"/>
    <n v="0.4"/>
    <n v="5500"/>
    <n v="2200"/>
    <n v="550"/>
    <n v="0.25"/>
  </r>
  <r>
    <m/>
    <x v="0"/>
    <n v="1185732"/>
    <x v="4"/>
    <x v="0"/>
    <x v="0"/>
    <s v="Albany"/>
    <x v="0"/>
    <n v="0.5"/>
    <n v="8200"/>
    <n v="4100"/>
    <n v="2050"/>
    <n v="0.5"/>
  </r>
  <r>
    <m/>
    <x v="0"/>
    <n v="1185732"/>
    <x v="4"/>
    <x v="0"/>
    <x v="0"/>
    <s v="Albany"/>
    <x v="1"/>
    <n v="0.45000000000000007"/>
    <n v="5250"/>
    <n v="2362.5000000000005"/>
    <n v="708.75000000000011"/>
    <n v="0.3"/>
  </r>
  <r>
    <m/>
    <x v="0"/>
    <n v="1185732"/>
    <x v="4"/>
    <x v="0"/>
    <x v="0"/>
    <s v="Albany"/>
    <x v="2"/>
    <n v="0.4"/>
    <n v="5000"/>
    <n v="2000"/>
    <n v="700"/>
    <n v="0.35"/>
  </r>
  <r>
    <m/>
    <x v="0"/>
    <n v="1185732"/>
    <x v="4"/>
    <x v="0"/>
    <x v="0"/>
    <s v="Albany"/>
    <x v="3"/>
    <n v="0.4"/>
    <n v="4500"/>
    <n v="1800"/>
    <n v="630"/>
    <n v="0.35"/>
  </r>
  <r>
    <m/>
    <x v="0"/>
    <n v="1185732"/>
    <x v="4"/>
    <x v="0"/>
    <x v="0"/>
    <s v="Albany"/>
    <x v="4"/>
    <n v="0.5"/>
    <n v="4750"/>
    <n v="2375"/>
    <n v="712.5"/>
    <n v="0.3"/>
  </r>
  <r>
    <m/>
    <x v="0"/>
    <n v="1185732"/>
    <x v="4"/>
    <x v="0"/>
    <x v="0"/>
    <s v="Albany"/>
    <x v="5"/>
    <n v="0.55000000000000004"/>
    <n v="6000"/>
    <n v="3300.0000000000005"/>
    <n v="825.00000000000011"/>
    <n v="0.25"/>
  </r>
  <r>
    <m/>
    <x v="0"/>
    <n v="1185732"/>
    <x v="5"/>
    <x v="0"/>
    <x v="0"/>
    <s v="Albany"/>
    <x v="0"/>
    <n v="0.5"/>
    <n v="8500"/>
    <n v="4250"/>
    <n v="2125"/>
    <n v="0.5"/>
  </r>
  <r>
    <m/>
    <x v="0"/>
    <n v="1185732"/>
    <x v="5"/>
    <x v="0"/>
    <x v="0"/>
    <s v="Albany"/>
    <x v="1"/>
    <n v="0.45000000000000007"/>
    <n v="6000"/>
    <n v="2700.0000000000005"/>
    <n v="810.00000000000011"/>
    <n v="0.3"/>
  </r>
  <r>
    <m/>
    <x v="0"/>
    <n v="1185732"/>
    <x v="5"/>
    <x v="0"/>
    <x v="0"/>
    <s v="Albany"/>
    <x v="2"/>
    <n v="0.4"/>
    <n v="5250"/>
    <n v="2100"/>
    <n v="735"/>
    <n v="0.35"/>
  </r>
  <r>
    <m/>
    <x v="0"/>
    <n v="1185732"/>
    <x v="5"/>
    <x v="0"/>
    <x v="0"/>
    <s v="Albany"/>
    <x v="3"/>
    <n v="0.4"/>
    <n v="5000"/>
    <n v="2000"/>
    <n v="700"/>
    <n v="0.35"/>
  </r>
  <r>
    <m/>
    <x v="0"/>
    <n v="1185732"/>
    <x v="5"/>
    <x v="0"/>
    <x v="0"/>
    <s v="Albany"/>
    <x v="4"/>
    <n v="0.5"/>
    <n v="5000"/>
    <n v="2500"/>
    <n v="750"/>
    <n v="0.3"/>
  </r>
  <r>
    <m/>
    <x v="0"/>
    <n v="1185732"/>
    <x v="5"/>
    <x v="0"/>
    <x v="0"/>
    <s v="Albany"/>
    <x v="5"/>
    <n v="0.55000000000000004"/>
    <n v="6500"/>
    <n v="3575.0000000000005"/>
    <n v="893.75000000000011"/>
    <n v="0.25"/>
  </r>
  <r>
    <m/>
    <x v="0"/>
    <n v="1185732"/>
    <x v="6"/>
    <x v="0"/>
    <x v="0"/>
    <s v="Albany"/>
    <x v="0"/>
    <n v="0.5"/>
    <n v="8750"/>
    <n v="4375"/>
    <n v="2187.5"/>
    <n v="0.5"/>
  </r>
  <r>
    <m/>
    <x v="0"/>
    <n v="1185732"/>
    <x v="6"/>
    <x v="0"/>
    <x v="0"/>
    <s v="Albany"/>
    <x v="1"/>
    <n v="0.45000000000000007"/>
    <n v="6250"/>
    <n v="2812.5000000000005"/>
    <n v="843.75000000000011"/>
    <n v="0.3"/>
  </r>
  <r>
    <m/>
    <x v="0"/>
    <n v="1185732"/>
    <x v="6"/>
    <x v="0"/>
    <x v="0"/>
    <s v="Albany"/>
    <x v="2"/>
    <n v="0.4"/>
    <n v="5500"/>
    <n v="2200"/>
    <n v="770"/>
    <n v="0.35"/>
  </r>
  <r>
    <m/>
    <x v="0"/>
    <n v="1185732"/>
    <x v="6"/>
    <x v="0"/>
    <x v="0"/>
    <s v="Albany"/>
    <x v="3"/>
    <n v="0.4"/>
    <n v="5000"/>
    <n v="2000"/>
    <n v="700"/>
    <n v="0.35"/>
  </r>
  <r>
    <m/>
    <x v="0"/>
    <n v="1185732"/>
    <x v="6"/>
    <x v="0"/>
    <x v="0"/>
    <s v="Albany"/>
    <x v="4"/>
    <n v="0.5"/>
    <n v="5250"/>
    <n v="2625"/>
    <n v="787.5"/>
    <n v="0.3"/>
  </r>
  <r>
    <m/>
    <x v="0"/>
    <n v="1185732"/>
    <x v="6"/>
    <x v="0"/>
    <x v="0"/>
    <s v="Albany"/>
    <x v="5"/>
    <n v="0.55000000000000004"/>
    <n v="7000"/>
    <n v="3850.0000000000005"/>
    <n v="962.50000000000011"/>
    <n v="0.25"/>
  </r>
  <r>
    <m/>
    <x v="0"/>
    <n v="1185732"/>
    <x v="7"/>
    <x v="0"/>
    <x v="0"/>
    <s v="Albany"/>
    <x v="0"/>
    <n v="0.5"/>
    <n v="8500"/>
    <n v="4250"/>
    <n v="2125"/>
    <n v="0.5"/>
  </r>
  <r>
    <m/>
    <x v="0"/>
    <n v="1185732"/>
    <x v="7"/>
    <x v="0"/>
    <x v="0"/>
    <s v="Albany"/>
    <x v="1"/>
    <n v="0.45000000000000007"/>
    <n v="6250"/>
    <n v="2812.5000000000005"/>
    <n v="843.75000000000011"/>
    <n v="0.3"/>
  </r>
  <r>
    <m/>
    <x v="0"/>
    <n v="1185732"/>
    <x v="7"/>
    <x v="0"/>
    <x v="0"/>
    <s v="Albany"/>
    <x v="2"/>
    <n v="0.4"/>
    <n v="5500"/>
    <n v="2200"/>
    <n v="770"/>
    <n v="0.35"/>
  </r>
  <r>
    <m/>
    <x v="0"/>
    <n v="1185732"/>
    <x v="7"/>
    <x v="0"/>
    <x v="0"/>
    <s v="Albany"/>
    <x v="3"/>
    <n v="0.4"/>
    <n v="5250"/>
    <n v="2100"/>
    <n v="735"/>
    <n v="0.35"/>
  </r>
  <r>
    <m/>
    <x v="0"/>
    <n v="1185732"/>
    <x v="7"/>
    <x v="0"/>
    <x v="0"/>
    <s v="Albany"/>
    <x v="4"/>
    <n v="0.5"/>
    <n v="5000"/>
    <n v="2500"/>
    <n v="750"/>
    <n v="0.3"/>
  </r>
  <r>
    <m/>
    <x v="0"/>
    <n v="1185732"/>
    <x v="7"/>
    <x v="0"/>
    <x v="0"/>
    <s v="Albany"/>
    <x v="5"/>
    <n v="0.55000000000000004"/>
    <n v="6750"/>
    <n v="3712.5000000000005"/>
    <n v="928.12500000000011"/>
    <n v="0.25"/>
  </r>
  <r>
    <m/>
    <x v="0"/>
    <n v="1185732"/>
    <x v="8"/>
    <x v="0"/>
    <x v="0"/>
    <s v="Albany"/>
    <x v="0"/>
    <n v="0.5"/>
    <n v="8000"/>
    <n v="4000"/>
    <n v="2000"/>
    <n v="0.5"/>
  </r>
  <r>
    <m/>
    <x v="0"/>
    <n v="1185732"/>
    <x v="8"/>
    <x v="0"/>
    <x v="0"/>
    <s v="Albany"/>
    <x v="1"/>
    <n v="0.45000000000000007"/>
    <n v="6000"/>
    <n v="2700.0000000000005"/>
    <n v="810.00000000000011"/>
    <n v="0.3"/>
  </r>
  <r>
    <m/>
    <x v="0"/>
    <n v="1185732"/>
    <x v="8"/>
    <x v="0"/>
    <x v="0"/>
    <s v="Albany"/>
    <x v="2"/>
    <n v="0.4"/>
    <n v="5250"/>
    <n v="2100"/>
    <n v="735"/>
    <n v="0.35"/>
  </r>
  <r>
    <m/>
    <x v="0"/>
    <n v="1185732"/>
    <x v="8"/>
    <x v="0"/>
    <x v="0"/>
    <s v="Albany"/>
    <x v="3"/>
    <n v="0.4"/>
    <n v="5000"/>
    <n v="2000"/>
    <n v="700"/>
    <n v="0.35"/>
  </r>
  <r>
    <m/>
    <x v="0"/>
    <n v="1185732"/>
    <x v="8"/>
    <x v="0"/>
    <x v="0"/>
    <s v="Albany"/>
    <x v="4"/>
    <n v="0.5"/>
    <n v="5000"/>
    <n v="2500"/>
    <n v="750"/>
    <n v="0.3"/>
  </r>
  <r>
    <m/>
    <x v="0"/>
    <n v="1185732"/>
    <x v="8"/>
    <x v="0"/>
    <x v="0"/>
    <s v="Albany"/>
    <x v="5"/>
    <n v="0.55000000000000004"/>
    <n v="6000"/>
    <n v="3300.0000000000005"/>
    <n v="825.00000000000011"/>
    <n v="0.25"/>
  </r>
  <r>
    <m/>
    <x v="0"/>
    <n v="1185732"/>
    <x v="9"/>
    <x v="0"/>
    <x v="0"/>
    <s v="Albany"/>
    <x v="0"/>
    <n v="0.55000000000000004"/>
    <n v="7750"/>
    <n v="4262.5"/>
    <n v="2131.25"/>
    <n v="0.5"/>
  </r>
  <r>
    <m/>
    <x v="0"/>
    <n v="1185732"/>
    <x v="9"/>
    <x v="0"/>
    <x v="0"/>
    <s v="Albany"/>
    <x v="1"/>
    <n v="0.45000000000000007"/>
    <n v="6000"/>
    <n v="2700.0000000000005"/>
    <n v="810.00000000000011"/>
    <n v="0.3"/>
  </r>
  <r>
    <m/>
    <x v="0"/>
    <n v="1185732"/>
    <x v="9"/>
    <x v="0"/>
    <x v="0"/>
    <s v="Albany"/>
    <x v="2"/>
    <n v="0.45000000000000007"/>
    <n v="5000"/>
    <n v="2250.0000000000005"/>
    <n v="787.50000000000011"/>
    <n v="0.35"/>
  </r>
  <r>
    <m/>
    <x v="0"/>
    <n v="1185732"/>
    <x v="9"/>
    <x v="0"/>
    <x v="0"/>
    <s v="Albany"/>
    <x v="3"/>
    <n v="0.45000000000000007"/>
    <n v="4750"/>
    <n v="2137.5000000000005"/>
    <n v="748.12500000000011"/>
    <n v="0.35"/>
  </r>
  <r>
    <m/>
    <x v="0"/>
    <n v="1185732"/>
    <x v="9"/>
    <x v="0"/>
    <x v="0"/>
    <s v="Albany"/>
    <x v="4"/>
    <n v="0.55000000000000004"/>
    <n v="4750"/>
    <n v="2612.5"/>
    <n v="783.75"/>
    <n v="0.3"/>
  </r>
  <r>
    <m/>
    <x v="0"/>
    <n v="1185732"/>
    <x v="9"/>
    <x v="0"/>
    <x v="0"/>
    <s v="Albany"/>
    <x v="5"/>
    <n v="0.6"/>
    <n v="6000"/>
    <n v="3600"/>
    <n v="900"/>
    <n v="0.25"/>
  </r>
  <r>
    <m/>
    <x v="0"/>
    <n v="1185732"/>
    <x v="10"/>
    <x v="0"/>
    <x v="0"/>
    <s v="Albany"/>
    <x v="0"/>
    <n v="0.55000000000000004"/>
    <n v="7500"/>
    <n v="4125"/>
    <n v="2062.5"/>
    <n v="0.5"/>
  </r>
  <r>
    <m/>
    <x v="0"/>
    <n v="1185732"/>
    <x v="10"/>
    <x v="0"/>
    <x v="0"/>
    <s v="Albany"/>
    <x v="1"/>
    <n v="0.45000000000000007"/>
    <n v="5750"/>
    <n v="2587.5000000000005"/>
    <n v="776.25000000000011"/>
    <n v="0.3"/>
  </r>
  <r>
    <m/>
    <x v="0"/>
    <n v="1185732"/>
    <x v="10"/>
    <x v="0"/>
    <x v="0"/>
    <s v="Albany"/>
    <x v="2"/>
    <n v="0.45000000000000007"/>
    <n v="5200"/>
    <n v="2340.0000000000005"/>
    <n v="819.00000000000011"/>
    <n v="0.35"/>
  </r>
  <r>
    <m/>
    <x v="0"/>
    <n v="1185732"/>
    <x v="10"/>
    <x v="0"/>
    <x v="0"/>
    <s v="Albany"/>
    <x v="3"/>
    <n v="0.45000000000000007"/>
    <n v="5000"/>
    <n v="2250.0000000000005"/>
    <n v="787.50000000000011"/>
    <n v="0.35"/>
  </r>
  <r>
    <m/>
    <x v="0"/>
    <n v="1185732"/>
    <x v="10"/>
    <x v="0"/>
    <x v="0"/>
    <s v="Albany"/>
    <x v="4"/>
    <n v="0.55000000000000004"/>
    <n v="4750"/>
    <n v="2612.5"/>
    <n v="783.75"/>
    <n v="0.3"/>
  </r>
  <r>
    <m/>
    <x v="0"/>
    <n v="1185732"/>
    <x v="10"/>
    <x v="0"/>
    <x v="0"/>
    <s v="Albany"/>
    <x v="5"/>
    <n v="0.6"/>
    <n v="5750"/>
    <n v="3450"/>
    <n v="862.5"/>
    <n v="0.25"/>
  </r>
  <r>
    <m/>
    <x v="0"/>
    <n v="1185732"/>
    <x v="11"/>
    <x v="0"/>
    <x v="0"/>
    <s v="Albany"/>
    <x v="0"/>
    <n v="0.55000000000000004"/>
    <n v="8000"/>
    <n v="4400"/>
    <n v="2200"/>
    <n v="0.5"/>
  </r>
  <r>
    <m/>
    <x v="0"/>
    <n v="1185732"/>
    <x v="11"/>
    <x v="0"/>
    <x v="0"/>
    <s v="Albany"/>
    <x v="1"/>
    <n v="0.45000000000000007"/>
    <n v="6000"/>
    <n v="2700.0000000000005"/>
    <n v="810.00000000000011"/>
    <n v="0.3"/>
  </r>
  <r>
    <m/>
    <x v="0"/>
    <n v="1185732"/>
    <x v="11"/>
    <x v="0"/>
    <x v="0"/>
    <s v="Albany"/>
    <x v="2"/>
    <n v="0.45000000000000007"/>
    <n v="5500"/>
    <n v="2475.0000000000005"/>
    <n v="866.25000000000011"/>
    <n v="0.35"/>
  </r>
  <r>
    <m/>
    <x v="0"/>
    <n v="1185732"/>
    <x v="11"/>
    <x v="0"/>
    <x v="0"/>
    <s v="Albany"/>
    <x v="3"/>
    <n v="0.45000000000000007"/>
    <n v="5000"/>
    <n v="2250.0000000000005"/>
    <n v="787.50000000000011"/>
    <n v="0.35"/>
  </r>
  <r>
    <m/>
    <x v="0"/>
    <n v="1185732"/>
    <x v="11"/>
    <x v="0"/>
    <x v="0"/>
    <s v="Albany"/>
    <x v="4"/>
    <n v="0.55000000000000004"/>
    <n v="5000"/>
    <n v="2750"/>
    <n v="825"/>
    <n v="0.3"/>
  </r>
  <r>
    <m/>
    <x v="0"/>
    <n v="1185732"/>
    <x v="11"/>
    <x v="0"/>
    <x v="0"/>
    <s v="Albany"/>
    <x v="5"/>
    <n v="0.6"/>
    <n v="6000"/>
    <n v="3600"/>
    <n v="900"/>
    <n v="0.25"/>
  </r>
  <r>
    <s v="x"/>
    <x v="2"/>
    <n v="1128299"/>
    <x v="145"/>
    <x v="2"/>
    <x v="17"/>
    <s v="Cheyenne"/>
    <x v="0"/>
    <n v="0.30000000000000004"/>
    <n v="3500"/>
    <n v="1050.0000000000002"/>
    <n v="367.50000000000006"/>
    <n v="0.35"/>
  </r>
  <r>
    <m/>
    <x v="2"/>
    <n v="1128299"/>
    <x v="145"/>
    <x v="2"/>
    <x v="17"/>
    <s v="Cheyenne"/>
    <x v="1"/>
    <n v="0.4"/>
    <n v="3500"/>
    <n v="1400"/>
    <n v="489.99999999999994"/>
    <n v="0.35"/>
  </r>
  <r>
    <m/>
    <x v="2"/>
    <n v="1128299"/>
    <x v="145"/>
    <x v="2"/>
    <x v="17"/>
    <s v="Cheyenne"/>
    <x v="2"/>
    <n v="0.4"/>
    <n v="3500"/>
    <n v="1400"/>
    <n v="489.99999999999994"/>
    <n v="0.35"/>
  </r>
  <r>
    <m/>
    <x v="2"/>
    <n v="1128299"/>
    <x v="145"/>
    <x v="2"/>
    <x v="17"/>
    <s v="Cheyenne"/>
    <x v="3"/>
    <n v="0.4"/>
    <n v="2000"/>
    <n v="800"/>
    <n v="280"/>
    <n v="0.35"/>
  </r>
  <r>
    <m/>
    <x v="2"/>
    <n v="1128299"/>
    <x v="145"/>
    <x v="2"/>
    <x v="17"/>
    <s v="Cheyenne"/>
    <x v="4"/>
    <n v="0.45000000000000007"/>
    <n v="1500"/>
    <n v="675.00000000000011"/>
    <n v="270.00000000000006"/>
    <n v="0.4"/>
  </r>
  <r>
    <m/>
    <x v="2"/>
    <n v="1128299"/>
    <x v="145"/>
    <x v="2"/>
    <x v="17"/>
    <s v="Cheyenne"/>
    <x v="5"/>
    <n v="0.4"/>
    <n v="4000"/>
    <n v="1600"/>
    <n v="480"/>
    <n v="0.3"/>
  </r>
  <r>
    <m/>
    <x v="2"/>
    <n v="1128299"/>
    <x v="146"/>
    <x v="2"/>
    <x v="17"/>
    <s v="Cheyenne"/>
    <x v="0"/>
    <n v="0.30000000000000004"/>
    <n v="4500"/>
    <n v="1350.0000000000002"/>
    <n v="472.50000000000006"/>
    <n v="0.35"/>
  </r>
  <r>
    <m/>
    <x v="2"/>
    <n v="1128299"/>
    <x v="146"/>
    <x v="2"/>
    <x v="17"/>
    <s v="Cheyenne"/>
    <x v="1"/>
    <n v="0.4"/>
    <n v="3500"/>
    <n v="1400"/>
    <n v="489.99999999999994"/>
    <n v="0.35"/>
  </r>
  <r>
    <m/>
    <x v="2"/>
    <n v="1128299"/>
    <x v="146"/>
    <x v="2"/>
    <x v="17"/>
    <s v="Cheyenne"/>
    <x v="2"/>
    <n v="0.4"/>
    <n v="3500"/>
    <n v="1400"/>
    <n v="489.99999999999994"/>
    <n v="0.35"/>
  </r>
  <r>
    <m/>
    <x v="2"/>
    <n v="1128299"/>
    <x v="146"/>
    <x v="2"/>
    <x v="17"/>
    <s v="Cheyenne"/>
    <x v="3"/>
    <n v="0.4"/>
    <n v="2000"/>
    <n v="800"/>
    <n v="280"/>
    <n v="0.35"/>
  </r>
  <r>
    <m/>
    <x v="2"/>
    <n v="1128299"/>
    <x v="146"/>
    <x v="2"/>
    <x v="17"/>
    <s v="Cheyenne"/>
    <x v="4"/>
    <n v="0.45000000000000007"/>
    <n v="1250"/>
    <n v="562.50000000000011"/>
    <n v="225.00000000000006"/>
    <n v="0.4"/>
  </r>
  <r>
    <m/>
    <x v="2"/>
    <n v="1128299"/>
    <x v="146"/>
    <x v="2"/>
    <x v="17"/>
    <s v="Cheyenne"/>
    <x v="5"/>
    <n v="0.4"/>
    <n v="3250"/>
    <n v="1300"/>
    <n v="390"/>
    <n v="0.3"/>
  </r>
  <r>
    <m/>
    <x v="2"/>
    <n v="1128299"/>
    <x v="147"/>
    <x v="2"/>
    <x v="17"/>
    <s v="Cheyenne"/>
    <x v="0"/>
    <n v="0.4"/>
    <n v="4750"/>
    <n v="1900"/>
    <n v="665"/>
    <n v="0.35"/>
  </r>
  <r>
    <m/>
    <x v="2"/>
    <n v="1128299"/>
    <x v="147"/>
    <x v="2"/>
    <x v="17"/>
    <s v="Cheyenne"/>
    <x v="1"/>
    <n v="0.5"/>
    <n v="3250"/>
    <n v="1625"/>
    <n v="568.75"/>
    <n v="0.35"/>
  </r>
  <r>
    <m/>
    <x v="2"/>
    <n v="1128299"/>
    <x v="147"/>
    <x v="2"/>
    <x v="17"/>
    <s v="Cheyenne"/>
    <x v="2"/>
    <n v="0.54999999999999993"/>
    <n v="3500"/>
    <n v="1924.9999999999998"/>
    <n v="673.74999999999989"/>
    <n v="0.35"/>
  </r>
  <r>
    <m/>
    <x v="2"/>
    <n v="1128299"/>
    <x v="147"/>
    <x v="2"/>
    <x v="17"/>
    <s v="Cheyenne"/>
    <x v="3"/>
    <n v="0.5"/>
    <n v="2500"/>
    <n v="1250"/>
    <n v="437.5"/>
    <n v="0.35"/>
  </r>
  <r>
    <m/>
    <x v="2"/>
    <n v="1128299"/>
    <x v="147"/>
    <x v="2"/>
    <x v="17"/>
    <s v="Cheyenne"/>
    <x v="4"/>
    <n v="0.55000000000000004"/>
    <n v="1000"/>
    <n v="550"/>
    <n v="220"/>
    <n v="0.4"/>
  </r>
  <r>
    <m/>
    <x v="2"/>
    <n v="1128299"/>
    <x v="147"/>
    <x v="2"/>
    <x v="17"/>
    <s v="Cheyenne"/>
    <x v="5"/>
    <n v="0.5"/>
    <n v="3000"/>
    <n v="1500"/>
    <n v="450"/>
    <n v="0.3"/>
  </r>
  <r>
    <m/>
    <x v="2"/>
    <n v="1128299"/>
    <x v="148"/>
    <x v="2"/>
    <x v="17"/>
    <s v="Cheyenne"/>
    <x v="0"/>
    <n v="0.55000000000000004"/>
    <n v="4750"/>
    <n v="2612.5"/>
    <n v="914.37499999999989"/>
    <n v="0.35"/>
  </r>
  <r>
    <m/>
    <x v="2"/>
    <n v="1128299"/>
    <x v="148"/>
    <x v="2"/>
    <x v="17"/>
    <s v="Cheyenne"/>
    <x v="1"/>
    <n v="0.60000000000000009"/>
    <n v="2750"/>
    <n v="1650.0000000000002"/>
    <n v="577.5"/>
    <n v="0.35"/>
  </r>
  <r>
    <m/>
    <x v="2"/>
    <n v="1128299"/>
    <x v="148"/>
    <x v="2"/>
    <x v="17"/>
    <s v="Cheyenne"/>
    <x v="2"/>
    <n v="0.60000000000000009"/>
    <n v="3250"/>
    <n v="1950.0000000000002"/>
    <n v="682.5"/>
    <n v="0.35"/>
  </r>
  <r>
    <m/>
    <x v="2"/>
    <n v="1128299"/>
    <x v="148"/>
    <x v="2"/>
    <x v="17"/>
    <s v="Cheyenne"/>
    <x v="3"/>
    <n v="0.45000000000000007"/>
    <n v="2250"/>
    <n v="1012.5000000000001"/>
    <n v="354.375"/>
    <n v="0.35"/>
  </r>
  <r>
    <m/>
    <x v="2"/>
    <n v="1128299"/>
    <x v="148"/>
    <x v="2"/>
    <x v="17"/>
    <s v="Cheyenne"/>
    <x v="4"/>
    <n v="0.50000000000000011"/>
    <n v="1250"/>
    <n v="625.00000000000011"/>
    <n v="250.00000000000006"/>
    <n v="0.4"/>
  </r>
  <r>
    <m/>
    <x v="2"/>
    <n v="1128299"/>
    <x v="148"/>
    <x v="2"/>
    <x v="17"/>
    <s v="Cheyenne"/>
    <x v="5"/>
    <n v="0.65000000000000013"/>
    <n v="3000"/>
    <n v="1950.0000000000005"/>
    <n v="585.00000000000011"/>
    <n v="0.3"/>
  </r>
  <r>
    <m/>
    <x v="2"/>
    <n v="1128299"/>
    <x v="149"/>
    <x v="2"/>
    <x v="17"/>
    <s v="Cheyenne"/>
    <x v="0"/>
    <n v="0.5"/>
    <n v="5000"/>
    <n v="2500"/>
    <n v="875"/>
    <n v="0.35"/>
  </r>
  <r>
    <m/>
    <x v="2"/>
    <n v="1128299"/>
    <x v="149"/>
    <x v="2"/>
    <x v="17"/>
    <s v="Cheyenne"/>
    <x v="1"/>
    <n v="0.55000000000000004"/>
    <n v="3500"/>
    <n v="1925.0000000000002"/>
    <n v="673.75"/>
    <n v="0.35"/>
  </r>
  <r>
    <m/>
    <x v="2"/>
    <n v="1128299"/>
    <x v="149"/>
    <x v="2"/>
    <x v="17"/>
    <s v="Cheyenne"/>
    <x v="2"/>
    <n v="0.55000000000000004"/>
    <n v="3500"/>
    <n v="1925.0000000000002"/>
    <n v="673.75"/>
    <n v="0.35"/>
  </r>
  <r>
    <m/>
    <x v="2"/>
    <n v="1128299"/>
    <x v="149"/>
    <x v="2"/>
    <x v="17"/>
    <s v="Cheyenne"/>
    <x v="3"/>
    <n v="0.5"/>
    <n v="2750"/>
    <n v="1375"/>
    <n v="481.24999999999994"/>
    <n v="0.35"/>
  </r>
  <r>
    <m/>
    <x v="2"/>
    <n v="1128299"/>
    <x v="149"/>
    <x v="2"/>
    <x v="17"/>
    <s v="Cheyenne"/>
    <x v="4"/>
    <n v="0.44999999999999996"/>
    <n v="1750"/>
    <n v="787.49999999999989"/>
    <n v="315"/>
    <n v="0.4"/>
  </r>
  <r>
    <m/>
    <x v="2"/>
    <n v="1128299"/>
    <x v="149"/>
    <x v="2"/>
    <x v="17"/>
    <s v="Cheyenne"/>
    <x v="5"/>
    <n v="0.6"/>
    <n v="5250"/>
    <n v="3150"/>
    <n v="945"/>
    <n v="0.3"/>
  </r>
  <r>
    <m/>
    <x v="2"/>
    <n v="1128299"/>
    <x v="150"/>
    <x v="2"/>
    <x v="17"/>
    <s v="Cheyenne"/>
    <x v="0"/>
    <n v="0.54999999999999993"/>
    <n v="7750"/>
    <n v="4262.4999999999991"/>
    <n v="1491.8749999999995"/>
    <n v="0.35"/>
  </r>
  <r>
    <m/>
    <x v="2"/>
    <n v="1128299"/>
    <x v="150"/>
    <x v="2"/>
    <x v="17"/>
    <s v="Cheyenne"/>
    <x v="1"/>
    <n v="0.64999999999999991"/>
    <n v="6500"/>
    <n v="4224.9999999999991"/>
    <n v="1478.7499999999995"/>
    <n v="0.35"/>
  </r>
  <r>
    <m/>
    <x v="2"/>
    <n v="1128299"/>
    <x v="150"/>
    <x v="2"/>
    <x v="17"/>
    <s v="Cheyenne"/>
    <x v="2"/>
    <n v="0.79999999999999993"/>
    <n v="6500"/>
    <n v="5200"/>
    <n v="1819.9999999999998"/>
    <n v="0.35"/>
  </r>
  <r>
    <m/>
    <x v="2"/>
    <n v="1128299"/>
    <x v="150"/>
    <x v="2"/>
    <x v="17"/>
    <s v="Cheyenne"/>
    <x v="3"/>
    <n v="0.79999999999999993"/>
    <n v="5250"/>
    <n v="4200"/>
    <n v="1470"/>
    <n v="0.35"/>
  </r>
  <r>
    <m/>
    <x v="2"/>
    <n v="1128299"/>
    <x v="150"/>
    <x v="2"/>
    <x v="17"/>
    <s v="Cheyenne"/>
    <x v="4"/>
    <n v="0.9"/>
    <n v="4000"/>
    <n v="3600"/>
    <n v="1440"/>
    <n v="0.4"/>
  </r>
  <r>
    <m/>
    <x v="2"/>
    <n v="1128299"/>
    <x v="150"/>
    <x v="2"/>
    <x v="17"/>
    <s v="Cheyenne"/>
    <x v="5"/>
    <n v="1.05"/>
    <n v="7000"/>
    <n v="7350"/>
    <n v="2205"/>
    <n v="0.3"/>
  </r>
  <r>
    <m/>
    <x v="2"/>
    <n v="1128299"/>
    <x v="151"/>
    <x v="2"/>
    <x v="17"/>
    <s v="Cheyenne"/>
    <x v="0"/>
    <n v="0.85"/>
    <n v="8500"/>
    <n v="7225"/>
    <n v="2528.75"/>
    <n v="0.35"/>
  </r>
  <r>
    <m/>
    <x v="2"/>
    <n v="1128299"/>
    <x v="151"/>
    <x v="2"/>
    <x v="17"/>
    <s v="Cheyenne"/>
    <x v="1"/>
    <n v="0.9"/>
    <n v="7000"/>
    <n v="6300"/>
    <n v="2205"/>
    <n v="0.35"/>
  </r>
  <r>
    <m/>
    <x v="2"/>
    <n v="1128299"/>
    <x v="151"/>
    <x v="2"/>
    <x v="17"/>
    <s v="Cheyenne"/>
    <x v="2"/>
    <n v="0.9"/>
    <n v="6500"/>
    <n v="5850"/>
    <n v="2047.4999999999998"/>
    <n v="0.35"/>
  </r>
  <r>
    <m/>
    <x v="2"/>
    <n v="1128299"/>
    <x v="151"/>
    <x v="2"/>
    <x v="17"/>
    <s v="Cheyenne"/>
    <x v="3"/>
    <n v="0.85"/>
    <n v="5500"/>
    <n v="4675"/>
    <n v="1636.25"/>
    <n v="0.35"/>
  </r>
  <r>
    <m/>
    <x v="2"/>
    <n v="1128299"/>
    <x v="151"/>
    <x v="2"/>
    <x v="17"/>
    <s v="Cheyenne"/>
    <x v="4"/>
    <n v="0.9"/>
    <n v="6000"/>
    <n v="5400"/>
    <n v="2160"/>
    <n v="0.4"/>
  </r>
  <r>
    <m/>
    <x v="2"/>
    <n v="1128299"/>
    <x v="151"/>
    <x v="2"/>
    <x v="17"/>
    <s v="Cheyenne"/>
    <x v="5"/>
    <n v="1.05"/>
    <n v="6000"/>
    <n v="6300"/>
    <n v="1890"/>
    <n v="0.3"/>
  </r>
  <r>
    <m/>
    <x v="2"/>
    <n v="1128299"/>
    <x v="152"/>
    <x v="2"/>
    <x v="17"/>
    <s v="Cheyenne"/>
    <x v="0"/>
    <n v="0.9"/>
    <n v="8000"/>
    <n v="7200"/>
    <n v="2520"/>
    <n v="0.35"/>
  </r>
  <r>
    <m/>
    <x v="2"/>
    <n v="1128299"/>
    <x v="152"/>
    <x v="2"/>
    <x v="17"/>
    <s v="Cheyenne"/>
    <x v="1"/>
    <n v="0.8"/>
    <n v="7750"/>
    <n v="6200"/>
    <n v="2170"/>
    <n v="0.35"/>
  </r>
  <r>
    <m/>
    <x v="2"/>
    <n v="1128299"/>
    <x v="152"/>
    <x v="2"/>
    <x v="17"/>
    <s v="Cheyenne"/>
    <x v="2"/>
    <n v="0.70000000000000007"/>
    <n v="6500"/>
    <n v="4550"/>
    <n v="1592.5"/>
    <n v="0.35"/>
  </r>
  <r>
    <m/>
    <x v="2"/>
    <n v="1128299"/>
    <x v="152"/>
    <x v="2"/>
    <x v="17"/>
    <s v="Cheyenne"/>
    <x v="3"/>
    <n v="0.70000000000000007"/>
    <n v="4250"/>
    <n v="2975.0000000000005"/>
    <n v="1041.25"/>
    <n v="0.35"/>
  </r>
  <r>
    <m/>
    <x v="2"/>
    <n v="1128299"/>
    <x v="152"/>
    <x v="2"/>
    <x v="17"/>
    <s v="Cheyenne"/>
    <x v="4"/>
    <n v="0.7"/>
    <n v="4250"/>
    <n v="2975"/>
    <n v="1190"/>
    <n v="0.4"/>
  </r>
  <r>
    <m/>
    <x v="2"/>
    <n v="1128299"/>
    <x v="152"/>
    <x v="2"/>
    <x v="17"/>
    <s v="Cheyenne"/>
    <x v="5"/>
    <n v="0.75"/>
    <n v="2500"/>
    <n v="1875"/>
    <n v="562.5"/>
    <n v="0.3"/>
  </r>
  <r>
    <m/>
    <x v="2"/>
    <n v="1128299"/>
    <x v="153"/>
    <x v="2"/>
    <x v="17"/>
    <s v="Cheyenne"/>
    <x v="0"/>
    <n v="0.50000000000000011"/>
    <n v="4500"/>
    <n v="2250.0000000000005"/>
    <n v="787.50000000000011"/>
    <n v="0.35"/>
  </r>
  <r>
    <m/>
    <x v="2"/>
    <n v="1128299"/>
    <x v="153"/>
    <x v="2"/>
    <x v="17"/>
    <s v="Cheyenne"/>
    <x v="1"/>
    <n v="0.55000000000000016"/>
    <n v="4500"/>
    <n v="2475.0000000000009"/>
    <n v="866.25000000000023"/>
    <n v="0.35"/>
  </r>
  <r>
    <m/>
    <x v="2"/>
    <n v="1128299"/>
    <x v="153"/>
    <x v="2"/>
    <x v="17"/>
    <s v="Cheyenne"/>
    <x v="2"/>
    <n v="0.50000000000000011"/>
    <n v="2500"/>
    <n v="1250.0000000000002"/>
    <n v="437.50000000000006"/>
    <n v="0.35"/>
  </r>
  <r>
    <m/>
    <x v="2"/>
    <n v="1128299"/>
    <x v="153"/>
    <x v="2"/>
    <x v="17"/>
    <s v="Cheyenne"/>
    <x v="3"/>
    <n v="0.50000000000000011"/>
    <n v="2000"/>
    <n v="1000.0000000000002"/>
    <n v="350.00000000000006"/>
    <n v="0.35"/>
  </r>
  <r>
    <m/>
    <x v="2"/>
    <n v="1128299"/>
    <x v="153"/>
    <x v="2"/>
    <x v="17"/>
    <s v="Cheyenne"/>
    <x v="4"/>
    <n v="0.60000000000000009"/>
    <n v="2250"/>
    <n v="1350.0000000000002"/>
    <n v="540.00000000000011"/>
    <n v="0.4"/>
  </r>
  <r>
    <m/>
    <x v="2"/>
    <n v="1128299"/>
    <x v="153"/>
    <x v="2"/>
    <x v="17"/>
    <s v="Cheyenne"/>
    <x v="5"/>
    <n v="0.44999999999999996"/>
    <n v="2500"/>
    <n v="1125"/>
    <n v="337.5"/>
    <n v="0.3"/>
  </r>
  <r>
    <m/>
    <x v="2"/>
    <n v="1128299"/>
    <x v="154"/>
    <x v="2"/>
    <x v="17"/>
    <s v="Cheyenne"/>
    <x v="0"/>
    <n v="0.4"/>
    <n v="3500"/>
    <n v="1400"/>
    <n v="489.99999999999994"/>
    <n v="0.35"/>
  </r>
  <r>
    <m/>
    <x v="2"/>
    <n v="1128299"/>
    <x v="154"/>
    <x v="2"/>
    <x v="17"/>
    <s v="Cheyenne"/>
    <x v="1"/>
    <n v="0.55000000000000016"/>
    <n v="5250"/>
    <n v="2887.5000000000009"/>
    <n v="1010.6250000000002"/>
    <n v="0.35"/>
  </r>
  <r>
    <m/>
    <x v="2"/>
    <n v="1128299"/>
    <x v="154"/>
    <x v="2"/>
    <x v="17"/>
    <s v="Cheyenne"/>
    <x v="2"/>
    <n v="0.50000000000000011"/>
    <n v="3500"/>
    <n v="1750.0000000000005"/>
    <n v="612.50000000000011"/>
    <n v="0.35"/>
  </r>
  <r>
    <m/>
    <x v="2"/>
    <n v="1128299"/>
    <x v="154"/>
    <x v="2"/>
    <x v="17"/>
    <s v="Cheyenne"/>
    <x v="3"/>
    <n v="0.45000000000000007"/>
    <n v="3250"/>
    <n v="1462.5000000000002"/>
    <n v="511.87500000000006"/>
    <n v="0.35"/>
  </r>
  <r>
    <m/>
    <x v="2"/>
    <n v="1128299"/>
    <x v="154"/>
    <x v="2"/>
    <x v="17"/>
    <s v="Cheyenne"/>
    <x v="4"/>
    <n v="0.55000000000000004"/>
    <n v="3000"/>
    <n v="1650.0000000000002"/>
    <n v="660.00000000000011"/>
    <n v="0.4"/>
  </r>
  <r>
    <m/>
    <x v="2"/>
    <n v="1128299"/>
    <x v="154"/>
    <x v="2"/>
    <x v="17"/>
    <s v="Cheyenne"/>
    <x v="5"/>
    <n v="0.60000000000000009"/>
    <n v="3500"/>
    <n v="2100.0000000000005"/>
    <n v="630.00000000000011"/>
    <n v="0.3"/>
  </r>
  <r>
    <m/>
    <x v="2"/>
    <n v="1128299"/>
    <x v="155"/>
    <x v="2"/>
    <x v="17"/>
    <s v="Cheyenne"/>
    <x v="0"/>
    <n v="0.45000000000000007"/>
    <n v="5750"/>
    <n v="2587.5000000000005"/>
    <n v="905.62500000000011"/>
    <n v="0.35"/>
  </r>
  <r>
    <m/>
    <x v="2"/>
    <n v="1128299"/>
    <x v="155"/>
    <x v="2"/>
    <x v="17"/>
    <s v="Cheyenne"/>
    <x v="1"/>
    <n v="0.50000000000000011"/>
    <n v="6500"/>
    <n v="3250.0000000000009"/>
    <n v="1137.5000000000002"/>
    <n v="0.35"/>
  </r>
  <r>
    <m/>
    <x v="2"/>
    <n v="1128299"/>
    <x v="155"/>
    <x v="2"/>
    <x v="17"/>
    <s v="Cheyenne"/>
    <x v="2"/>
    <n v="0.45000000000000007"/>
    <n v="4750"/>
    <n v="2137.5000000000005"/>
    <n v="748.12500000000011"/>
    <n v="0.35"/>
  </r>
  <r>
    <m/>
    <x v="2"/>
    <n v="1128299"/>
    <x v="155"/>
    <x v="2"/>
    <x v="17"/>
    <s v="Cheyenne"/>
    <x v="3"/>
    <n v="0.55000000000000016"/>
    <n v="4500"/>
    <n v="2475.0000000000009"/>
    <n v="866.25000000000023"/>
    <n v="0.35"/>
  </r>
  <r>
    <m/>
    <x v="2"/>
    <n v="1128299"/>
    <x v="155"/>
    <x v="2"/>
    <x v="17"/>
    <s v="Cheyenne"/>
    <x v="4"/>
    <n v="0.75000000000000011"/>
    <n v="4250"/>
    <n v="3187.5000000000005"/>
    <n v="1275.0000000000002"/>
    <n v="0.4"/>
  </r>
  <r>
    <m/>
    <x v="2"/>
    <n v="1128299"/>
    <x v="155"/>
    <x v="2"/>
    <x v="17"/>
    <s v="Cheyenne"/>
    <x v="5"/>
    <n v="0.80000000000000016"/>
    <n v="5500"/>
    <n v="4400.0000000000009"/>
    <n v="1320.0000000000002"/>
    <n v="0.3"/>
  </r>
  <r>
    <m/>
    <x v="2"/>
    <n v="1128299"/>
    <x v="156"/>
    <x v="2"/>
    <x v="17"/>
    <s v="Cheyenne"/>
    <x v="0"/>
    <n v="0.65000000000000013"/>
    <n v="7500"/>
    <n v="4875.0000000000009"/>
    <n v="1706.2500000000002"/>
    <n v="0.35"/>
  </r>
  <r>
    <m/>
    <x v="2"/>
    <n v="1128299"/>
    <x v="156"/>
    <x v="2"/>
    <x v="17"/>
    <s v="Cheyenne"/>
    <x v="1"/>
    <n v="0.75000000000000022"/>
    <n v="7500"/>
    <n v="5625.0000000000018"/>
    <n v="1968.7500000000005"/>
    <n v="0.35"/>
  </r>
  <r>
    <m/>
    <x v="2"/>
    <n v="1128299"/>
    <x v="156"/>
    <x v="2"/>
    <x v="17"/>
    <s v="Cheyenne"/>
    <x v="2"/>
    <n v="0.70000000000000018"/>
    <n v="5500"/>
    <n v="3850.0000000000009"/>
    <n v="1347.5000000000002"/>
    <n v="0.35"/>
  </r>
  <r>
    <m/>
    <x v="2"/>
    <n v="1128299"/>
    <x v="156"/>
    <x v="2"/>
    <x v="17"/>
    <s v="Cheyenne"/>
    <x v="3"/>
    <n v="0.70000000000000018"/>
    <n v="5500"/>
    <n v="3850.0000000000009"/>
    <n v="1347.5000000000002"/>
    <n v="0.35"/>
  </r>
  <r>
    <m/>
    <x v="2"/>
    <n v="1128299"/>
    <x v="156"/>
    <x v="2"/>
    <x v="17"/>
    <s v="Cheyenne"/>
    <x v="4"/>
    <n v="0.80000000000000016"/>
    <n v="4750"/>
    <n v="3800.0000000000009"/>
    <n v="1520.0000000000005"/>
    <n v="0.4"/>
  </r>
  <r>
    <m/>
    <x v="2"/>
    <n v="1128299"/>
    <x v="156"/>
    <x v="2"/>
    <x v="17"/>
    <s v="Cheyenne"/>
    <x v="5"/>
    <n v="0.8500000000000002"/>
    <n v="5750"/>
    <n v="4887.5000000000009"/>
    <n v="1466.2500000000002"/>
    <n v="0.3"/>
  </r>
  <r>
    <s v="x"/>
    <x v="0"/>
    <n v="1185732"/>
    <x v="157"/>
    <x v="4"/>
    <x v="18"/>
    <s v="Richmond"/>
    <x v="0"/>
    <n v="0.35"/>
    <n v="7500"/>
    <n v="2625"/>
    <n v="1312.5"/>
    <n v="0.5"/>
  </r>
  <r>
    <m/>
    <x v="0"/>
    <n v="1185732"/>
    <x v="157"/>
    <x v="4"/>
    <x v="18"/>
    <s v="Richmond"/>
    <x v="1"/>
    <n v="0.35"/>
    <n v="5500"/>
    <n v="1924.9999999999998"/>
    <n v="769.99999999999989"/>
    <n v="0.39999999999999997"/>
  </r>
  <r>
    <m/>
    <x v="0"/>
    <n v="1185732"/>
    <x v="157"/>
    <x v="4"/>
    <x v="18"/>
    <s v="Richmond"/>
    <x v="2"/>
    <n v="0.25"/>
    <n v="5500"/>
    <n v="1375"/>
    <n v="412.5"/>
    <n v="0.3"/>
  </r>
  <r>
    <m/>
    <x v="0"/>
    <n v="1185732"/>
    <x v="157"/>
    <x v="4"/>
    <x v="18"/>
    <s v="Richmond"/>
    <x v="3"/>
    <n v="0.29999999999999993"/>
    <n v="4000"/>
    <n v="1199.9999999999998"/>
    <n v="419.99999999999989"/>
    <n v="0.35"/>
  </r>
  <r>
    <m/>
    <x v="0"/>
    <n v="1185732"/>
    <x v="157"/>
    <x v="4"/>
    <x v="18"/>
    <s v="Richmond"/>
    <x v="4"/>
    <n v="0.45000000000000007"/>
    <n v="4500"/>
    <n v="2025.0000000000002"/>
    <n v="810"/>
    <n v="0.39999999999999997"/>
  </r>
  <r>
    <m/>
    <x v="0"/>
    <n v="1185732"/>
    <x v="157"/>
    <x v="4"/>
    <x v="18"/>
    <s v="Richmond"/>
    <x v="5"/>
    <n v="0.35"/>
    <n v="5500"/>
    <n v="1924.9999999999998"/>
    <n v="1058.75"/>
    <n v="0.55000000000000004"/>
  </r>
  <r>
    <m/>
    <x v="0"/>
    <n v="1185732"/>
    <x v="103"/>
    <x v="4"/>
    <x v="18"/>
    <s v="Richmond"/>
    <x v="0"/>
    <n v="0.35"/>
    <n v="8000"/>
    <n v="2800"/>
    <n v="1400"/>
    <n v="0.5"/>
  </r>
  <r>
    <m/>
    <x v="0"/>
    <n v="1185732"/>
    <x v="103"/>
    <x v="4"/>
    <x v="18"/>
    <s v="Richmond"/>
    <x v="1"/>
    <n v="0.35"/>
    <n v="4500"/>
    <n v="1575"/>
    <n v="630"/>
    <n v="0.39999999999999997"/>
  </r>
  <r>
    <m/>
    <x v="0"/>
    <n v="1185732"/>
    <x v="103"/>
    <x v="4"/>
    <x v="18"/>
    <s v="Richmond"/>
    <x v="2"/>
    <n v="0.25"/>
    <n v="5000"/>
    <n v="1250"/>
    <n v="375"/>
    <n v="0.3"/>
  </r>
  <r>
    <m/>
    <x v="0"/>
    <n v="1185732"/>
    <x v="103"/>
    <x v="4"/>
    <x v="18"/>
    <s v="Richmond"/>
    <x v="3"/>
    <n v="0.29999999999999993"/>
    <n v="3750"/>
    <n v="1124.9999999999998"/>
    <n v="393.74999999999989"/>
    <n v="0.35"/>
  </r>
  <r>
    <m/>
    <x v="0"/>
    <n v="1185732"/>
    <x v="103"/>
    <x v="4"/>
    <x v="18"/>
    <s v="Richmond"/>
    <x v="4"/>
    <n v="0.45000000000000007"/>
    <n v="4500"/>
    <n v="2025.0000000000002"/>
    <n v="810"/>
    <n v="0.39999999999999997"/>
  </r>
  <r>
    <m/>
    <x v="0"/>
    <n v="1185732"/>
    <x v="103"/>
    <x v="4"/>
    <x v="18"/>
    <s v="Richmond"/>
    <x v="5"/>
    <n v="0.35"/>
    <n v="5500"/>
    <n v="1924.9999999999998"/>
    <n v="1058.75"/>
    <n v="0.55000000000000004"/>
  </r>
  <r>
    <m/>
    <x v="0"/>
    <n v="1185732"/>
    <x v="158"/>
    <x v="4"/>
    <x v="18"/>
    <s v="Richmond"/>
    <x v="0"/>
    <n v="0.35"/>
    <n v="7700"/>
    <n v="2695"/>
    <n v="1347.5"/>
    <n v="0.5"/>
  </r>
  <r>
    <m/>
    <x v="0"/>
    <n v="1185732"/>
    <x v="158"/>
    <x v="4"/>
    <x v="18"/>
    <s v="Richmond"/>
    <x v="1"/>
    <n v="0.35"/>
    <n v="4500"/>
    <n v="1575"/>
    <n v="630"/>
    <n v="0.39999999999999997"/>
  </r>
  <r>
    <m/>
    <x v="0"/>
    <n v="1185732"/>
    <x v="158"/>
    <x v="4"/>
    <x v="18"/>
    <s v="Richmond"/>
    <x v="2"/>
    <n v="0.25"/>
    <n v="4750"/>
    <n v="1187.5"/>
    <n v="356.25"/>
    <n v="0.3"/>
  </r>
  <r>
    <m/>
    <x v="0"/>
    <n v="1185732"/>
    <x v="158"/>
    <x v="4"/>
    <x v="18"/>
    <s v="Richmond"/>
    <x v="3"/>
    <n v="0.29999999999999993"/>
    <n v="3250"/>
    <n v="974.99999999999977"/>
    <n v="341.24999999999989"/>
    <n v="0.35"/>
  </r>
  <r>
    <m/>
    <x v="0"/>
    <n v="1185732"/>
    <x v="158"/>
    <x v="4"/>
    <x v="18"/>
    <s v="Richmond"/>
    <x v="4"/>
    <n v="0.45000000000000007"/>
    <n v="3750"/>
    <n v="1687.5000000000002"/>
    <n v="675"/>
    <n v="0.39999999999999997"/>
  </r>
  <r>
    <m/>
    <x v="0"/>
    <n v="1185732"/>
    <x v="158"/>
    <x v="4"/>
    <x v="18"/>
    <s v="Richmond"/>
    <x v="5"/>
    <n v="0.35"/>
    <n v="4750"/>
    <n v="1662.5"/>
    <n v="914.37500000000011"/>
    <n v="0.55000000000000004"/>
  </r>
  <r>
    <m/>
    <x v="0"/>
    <n v="1185732"/>
    <x v="159"/>
    <x v="4"/>
    <x v="18"/>
    <s v="Richmond"/>
    <x v="0"/>
    <n v="0.35"/>
    <n v="7250"/>
    <n v="2537.5"/>
    <n v="1268.75"/>
    <n v="0.5"/>
  </r>
  <r>
    <m/>
    <x v="0"/>
    <n v="1185732"/>
    <x v="159"/>
    <x v="4"/>
    <x v="18"/>
    <s v="Richmond"/>
    <x v="1"/>
    <n v="0.4"/>
    <n v="4250"/>
    <n v="1700"/>
    <n v="680"/>
    <n v="0.39999999999999997"/>
  </r>
  <r>
    <m/>
    <x v="0"/>
    <n v="1185732"/>
    <x v="159"/>
    <x v="4"/>
    <x v="18"/>
    <s v="Richmond"/>
    <x v="2"/>
    <n v="0.30000000000000004"/>
    <n v="4500"/>
    <n v="1350.0000000000002"/>
    <n v="405.00000000000006"/>
    <n v="0.3"/>
  </r>
  <r>
    <m/>
    <x v="0"/>
    <n v="1185732"/>
    <x v="159"/>
    <x v="4"/>
    <x v="18"/>
    <s v="Richmond"/>
    <x v="3"/>
    <n v="0.35"/>
    <n v="3750"/>
    <n v="1312.5"/>
    <n v="459.37499999999994"/>
    <n v="0.35"/>
  </r>
  <r>
    <m/>
    <x v="0"/>
    <n v="1185732"/>
    <x v="159"/>
    <x v="4"/>
    <x v="18"/>
    <s v="Richmond"/>
    <x v="4"/>
    <n v="0.5"/>
    <n v="4000"/>
    <n v="2000"/>
    <n v="799.99999999999989"/>
    <n v="0.39999999999999997"/>
  </r>
  <r>
    <m/>
    <x v="0"/>
    <n v="1185732"/>
    <x v="159"/>
    <x v="4"/>
    <x v="18"/>
    <s v="Richmond"/>
    <x v="5"/>
    <n v="0.4"/>
    <n v="5250"/>
    <n v="2100"/>
    <n v="1155"/>
    <n v="0.55000000000000004"/>
  </r>
  <r>
    <m/>
    <x v="0"/>
    <n v="1185732"/>
    <x v="160"/>
    <x v="4"/>
    <x v="18"/>
    <s v="Richmond"/>
    <x v="0"/>
    <n v="0.5"/>
    <n v="7950"/>
    <n v="3975"/>
    <n v="1987.5"/>
    <n v="0.5"/>
  </r>
  <r>
    <m/>
    <x v="0"/>
    <n v="1185732"/>
    <x v="160"/>
    <x v="4"/>
    <x v="18"/>
    <s v="Richmond"/>
    <x v="1"/>
    <n v="0.5"/>
    <n v="5000"/>
    <n v="2500"/>
    <n v="999.99999999999989"/>
    <n v="0.39999999999999997"/>
  </r>
  <r>
    <m/>
    <x v="0"/>
    <n v="1185732"/>
    <x v="160"/>
    <x v="4"/>
    <x v="18"/>
    <s v="Richmond"/>
    <x v="2"/>
    <n v="0.45"/>
    <n v="4750"/>
    <n v="2137.5"/>
    <n v="641.25"/>
    <n v="0.3"/>
  </r>
  <r>
    <m/>
    <x v="0"/>
    <n v="1185732"/>
    <x v="160"/>
    <x v="4"/>
    <x v="18"/>
    <s v="Richmond"/>
    <x v="3"/>
    <n v="0.45"/>
    <n v="4500"/>
    <n v="2025"/>
    <n v="708.75"/>
    <n v="0.35"/>
  </r>
  <r>
    <m/>
    <x v="0"/>
    <n v="1185732"/>
    <x v="160"/>
    <x v="4"/>
    <x v="18"/>
    <s v="Richmond"/>
    <x v="4"/>
    <n v="0.54999999999999993"/>
    <n v="4750"/>
    <n v="2612.4999999999995"/>
    <n v="1044.9999999999998"/>
    <n v="0.39999999999999997"/>
  </r>
  <r>
    <m/>
    <x v="0"/>
    <n v="1185732"/>
    <x v="160"/>
    <x v="4"/>
    <x v="18"/>
    <s v="Richmond"/>
    <x v="5"/>
    <n v="0.6"/>
    <n v="5750"/>
    <n v="3450"/>
    <n v="1897.5000000000002"/>
    <n v="0.55000000000000004"/>
  </r>
  <r>
    <m/>
    <x v="0"/>
    <n v="1185732"/>
    <x v="107"/>
    <x v="4"/>
    <x v="18"/>
    <s v="Richmond"/>
    <x v="0"/>
    <n v="0.54999999999999993"/>
    <n v="8250"/>
    <n v="4537.4999999999991"/>
    <n v="2268.7499999999995"/>
    <n v="0.5"/>
  </r>
  <r>
    <m/>
    <x v="0"/>
    <n v="1185732"/>
    <x v="107"/>
    <x v="4"/>
    <x v="18"/>
    <s v="Richmond"/>
    <x v="1"/>
    <n v="0.5"/>
    <n v="5750"/>
    <n v="2875"/>
    <n v="1150"/>
    <n v="0.39999999999999997"/>
  </r>
  <r>
    <m/>
    <x v="0"/>
    <n v="1185732"/>
    <x v="107"/>
    <x v="4"/>
    <x v="18"/>
    <s v="Richmond"/>
    <x v="2"/>
    <n v="0.45"/>
    <n v="5500"/>
    <n v="2475"/>
    <n v="742.5"/>
    <n v="0.3"/>
  </r>
  <r>
    <m/>
    <x v="0"/>
    <n v="1185732"/>
    <x v="107"/>
    <x v="4"/>
    <x v="18"/>
    <s v="Richmond"/>
    <x v="3"/>
    <n v="0.45"/>
    <n v="5250"/>
    <n v="2362.5"/>
    <n v="826.875"/>
    <n v="0.35"/>
  </r>
  <r>
    <m/>
    <x v="0"/>
    <n v="1185732"/>
    <x v="107"/>
    <x v="4"/>
    <x v="18"/>
    <s v="Richmond"/>
    <x v="4"/>
    <n v="0.6"/>
    <n v="5250"/>
    <n v="3150"/>
    <n v="1260"/>
    <n v="0.39999999999999997"/>
  </r>
  <r>
    <m/>
    <x v="0"/>
    <n v="1185732"/>
    <x v="107"/>
    <x v="4"/>
    <x v="18"/>
    <s v="Richmond"/>
    <x v="5"/>
    <n v="0.65"/>
    <n v="6750"/>
    <n v="4387.5"/>
    <n v="2413.125"/>
    <n v="0.55000000000000004"/>
  </r>
  <r>
    <m/>
    <x v="0"/>
    <n v="1185732"/>
    <x v="161"/>
    <x v="4"/>
    <x v="18"/>
    <s v="Richmond"/>
    <x v="0"/>
    <n v="0.6"/>
    <n v="9000"/>
    <n v="5400"/>
    <n v="2700"/>
    <n v="0.5"/>
  </r>
  <r>
    <m/>
    <x v="0"/>
    <n v="1185732"/>
    <x v="161"/>
    <x v="4"/>
    <x v="18"/>
    <s v="Richmond"/>
    <x v="1"/>
    <n v="0.55000000000000004"/>
    <n v="6500"/>
    <n v="3575.0000000000005"/>
    <n v="1430"/>
    <n v="0.39999999999999997"/>
  </r>
  <r>
    <m/>
    <x v="0"/>
    <n v="1185732"/>
    <x v="161"/>
    <x v="4"/>
    <x v="18"/>
    <s v="Richmond"/>
    <x v="2"/>
    <n v="0.5"/>
    <n v="5750"/>
    <n v="2875"/>
    <n v="862.5"/>
    <n v="0.3"/>
  </r>
  <r>
    <m/>
    <x v="0"/>
    <n v="1185732"/>
    <x v="161"/>
    <x v="4"/>
    <x v="18"/>
    <s v="Richmond"/>
    <x v="3"/>
    <n v="0.5"/>
    <n v="5250"/>
    <n v="2625"/>
    <n v="918.74999999999989"/>
    <n v="0.35"/>
  </r>
  <r>
    <m/>
    <x v="0"/>
    <n v="1185732"/>
    <x v="161"/>
    <x v="4"/>
    <x v="18"/>
    <s v="Richmond"/>
    <x v="4"/>
    <n v="0.6"/>
    <n v="5500"/>
    <n v="3300"/>
    <n v="1320"/>
    <n v="0.39999999999999997"/>
  </r>
  <r>
    <m/>
    <x v="0"/>
    <n v="1185732"/>
    <x v="161"/>
    <x v="4"/>
    <x v="18"/>
    <s v="Richmond"/>
    <x v="5"/>
    <n v="0.65"/>
    <n v="7250"/>
    <n v="4712.5"/>
    <n v="2591.875"/>
    <n v="0.55000000000000004"/>
  </r>
  <r>
    <m/>
    <x v="0"/>
    <n v="1185732"/>
    <x v="162"/>
    <x v="4"/>
    <x v="18"/>
    <s v="Richmond"/>
    <x v="0"/>
    <n v="0.6"/>
    <n v="8750"/>
    <n v="5250"/>
    <n v="2625"/>
    <n v="0.5"/>
  </r>
  <r>
    <m/>
    <x v="0"/>
    <n v="1185732"/>
    <x v="162"/>
    <x v="4"/>
    <x v="18"/>
    <s v="Richmond"/>
    <x v="1"/>
    <n v="0.55000000000000004"/>
    <n v="6500"/>
    <n v="3575.0000000000005"/>
    <n v="1430"/>
    <n v="0.39999999999999997"/>
  </r>
  <r>
    <m/>
    <x v="0"/>
    <n v="1185732"/>
    <x v="162"/>
    <x v="4"/>
    <x v="18"/>
    <s v="Richmond"/>
    <x v="2"/>
    <n v="0.45000000000000007"/>
    <n v="5750"/>
    <n v="2587.5000000000005"/>
    <n v="776.25000000000011"/>
    <n v="0.3"/>
  </r>
  <r>
    <m/>
    <x v="0"/>
    <n v="1185732"/>
    <x v="162"/>
    <x v="4"/>
    <x v="18"/>
    <s v="Richmond"/>
    <x v="3"/>
    <n v="0.35"/>
    <n v="5250"/>
    <n v="1837.4999999999998"/>
    <n v="643.12499999999989"/>
    <n v="0.35"/>
  </r>
  <r>
    <m/>
    <x v="0"/>
    <n v="1185732"/>
    <x v="162"/>
    <x v="4"/>
    <x v="18"/>
    <s v="Richmond"/>
    <x v="4"/>
    <n v="0.45000000000000007"/>
    <n v="5000"/>
    <n v="2250.0000000000005"/>
    <n v="900.00000000000011"/>
    <n v="0.39999999999999997"/>
  </r>
  <r>
    <m/>
    <x v="0"/>
    <n v="1185732"/>
    <x v="162"/>
    <x v="4"/>
    <x v="18"/>
    <s v="Richmond"/>
    <x v="5"/>
    <n v="0.50000000000000011"/>
    <n v="6750"/>
    <n v="3375.0000000000009"/>
    <n v="1856.2500000000007"/>
    <n v="0.55000000000000004"/>
  </r>
  <r>
    <m/>
    <x v="0"/>
    <n v="1185732"/>
    <x v="163"/>
    <x v="4"/>
    <x v="18"/>
    <s v="Richmond"/>
    <x v="0"/>
    <n v="0.45000000000000007"/>
    <n v="8000"/>
    <n v="3600.0000000000005"/>
    <n v="1800.0000000000002"/>
    <n v="0.5"/>
  </r>
  <r>
    <m/>
    <x v="0"/>
    <n v="1185732"/>
    <x v="163"/>
    <x v="4"/>
    <x v="18"/>
    <s v="Richmond"/>
    <x v="1"/>
    <n v="0.40000000000000013"/>
    <n v="6000"/>
    <n v="2400.0000000000009"/>
    <n v="960.00000000000023"/>
    <n v="0.39999999999999997"/>
  </r>
  <r>
    <m/>
    <x v="0"/>
    <n v="1185732"/>
    <x v="163"/>
    <x v="4"/>
    <x v="18"/>
    <s v="Richmond"/>
    <x v="2"/>
    <n v="0.35"/>
    <n v="5000"/>
    <n v="1750"/>
    <n v="525"/>
    <n v="0.3"/>
  </r>
  <r>
    <m/>
    <x v="0"/>
    <n v="1185732"/>
    <x v="163"/>
    <x v="4"/>
    <x v="18"/>
    <s v="Richmond"/>
    <x v="3"/>
    <n v="0.35"/>
    <n v="4750"/>
    <n v="1662.5"/>
    <n v="581.875"/>
    <n v="0.35"/>
  </r>
  <r>
    <m/>
    <x v="0"/>
    <n v="1185732"/>
    <x v="163"/>
    <x v="4"/>
    <x v="18"/>
    <s v="Richmond"/>
    <x v="4"/>
    <n v="0.45000000000000007"/>
    <n v="4750"/>
    <n v="2137.5000000000005"/>
    <n v="855.00000000000011"/>
    <n v="0.39999999999999997"/>
  </r>
  <r>
    <m/>
    <x v="0"/>
    <n v="1185732"/>
    <x v="163"/>
    <x v="4"/>
    <x v="18"/>
    <s v="Richmond"/>
    <x v="5"/>
    <n v="0.50000000000000011"/>
    <n v="5750"/>
    <n v="2875.0000000000005"/>
    <n v="1581.2500000000005"/>
    <n v="0.55000000000000004"/>
  </r>
  <r>
    <m/>
    <x v="0"/>
    <n v="1185732"/>
    <x v="111"/>
    <x v="4"/>
    <x v="18"/>
    <s v="Richmond"/>
    <x v="0"/>
    <n v="0.50000000000000011"/>
    <n v="7500"/>
    <n v="3750.0000000000009"/>
    <n v="1875.0000000000005"/>
    <n v="0.5"/>
  </r>
  <r>
    <m/>
    <x v="0"/>
    <n v="1185732"/>
    <x v="111"/>
    <x v="4"/>
    <x v="18"/>
    <s v="Richmond"/>
    <x v="1"/>
    <n v="0.40000000000000013"/>
    <n v="5750"/>
    <n v="2300.0000000000009"/>
    <n v="920.00000000000034"/>
    <n v="0.39999999999999997"/>
  </r>
  <r>
    <m/>
    <x v="0"/>
    <n v="1185732"/>
    <x v="111"/>
    <x v="4"/>
    <x v="18"/>
    <s v="Richmond"/>
    <x v="2"/>
    <n v="0.40000000000000013"/>
    <n v="4250"/>
    <n v="1700.0000000000005"/>
    <n v="510.00000000000011"/>
    <n v="0.3"/>
  </r>
  <r>
    <m/>
    <x v="0"/>
    <n v="1185732"/>
    <x v="111"/>
    <x v="4"/>
    <x v="18"/>
    <s v="Richmond"/>
    <x v="3"/>
    <n v="0.40000000000000013"/>
    <n v="4000"/>
    <n v="1600.0000000000005"/>
    <n v="560.00000000000011"/>
    <n v="0.35"/>
  </r>
  <r>
    <m/>
    <x v="0"/>
    <n v="1185732"/>
    <x v="111"/>
    <x v="4"/>
    <x v="18"/>
    <s v="Richmond"/>
    <x v="4"/>
    <n v="0.50000000000000011"/>
    <n v="4000"/>
    <n v="2000.0000000000005"/>
    <n v="800.00000000000011"/>
    <n v="0.39999999999999997"/>
  </r>
  <r>
    <m/>
    <x v="0"/>
    <n v="1185732"/>
    <x v="111"/>
    <x v="4"/>
    <x v="18"/>
    <s v="Richmond"/>
    <x v="5"/>
    <n v="0.55000000000000004"/>
    <n v="5250"/>
    <n v="2887.5000000000005"/>
    <n v="1588.1250000000005"/>
    <n v="0.55000000000000004"/>
  </r>
  <r>
    <m/>
    <x v="0"/>
    <n v="1185732"/>
    <x v="164"/>
    <x v="4"/>
    <x v="18"/>
    <s v="Richmond"/>
    <x v="0"/>
    <n v="0.50000000000000011"/>
    <n v="6750"/>
    <n v="3375.0000000000009"/>
    <n v="1687.5000000000005"/>
    <n v="0.5"/>
  </r>
  <r>
    <m/>
    <x v="0"/>
    <n v="1185732"/>
    <x v="164"/>
    <x v="4"/>
    <x v="18"/>
    <s v="Richmond"/>
    <x v="1"/>
    <n v="0.45000000000000012"/>
    <n v="5000"/>
    <n v="2250.0000000000005"/>
    <n v="900.00000000000011"/>
    <n v="0.39999999999999997"/>
  </r>
  <r>
    <m/>
    <x v="0"/>
    <n v="1185732"/>
    <x v="164"/>
    <x v="4"/>
    <x v="18"/>
    <s v="Richmond"/>
    <x v="2"/>
    <n v="0.45000000000000012"/>
    <n v="4450"/>
    <n v="2002.5000000000005"/>
    <n v="600.75000000000011"/>
    <n v="0.3"/>
  </r>
  <r>
    <m/>
    <x v="0"/>
    <n v="1185732"/>
    <x v="164"/>
    <x v="4"/>
    <x v="18"/>
    <s v="Richmond"/>
    <x v="3"/>
    <n v="0.45000000000000012"/>
    <n v="4750"/>
    <n v="2137.5000000000005"/>
    <n v="748.12500000000011"/>
    <n v="0.35"/>
  </r>
  <r>
    <m/>
    <x v="0"/>
    <n v="1185732"/>
    <x v="164"/>
    <x v="4"/>
    <x v="18"/>
    <s v="Richmond"/>
    <x v="4"/>
    <n v="0.6"/>
    <n v="4500"/>
    <n v="2700"/>
    <n v="1080"/>
    <n v="0.39999999999999997"/>
  </r>
  <r>
    <m/>
    <x v="0"/>
    <n v="1185732"/>
    <x v="164"/>
    <x v="4"/>
    <x v="18"/>
    <s v="Richmond"/>
    <x v="5"/>
    <n v="0.64999999999999991"/>
    <n v="6250"/>
    <n v="4062.4999999999995"/>
    <n v="2234.375"/>
    <n v="0.55000000000000004"/>
  </r>
  <r>
    <m/>
    <x v="0"/>
    <n v="1185732"/>
    <x v="165"/>
    <x v="4"/>
    <x v="18"/>
    <s v="Richmond"/>
    <x v="0"/>
    <n v="0.6"/>
    <n v="8500"/>
    <n v="5100"/>
    <n v="2550"/>
    <n v="0.5"/>
  </r>
  <r>
    <m/>
    <x v="0"/>
    <n v="1185732"/>
    <x v="165"/>
    <x v="4"/>
    <x v="18"/>
    <s v="Richmond"/>
    <x v="1"/>
    <n v="0.5"/>
    <n v="6500"/>
    <n v="3250"/>
    <n v="1300"/>
    <n v="0.39999999999999997"/>
  </r>
  <r>
    <m/>
    <x v="0"/>
    <n v="1185732"/>
    <x v="165"/>
    <x v="4"/>
    <x v="18"/>
    <s v="Richmond"/>
    <x v="2"/>
    <n v="0.5"/>
    <n v="6000"/>
    <n v="3000"/>
    <n v="900"/>
    <n v="0.3"/>
  </r>
  <r>
    <m/>
    <x v="0"/>
    <n v="1185732"/>
    <x v="165"/>
    <x v="4"/>
    <x v="18"/>
    <s v="Richmond"/>
    <x v="3"/>
    <n v="0.5"/>
    <n v="5500"/>
    <n v="2750"/>
    <n v="962.49999999999989"/>
    <n v="0.35"/>
  </r>
  <r>
    <m/>
    <x v="0"/>
    <n v="1185732"/>
    <x v="165"/>
    <x v="4"/>
    <x v="18"/>
    <s v="Richmond"/>
    <x v="4"/>
    <n v="0.6"/>
    <n v="5500"/>
    <n v="3300"/>
    <n v="1320"/>
    <n v="0.39999999999999997"/>
  </r>
  <r>
    <m/>
    <x v="0"/>
    <n v="1185732"/>
    <x v="165"/>
    <x v="4"/>
    <x v="18"/>
    <s v="Richmond"/>
    <x v="5"/>
    <n v="0.64999999999999991"/>
    <n v="6500"/>
    <n v="4224.9999999999991"/>
    <n v="2323.7499999999995"/>
    <n v="0.55000000000000004"/>
  </r>
  <r>
    <s v="x"/>
    <x v="0"/>
    <n v="1185732"/>
    <x v="166"/>
    <x v="3"/>
    <x v="19"/>
    <s v="Detroit"/>
    <x v="0"/>
    <n v="0.3"/>
    <n v="6250"/>
    <n v="1875"/>
    <n v="750"/>
    <n v="0.4"/>
  </r>
  <r>
    <m/>
    <x v="0"/>
    <n v="1185732"/>
    <x v="166"/>
    <x v="3"/>
    <x v="19"/>
    <s v="Detroit"/>
    <x v="1"/>
    <n v="0.3"/>
    <n v="4250"/>
    <n v="1275"/>
    <n v="446.25"/>
    <n v="0.35"/>
  </r>
  <r>
    <m/>
    <x v="0"/>
    <n v="1185732"/>
    <x v="166"/>
    <x v="3"/>
    <x v="19"/>
    <s v="Detroit"/>
    <x v="2"/>
    <n v="0.2"/>
    <n v="4250"/>
    <n v="850"/>
    <n v="297.5"/>
    <n v="0.35"/>
  </r>
  <r>
    <m/>
    <x v="0"/>
    <n v="1185732"/>
    <x v="166"/>
    <x v="3"/>
    <x v="19"/>
    <s v="Detroit"/>
    <x v="3"/>
    <n v="0.25000000000000006"/>
    <n v="2750"/>
    <n v="687.50000000000011"/>
    <n v="275.00000000000006"/>
    <n v="0.4"/>
  </r>
  <r>
    <m/>
    <x v="0"/>
    <n v="1185732"/>
    <x v="166"/>
    <x v="3"/>
    <x v="19"/>
    <s v="Detroit"/>
    <x v="4"/>
    <n v="0.39999999999999997"/>
    <n v="3250"/>
    <n v="1300"/>
    <n v="454.99999999999994"/>
    <n v="0.35"/>
  </r>
  <r>
    <m/>
    <x v="0"/>
    <n v="1185732"/>
    <x v="166"/>
    <x v="3"/>
    <x v="19"/>
    <s v="Detroit"/>
    <x v="5"/>
    <n v="0.3"/>
    <n v="4250"/>
    <n v="1275"/>
    <n v="637.5"/>
    <n v="0.5"/>
  </r>
  <r>
    <m/>
    <x v="0"/>
    <n v="1185732"/>
    <x v="167"/>
    <x v="3"/>
    <x v="19"/>
    <s v="Detroit"/>
    <x v="0"/>
    <n v="0.3"/>
    <n v="6750"/>
    <n v="2025"/>
    <n v="810"/>
    <n v="0.4"/>
  </r>
  <r>
    <m/>
    <x v="0"/>
    <n v="1185732"/>
    <x v="167"/>
    <x v="3"/>
    <x v="19"/>
    <s v="Detroit"/>
    <x v="1"/>
    <n v="0.3"/>
    <n v="3250"/>
    <n v="975"/>
    <n v="341.25"/>
    <n v="0.35"/>
  </r>
  <r>
    <m/>
    <x v="0"/>
    <n v="1185732"/>
    <x v="167"/>
    <x v="3"/>
    <x v="19"/>
    <s v="Detroit"/>
    <x v="2"/>
    <n v="0.2"/>
    <n v="3750"/>
    <n v="750"/>
    <n v="262.5"/>
    <n v="0.35"/>
  </r>
  <r>
    <m/>
    <x v="0"/>
    <n v="1185732"/>
    <x v="167"/>
    <x v="3"/>
    <x v="19"/>
    <s v="Detroit"/>
    <x v="3"/>
    <n v="0.25000000000000006"/>
    <n v="2500"/>
    <n v="625.00000000000011"/>
    <n v="250.00000000000006"/>
    <n v="0.4"/>
  </r>
  <r>
    <m/>
    <x v="0"/>
    <n v="1185732"/>
    <x v="167"/>
    <x v="3"/>
    <x v="19"/>
    <s v="Detroit"/>
    <x v="4"/>
    <n v="0.39999999999999997"/>
    <n v="3250"/>
    <n v="1300"/>
    <n v="454.99999999999994"/>
    <n v="0.35"/>
  </r>
  <r>
    <m/>
    <x v="0"/>
    <n v="1185732"/>
    <x v="167"/>
    <x v="3"/>
    <x v="19"/>
    <s v="Detroit"/>
    <x v="5"/>
    <n v="0.3"/>
    <n v="4000"/>
    <n v="1200"/>
    <n v="600"/>
    <n v="0.5"/>
  </r>
  <r>
    <m/>
    <x v="0"/>
    <n v="1185732"/>
    <x v="126"/>
    <x v="3"/>
    <x v="19"/>
    <s v="Detroit"/>
    <x v="0"/>
    <n v="0.35000000000000003"/>
    <n v="6200"/>
    <n v="2170"/>
    <n v="868"/>
    <n v="0.4"/>
  </r>
  <r>
    <m/>
    <x v="0"/>
    <n v="1185732"/>
    <x v="126"/>
    <x v="3"/>
    <x v="19"/>
    <s v="Detroit"/>
    <x v="1"/>
    <n v="0.35000000000000003"/>
    <n v="3000"/>
    <n v="1050"/>
    <n v="367.5"/>
    <n v="0.35"/>
  </r>
  <r>
    <m/>
    <x v="0"/>
    <n v="1185732"/>
    <x v="126"/>
    <x v="3"/>
    <x v="19"/>
    <s v="Detroit"/>
    <x v="2"/>
    <n v="0.25000000000000006"/>
    <n v="3500"/>
    <n v="875.00000000000023"/>
    <n v="306.25000000000006"/>
    <n v="0.35"/>
  </r>
  <r>
    <m/>
    <x v="0"/>
    <n v="1185732"/>
    <x v="126"/>
    <x v="3"/>
    <x v="19"/>
    <s v="Detroit"/>
    <x v="3"/>
    <n v="0.3"/>
    <n v="2000"/>
    <n v="600"/>
    <n v="240"/>
    <n v="0.4"/>
  </r>
  <r>
    <m/>
    <x v="0"/>
    <n v="1185732"/>
    <x v="126"/>
    <x v="3"/>
    <x v="19"/>
    <s v="Detroit"/>
    <x v="4"/>
    <n v="0.45"/>
    <n v="2500"/>
    <n v="1125"/>
    <n v="393.75"/>
    <n v="0.35"/>
  </r>
  <r>
    <m/>
    <x v="0"/>
    <n v="1185732"/>
    <x v="126"/>
    <x v="3"/>
    <x v="19"/>
    <s v="Detroit"/>
    <x v="5"/>
    <n v="0.35000000000000003"/>
    <n v="3500"/>
    <n v="1225.0000000000002"/>
    <n v="612.50000000000011"/>
    <n v="0.5"/>
  </r>
  <r>
    <m/>
    <x v="0"/>
    <n v="1185732"/>
    <x v="127"/>
    <x v="3"/>
    <x v="19"/>
    <s v="Detroit"/>
    <x v="0"/>
    <n v="0.35000000000000003"/>
    <n v="5750"/>
    <n v="2012.5000000000002"/>
    <n v="805.00000000000011"/>
    <n v="0.4"/>
  </r>
  <r>
    <m/>
    <x v="0"/>
    <n v="1185732"/>
    <x v="127"/>
    <x v="3"/>
    <x v="19"/>
    <s v="Detroit"/>
    <x v="1"/>
    <n v="0.30000000000000004"/>
    <n v="2750"/>
    <n v="825.00000000000011"/>
    <n v="288.75"/>
    <n v="0.35"/>
  </r>
  <r>
    <m/>
    <x v="0"/>
    <n v="1185732"/>
    <x v="127"/>
    <x v="3"/>
    <x v="19"/>
    <s v="Detroit"/>
    <x v="2"/>
    <n v="0.20000000000000007"/>
    <n v="2750"/>
    <n v="550.00000000000023"/>
    <n v="192.50000000000006"/>
    <n v="0.35"/>
  </r>
  <r>
    <m/>
    <x v="0"/>
    <n v="1185732"/>
    <x v="127"/>
    <x v="3"/>
    <x v="19"/>
    <s v="Detroit"/>
    <x v="3"/>
    <n v="0.25"/>
    <n v="2000"/>
    <n v="500"/>
    <n v="200"/>
    <n v="0.4"/>
  </r>
  <r>
    <m/>
    <x v="0"/>
    <n v="1185732"/>
    <x v="127"/>
    <x v="3"/>
    <x v="19"/>
    <s v="Detroit"/>
    <x v="4"/>
    <n v="0.4"/>
    <n v="2250"/>
    <n v="900"/>
    <n v="315"/>
    <n v="0.35"/>
  </r>
  <r>
    <m/>
    <x v="0"/>
    <n v="1185732"/>
    <x v="127"/>
    <x v="3"/>
    <x v="19"/>
    <s v="Detroit"/>
    <x v="5"/>
    <n v="0.30000000000000004"/>
    <n v="3500"/>
    <n v="1050.0000000000002"/>
    <n v="525.00000000000011"/>
    <n v="0.5"/>
  </r>
  <r>
    <m/>
    <x v="0"/>
    <n v="1185732"/>
    <x v="168"/>
    <x v="3"/>
    <x v="19"/>
    <s v="Detroit"/>
    <x v="0"/>
    <n v="0.4"/>
    <n v="6200"/>
    <n v="2480"/>
    <n v="992"/>
    <n v="0.4"/>
  </r>
  <r>
    <m/>
    <x v="0"/>
    <n v="1185732"/>
    <x v="168"/>
    <x v="3"/>
    <x v="19"/>
    <s v="Detroit"/>
    <x v="1"/>
    <n v="0.35000000000000009"/>
    <n v="3250"/>
    <n v="1137.5000000000002"/>
    <n v="398.12500000000006"/>
    <n v="0.35"/>
  </r>
  <r>
    <m/>
    <x v="0"/>
    <n v="1185732"/>
    <x v="168"/>
    <x v="3"/>
    <x v="19"/>
    <s v="Detroit"/>
    <x v="2"/>
    <n v="0.30000000000000004"/>
    <n v="3000"/>
    <n v="900.00000000000011"/>
    <n v="315"/>
    <n v="0.35"/>
  </r>
  <r>
    <m/>
    <x v="0"/>
    <n v="1185732"/>
    <x v="168"/>
    <x v="3"/>
    <x v="19"/>
    <s v="Detroit"/>
    <x v="3"/>
    <n v="0.30000000000000004"/>
    <n v="2250"/>
    <n v="675.00000000000011"/>
    <n v="270.00000000000006"/>
    <n v="0.4"/>
  </r>
  <r>
    <m/>
    <x v="0"/>
    <n v="1185732"/>
    <x v="168"/>
    <x v="3"/>
    <x v="19"/>
    <s v="Detroit"/>
    <x v="4"/>
    <n v="0.44999999999999996"/>
    <n v="2500"/>
    <n v="1125"/>
    <n v="393.75"/>
    <n v="0.35"/>
  </r>
  <r>
    <m/>
    <x v="0"/>
    <n v="1185732"/>
    <x v="168"/>
    <x v="3"/>
    <x v="19"/>
    <s v="Detroit"/>
    <x v="5"/>
    <n v="0.49999999999999994"/>
    <n v="3500"/>
    <n v="1749.9999999999998"/>
    <n v="874.99999999999989"/>
    <n v="0.5"/>
  </r>
  <r>
    <m/>
    <x v="0"/>
    <n v="1185732"/>
    <x v="169"/>
    <x v="3"/>
    <x v="19"/>
    <s v="Detroit"/>
    <x v="0"/>
    <n v="0.35000000000000003"/>
    <n v="6000"/>
    <n v="2100"/>
    <n v="840"/>
    <n v="0.4"/>
  </r>
  <r>
    <m/>
    <x v="0"/>
    <n v="1185732"/>
    <x v="169"/>
    <x v="3"/>
    <x v="19"/>
    <s v="Detroit"/>
    <x v="1"/>
    <n v="0.3000000000000001"/>
    <n v="3500"/>
    <n v="1050.0000000000005"/>
    <n v="367.50000000000011"/>
    <n v="0.35"/>
  </r>
  <r>
    <m/>
    <x v="0"/>
    <n v="1185732"/>
    <x v="169"/>
    <x v="3"/>
    <x v="19"/>
    <s v="Detroit"/>
    <x v="2"/>
    <n v="0.25000000000000006"/>
    <n v="3750"/>
    <n v="937.50000000000023"/>
    <n v="328.12500000000006"/>
    <n v="0.35"/>
  </r>
  <r>
    <m/>
    <x v="0"/>
    <n v="1185732"/>
    <x v="169"/>
    <x v="3"/>
    <x v="19"/>
    <s v="Detroit"/>
    <x v="3"/>
    <n v="0.25000000000000006"/>
    <n v="3500"/>
    <n v="875.00000000000023"/>
    <n v="350.00000000000011"/>
    <n v="0.4"/>
  </r>
  <r>
    <m/>
    <x v="0"/>
    <n v="1185732"/>
    <x v="169"/>
    <x v="3"/>
    <x v="19"/>
    <s v="Detroit"/>
    <x v="4"/>
    <n v="0.4"/>
    <n v="3500"/>
    <n v="1400"/>
    <n v="489.99999999999994"/>
    <n v="0.35"/>
  </r>
  <r>
    <m/>
    <x v="0"/>
    <n v="1185732"/>
    <x v="169"/>
    <x v="3"/>
    <x v="19"/>
    <s v="Detroit"/>
    <x v="5"/>
    <n v="0.45"/>
    <n v="5250"/>
    <n v="2362.5"/>
    <n v="1181.25"/>
    <n v="0.5"/>
  </r>
  <r>
    <m/>
    <x v="0"/>
    <n v="1185732"/>
    <x v="130"/>
    <x v="3"/>
    <x v="19"/>
    <s v="Detroit"/>
    <x v="0"/>
    <n v="0.4"/>
    <n v="7500"/>
    <n v="3000"/>
    <n v="1200"/>
    <n v="0.4"/>
  </r>
  <r>
    <m/>
    <x v="0"/>
    <n v="1185732"/>
    <x v="130"/>
    <x v="3"/>
    <x v="19"/>
    <s v="Detroit"/>
    <x v="1"/>
    <n v="0.35000000000000009"/>
    <n v="5000"/>
    <n v="1750.0000000000005"/>
    <n v="612.50000000000011"/>
    <n v="0.35"/>
  </r>
  <r>
    <m/>
    <x v="0"/>
    <n v="1185732"/>
    <x v="130"/>
    <x v="3"/>
    <x v="19"/>
    <s v="Detroit"/>
    <x v="2"/>
    <n v="0.30000000000000004"/>
    <n v="4250"/>
    <n v="1275.0000000000002"/>
    <n v="446.25000000000006"/>
    <n v="0.35"/>
  </r>
  <r>
    <m/>
    <x v="0"/>
    <n v="1185732"/>
    <x v="130"/>
    <x v="3"/>
    <x v="19"/>
    <s v="Detroit"/>
    <x v="3"/>
    <n v="0.30000000000000004"/>
    <n v="3750"/>
    <n v="1125.0000000000002"/>
    <n v="450.00000000000011"/>
    <n v="0.4"/>
  </r>
  <r>
    <m/>
    <x v="0"/>
    <n v="1185732"/>
    <x v="130"/>
    <x v="3"/>
    <x v="19"/>
    <s v="Detroit"/>
    <x v="4"/>
    <n v="0.4"/>
    <n v="3750"/>
    <n v="1500"/>
    <n v="525"/>
    <n v="0.35"/>
  </r>
  <r>
    <m/>
    <x v="0"/>
    <n v="1185732"/>
    <x v="130"/>
    <x v="3"/>
    <x v="19"/>
    <s v="Detroit"/>
    <x v="5"/>
    <n v="0.45"/>
    <n v="5500"/>
    <n v="2475"/>
    <n v="1237.5"/>
    <n v="0.5"/>
  </r>
  <r>
    <m/>
    <x v="0"/>
    <n v="1185732"/>
    <x v="131"/>
    <x v="3"/>
    <x v="19"/>
    <s v="Detroit"/>
    <x v="0"/>
    <n v="0.4"/>
    <n v="7000"/>
    <n v="2800"/>
    <n v="1120"/>
    <n v="0.4"/>
  </r>
  <r>
    <m/>
    <x v="0"/>
    <n v="1185732"/>
    <x v="131"/>
    <x v="3"/>
    <x v="19"/>
    <s v="Detroit"/>
    <x v="1"/>
    <n v="0.40000000000000008"/>
    <n v="4750"/>
    <n v="1900.0000000000005"/>
    <n v="665.00000000000011"/>
    <n v="0.35"/>
  </r>
  <r>
    <m/>
    <x v="0"/>
    <n v="1185732"/>
    <x v="131"/>
    <x v="3"/>
    <x v="19"/>
    <s v="Detroit"/>
    <x v="2"/>
    <n v="0.35000000000000003"/>
    <n v="4000"/>
    <n v="1400.0000000000002"/>
    <n v="490.00000000000006"/>
    <n v="0.35"/>
  </r>
  <r>
    <m/>
    <x v="0"/>
    <n v="1185732"/>
    <x v="131"/>
    <x v="3"/>
    <x v="19"/>
    <s v="Detroit"/>
    <x v="3"/>
    <n v="0.25000000000000006"/>
    <n v="3250"/>
    <n v="812.50000000000023"/>
    <n v="325.00000000000011"/>
    <n v="0.4"/>
  </r>
  <r>
    <m/>
    <x v="0"/>
    <n v="1185732"/>
    <x v="131"/>
    <x v="3"/>
    <x v="19"/>
    <s v="Detroit"/>
    <x v="4"/>
    <n v="0.35000000000000003"/>
    <n v="3000"/>
    <n v="1050"/>
    <n v="367.5"/>
    <n v="0.35"/>
  </r>
  <r>
    <m/>
    <x v="0"/>
    <n v="1185732"/>
    <x v="131"/>
    <x v="3"/>
    <x v="19"/>
    <s v="Detroit"/>
    <x v="5"/>
    <n v="0.4"/>
    <n v="4750"/>
    <n v="1900"/>
    <n v="950"/>
    <n v="0.5"/>
  </r>
  <r>
    <m/>
    <x v="0"/>
    <n v="1185732"/>
    <x v="170"/>
    <x v="3"/>
    <x v="19"/>
    <s v="Detroit"/>
    <x v="0"/>
    <n v="0.35000000000000003"/>
    <n v="6000"/>
    <n v="2100"/>
    <n v="840"/>
    <n v="0.4"/>
  </r>
  <r>
    <m/>
    <x v="0"/>
    <n v="1185732"/>
    <x v="170"/>
    <x v="3"/>
    <x v="19"/>
    <s v="Detroit"/>
    <x v="1"/>
    <n v="0.3000000000000001"/>
    <n v="4000"/>
    <n v="1200.0000000000005"/>
    <n v="420.00000000000011"/>
    <n v="0.35"/>
  </r>
  <r>
    <m/>
    <x v="0"/>
    <n v="1185732"/>
    <x v="170"/>
    <x v="3"/>
    <x v="19"/>
    <s v="Detroit"/>
    <x v="2"/>
    <n v="0.15000000000000002"/>
    <n v="3000"/>
    <n v="450.00000000000006"/>
    <n v="157.5"/>
    <n v="0.35"/>
  </r>
  <r>
    <m/>
    <x v="0"/>
    <n v="1185732"/>
    <x v="170"/>
    <x v="3"/>
    <x v="19"/>
    <s v="Detroit"/>
    <x v="3"/>
    <n v="0.15000000000000002"/>
    <n v="2750"/>
    <n v="412.50000000000006"/>
    <n v="165.00000000000003"/>
    <n v="0.4"/>
  </r>
  <r>
    <m/>
    <x v="0"/>
    <n v="1185732"/>
    <x v="170"/>
    <x v="3"/>
    <x v="19"/>
    <s v="Detroit"/>
    <x v="4"/>
    <n v="0.25"/>
    <n v="2750"/>
    <n v="687.5"/>
    <n v="240.62499999999997"/>
    <n v="0.35"/>
  </r>
  <r>
    <m/>
    <x v="0"/>
    <n v="1185732"/>
    <x v="170"/>
    <x v="3"/>
    <x v="19"/>
    <s v="Detroit"/>
    <x v="5"/>
    <n v="0.30000000000000004"/>
    <n v="3500"/>
    <n v="1050.0000000000002"/>
    <n v="525.00000000000011"/>
    <n v="0.5"/>
  </r>
  <r>
    <m/>
    <x v="0"/>
    <n v="1185732"/>
    <x v="171"/>
    <x v="3"/>
    <x v="19"/>
    <s v="Detroit"/>
    <x v="0"/>
    <n v="0.35"/>
    <n v="5250"/>
    <n v="1837.4999999999998"/>
    <n v="735"/>
    <n v="0.4"/>
  </r>
  <r>
    <m/>
    <x v="0"/>
    <n v="1185732"/>
    <x v="171"/>
    <x v="3"/>
    <x v="19"/>
    <s v="Detroit"/>
    <x v="1"/>
    <n v="0.25"/>
    <n v="3500"/>
    <n v="875"/>
    <n v="306.25"/>
    <n v="0.35"/>
  </r>
  <r>
    <m/>
    <x v="0"/>
    <n v="1185732"/>
    <x v="171"/>
    <x v="3"/>
    <x v="19"/>
    <s v="Detroit"/>
    <x v="2"/>
    <n v="0.25"/>
    <n v="2500"/>
    <n v="625"/>
    <n v="218.75"/>
    <n v="0.35"/>
  </r>
  <r>
    <m/>
    <x v="0"/>
    <n v="1185732"/>
    <x v="171"/>
    <x v="3"/>
    <x v="19"/>
    <s v="Detroit"/>
    <x v="3"/>
    <n v="0.25"/>
    <n v="2250"/>
    <n v="562.5"/>
    <n v="225"/>
    <n v="0.4"/>
  </r>
  <r>
    <m/>
    <x v="0"/>
    <n v="1185732"/>
    <x v="171"/>
    <x v="3"/>
    <x v="19"/>
    <s v="Detroit"/>
    <x v="4"/>
    <n v="0.35"/>
    <n v="2250"/>
    <n v="787.5"/>
    <n v="275.625"/>
    <n v="0.35"/>
  </r>
  <r>
    <m/>
    <x v="0"/>
    <n v="1185732"/>
    <x v="171"/>
    <x v="3"/>
    <x v="19"/>
    <s v="Detroit"/>
    <x v="5"/>
    <n v="0.39999999999999991"/>
    <n v="3500"/>
    <n v="1399.9999999999998"/>
    <n v="699.99999999999989"/>
    <n v="0.5"/>
  </r>
  <r>
    <m/>
    <x v="0"/>
    <n v="1185732"/>
    <x v="134"/>
    <x v="3"/>
    <x v="19"/>
    <s v="Detroit"/>
    <x v="0"/>
    <n v="0.35000000000000003"/>
    <n v="5000"/>
    <n v="1750.0000000000002"/>
    <n v="700.00000000000011"/>
    <n v="0.4"/>
  </r>
  <r>
    <m/>
    <x v="0"/>
    <n v="1185732"/>
    <x v="134"/>
    <x v="3"/>
    <x v="19"/>
    <s v="Detroit"/>
    <x v="1"/>
    <n v="0.25000000000000006"/>
    <n v="3500"/>
    <n v="875.00000000000023"/>
    <n v="306.25000000000006"/>
    <n v="0.35"/>
  </r>
  <r>
    <m/>
    <x v="0"/>
    <n v="1185732"/>
    <x v="134"/>
    <x v="3"/>
    <x v="19"/>
    <s v="Detroit"/>
    <x v="2"/>
    <n v="0.25000000000000006"/>
    <n v="2950"/>
    <n v="737.50000000000011"/>
    <n v="258.125"/>
    <n v="0.35"/>
  </r>
  <r>
    <m/>
    <x v="0"/>
    <n v="1185732"/>
    <x v="134"/>
    <x v="3"/>
    <x v="19"/>
    <s v="Detroit"/>
    <x v="3"/>
    <n v="0.25000000000000006"/>
    <n v="3250"/>
    <n v="812.50000000000023"/>
    <n v="325.00000000000011"/>
    <n v="0.4"/>
  </r>
  <r>
    <m/>
    <x v="0"/>
    <n v="1185732"/>
    <x v="134"/>
    <x v="3"/>
    <x v="19"/>
    <s v="Detroit"/>
    <x v="4"/>
    <n v="0.44999999999999996"/>
    <n v="3000"/>
    <n v="1349.9999999999998"/>
    <n v="472.49999999999989"/>
    <n v="0.35"/>
  </r>
  <r>
    <m/>
    <x v="0"/>
    <n v="1185732"/>
    <x v="134"/>
    <x v="3"/>
    <x v="19"/>
    <s v="Detroit"/>
    <x v="5"/>
    <n v="0.49999999999999983"/>
    <n v="4000"/>
    <n v="1999.9999999999993"/>
    <n v="999.99999999999966"/>
    <n v="0.5"/>
  </r>
  <r>
    <m/>
    <x v="0"/>
    <n v="1185732"/>
    <x v="135"/>
    <x v="3"/>
    <x v="19"/>
    <s v="Detroit"/>
    <x v="0"/>
    <n v="0.44999999999999996"/>
    <n v="6500"/>
    <n v="2924.9999999999995"/>
    <n v="1169.9999999999998"/>
    <n v="0.4"/>
  </r>
  <r>
    <m/>
    <x v="0"/>
    <n v="1185732"/>
    <x v="135"/>
    <x v="3"/>
    <x v="19"/>
    <s v="Detroit"/>
    <x v="1"/>
    <n v="0.35000000000000003"/>
    <n v="4500"/>
    <n v="1575.0000000000002"/>
    <n v="551.25"/>
    <n v="0.35"/>
  </r>
  <r>
    <m/>
    <x v="0"/>
    <n v="1185732"/>
    <x v="135"/>
    <x v="3"/>
    <x v="19"/>
    <s v="Detroit"/>
    <x v="2"/>
    <n v="0.35000000000000003"/>
    <n v="4000"/>
    <n v="1400.0000000000002"/>
    <n v="490.00000000000006"/>
    <n v="0.35"/>
  </r>
  <r>
    <m/>
    <x v="0"/>
    <n v="1185732"/>
    <x v="135"/>
    <x v="3"/>
    <x v="19"/>
    <s v="Detroit"/>
    <x v="3"/>
    <n v="0.35000000000000003"/>
    <n v="3500"/>
    <n v="1225.0000000000002"/>
    <n v="490.00000000000011"/>
    <n v="0.4"/>
  </r>
  <r>
    <m/>
    <x v="0"/>
    <n v="1185732"/>
    <x v="135"/>
    <x v="3"/>
    <x v="19"/>
    <s v="Detroit"/>
    <x v="4"/>
    <n v="0.44999999999999996"/>
    <n v="3500"/>
    <n v="1574.9999999999998"/>
    <n v="551.24999999999989"/>
    <n v="0.35"/>
  </r>
  <r>
    <m/>
    <x v="0"/>
    <n v="1185732"/>
    <x v="135"/>
    <x v="3"/>
    <x v="19"/>
    <s v="Detroit"/>
    <x v="5"/>
    <n v="0.49999999999999983"/>
    <n v="4500"/>
    <n v="2249.9999999999991"/>
    <n v="1124.9999999999995"/>
    <n v="0.5"/>
  </r>
  <r>
    <s v="x"/>
    <x v="0"/>
    <n v="1185732"/>
    <x v="118"/>
    <x v="3"/>
    <x v="20"/>
    <s v="St. Louis"/>
    <x v="0"/>
    <n v="0.25"/>
    <n v="6750"/>
    <n v="1687.5"/>
    <n v="675"/>
    <n v="0.4"/>
  </r>
  <r>
    <m/>
    <x v="0"/>
    <n v="1185732"/>
    <x v="118"/>
    <x v="3"/>
    <x v="20"/>
    <s v="St. Louis"/>
    <x v="1"/>
    <n v="0.25"/>
    <n v="4750"/>
    <n v="1187.5"/>
    <n v="415.625"/>
    <n v="0.35"/>
  </r>
  <r>
    <m/>
    <x v="0"/>
    <n v="1185732"/>
    <x v="118"/>
    <x v="3"/>
    <x v="20"/>
    <s v="St. Louis"/>
    <x v="2"/>
    <n v="0.15000000000000002"/>
    <n v="4750"/>
    <n v="712.50000000000011"/>
    <n v="249.37500000000003"/>
    <n v="0.35"/>
  </r>
  <r>
    <m/>
    <x v="0"/>
    <n v="1185732"/>
    <x v="118"/>
    <x v="3"/>
    <x v="20"/>
    <s v="St. Louis"/>
    <x v="3"/>
    <n v="0.20000000000000007"/>
    <n v="3250"/>
    <n v="650.00000000000023"/>
    <n v="260.00000000000011"/>
    <n v="0.4"/>
  </r>
  <r>
    <m/>
    <x v="0"/>
    <n v="1185732"/>
    <x v="118"/>
    <x v="3"/>
    <x v="20"/>
    <s v="St. Louis"/>
    <x v="4"/>
    <n v="0.35"/>
    <n v="3750"/>
    <n v="1312.5"/>
    <n v="459.37499999999994"/>
    <n v="0.35"/>
  </r>
  <r>
    <m/>
    <x v="0"/>
    <n v="1185732"/>
    <x v="118"/>
    <x v="3"/>
    <x v="20"/>
    <s v="St. Louis"/>
    <x v="5"/>
    <n v="0.25"/>
    <n v="4750"/>
    <n v="1187.5"/>
    <n v="593.75"/>
    <n v="0.5"/>
  </r>
  <r>
    <m/>
    <x v="0"/>
    <n v="1185732"/>
    <x v="119"/>
    <x v="3"/>
    <x v="20"/>
    <s v="St. Louis"/>
    <x v="0"/>
    <n v="0.25"/>
    <n v="7250"/>
    <n v="1812.5"/>
    <n v="725"/>
    <n v="0.4"/>
  </r>
  <r>
    <m/>
    <x v="0"/>
    <n v="1185732"/>
    <x v="119"/>
    <x v="3"/>
    <x v="20"/>
    <s v="St. Louis"/>
    <x v="1"/>
    <n v="0.25"/>
    <n v="3750"/>
    <n v="937.5"/>
    <n v="328.125"/>
    <n v="0.35"/>
  </r>
  <r>
    <m/>
    <x v="0"/>
    <n v="1185732"/>
    <x v="119"/>
    <x v="3"/>
    <x v="20"/>
    <s v="St. Louis"/>
    <x v="2"/>
    <n v="0.15000000000000002"/>
    <n v="4250"/>
    <n v="637.50000000000011"/>
    <n v="223.12500000000003"/>
    <n v="0.35"/>
  </r>
  <r>
    <m/>
    <x v="0"/>
    <n v="1185732"/>
    <x v="119"/>
    <x v="3"/>
    <x v="20"/>
    <s v="St. Louis"/>
    <x v="3"/>
    <n v="0.20000000000000007"/>
    <n v="3000"/>
    <n v="600.00000000000023"/>
    <n v="240.00000000000011"/>
    <n v="0.4"/>
  </r>
  <r>
    <m/>
    <x v="0"/>
    <n v="1185732"/>
    <x v="119"/>
    <x v="3"/>
    <x v="20"/>
    <s v="St. Louis"/>
    <x v="4"/>
    <n v="0.35"/>
    <n v="3750"/>
    <n v="1312.5"/>
    <n v="459.37499999999994"/>
    <n v="0.35"/>
  </r>
  <r>
    <m/>
    <x v="0"/>
    <n v="1185732"/>
    <x v="119"/>
    <x v="3"/>
    <x v="20"/>
    <s v="St. Louis"/>
    <x v="5"/>
    <n v="0.25"/>
    <n v="4500"/>
    <n v="1125"/>
    <n v="562.5"/>
    <n v="0.5"/>
  </r>
  <r>
    <m/>
    <x v="0"/>
    <n v="1185732"/>
    <x v="2"/>
    <x v="3"/>
    <x v="20"/>
    <s v="St. Louis"/>
    <x v="0"/>
    <n v="0.30000000000000004"/>
    <n v="6700"/>
    <n v="2010.0000000000002"/>
    <n v="804.00000000000011"/>
    <n v="0.4"/>
  </r>
  <r>
    <m/>
    <x v="0"/>
    <n v="1185732"/>
    <x v="2"/>
    <x v="3"/>
    <x v="20"/>
    <s v="St. Louis"/>
    <x v="1"/>
    <n v="0.30000000000000004"/>
    <n v="3500"/>
    <n v="1050.0000000000002"/>
    <n v="367.50000000000006"/>
    <n v="0.35"/>
  </r>
  <r>
    <m/>
    <x v="0"/>
    <n v="1185732"/>
    <x v="2"/>
    <x v="3"/>
    <x v="20"/>
    <s v="St. Louis"/>
    <x v="2"/>
    <n v="0.20000000000000007"/>
    <n v="4000"/>
    <n v="800.00000000000023"/>
    <n v="280.00000000000006"/>
    <n v="0.35"/>
  </r>
  <r>
    <m/>
    <x v="0"/>
    <n v="1185732"/>
    <x v="2"/>
    <x v="3"/>
    <x v="20"/>
    <s v="St. Louis"/>
    <x v="3"/>
    <n v="0.25"/>
    <n v="2500"/>
    <n v="625"/>
    <n v="250"/>
    <n v="0.4"/>
  </r>
  <r>
    <m/>
    <x v="0"/>
    <n v="1185732"/>
    <x v="2"/>
    <x v="3"/>
    <x v="20"/>
    <s v="St. Louis"/>
    <x v="4"/>
    <n v="0.4"/>
    <n v="3000"/>
    <n v="1200"/>
    <n v="420"/>
    <n v="0.35"/>
  </r>
  <r>
    <m/>
    <x v="0"/>
    <n v="1185732"/>
    <x v="2"/>
    <x v="3"/>
    <x v="20"/>
    <s v="St. Louis"/>
    <x v="5"/>
    <n v="0.30000000000000004"/>
    <n v="4000"/>
    <n v="1200.0000000000002"/>
    <n v="600.00000000000011"/>
    <n v="0.5"/>
  </r>
  <r>
    <m/>
    <x v="0"/>
    <n v="1185732"/>
    <x v="3"/>
    <x v="3"/>
    <x v="20"/>
    <s v="St. Louis"/>
    <x v="0"/>
    <n v="0.30000000000000004"/>
    <n v="6250"/>
    <n v="1875.0000000000002"/>
    <n v="750.00000000000011"/>
    <n v="0.4"/>
  </r>
  <r>
    <m/>
    <x v="0"/>
    <n v="1185732"/>
    <x v="3"/>
    <x v="3"/>
    <x v="20"/>
    <s v="St. Louis"/>
    <x v="1"/>
    <n v="0.25000000000000006"/>
    <n v="3250"/>
    <n v="812.50000000000023"/>
    <n v="284.37500000000006"/>
    <n v="0.35"/>
  </r>
  <r>
    <m/>
    <x v="0"/>
    <n v="1185732"/>
    <x v="3"/>
    <x v="3"/>
    <x v="20"/>
    <s v="St. Louis"/>
    <x v="2"/>
    <n v="0.15000000000000008"/>
    <n v="3250"/>
    <n v="487.50000000000023"/>
    <n v="170.62500000000006"/>
    <n v="0.35"/>
  </r>
  <r>
    <m/>
    <x v="0"/>
    <n v="1185732"/>
    <x v="3"/>
    <x v="3"/>
    <x v="20"/>
    <s v="St. Louis"/>
    <x v="3"/>
    <n v="0.2"/>
    <n v="2500"/>
    <n v="500"/>
    <n v="200"/>
    <n v="0.4"/>
  </r>
  <r>
    <m/>
    <x v="0"/>
    <n v="1185732"/>
    <x v="3"/>
    <x v="3"/>
    <x v="20"/>
    <s v="St. Louis"/>
    <x v="4"/>
    <n v="0.35000000000000003"/>
    <n v="2750"/>
    <n v="962.50000000000011"/>
    <n v="336.875"/>
    <n v="0.35"/>
  </r>
  <r>
    <m/>
    <x v="0"/>
    <n v="1185732"/>
    <x v="3"/>
    <x v="3"/>
    <x v="20"/>
    <s v="St. Louis"/>
    <x v="5"/>
    <n v="0.25000000000000006"/>
    <n v="4000"/>
    <n v="1000.0000000000002"/>
    <n v="500.00000000000011"/>
    <n v="0.5"/>
  </r>
  <r>
    <m/>
    <x v="0"/>
    <n v="1185732"/>
    <x v="120"/>
    <x v="3"/>
    <x v="20"/>
    <s v="St. Louis"/>
    <x v="0"/>
    <n v="0.35000000000000003"/>
    <n v="6700"/>
    <n v="2345"/>
    <n v="938"/>
    <n v="0.4"/>
  </r>
  <r>
    <m/>
    <x v="0"/>
    <n v="1185732"/>
    <x v="120"/>
    <x v="3"/>
    <x v="20"/>
    <s v="St. Louis"/>
    <x v="1"/>
    <n v="0.3000000000000001"/>
    <n v="3750"/>
    <n v="1125.0000000000005"/>
    <n v="393.75000000000011"/>
    <n v="0.35"/>
  </r>
  <r>
    <m/>
    <x v="0"/>
    <n v="1185732"/>
    <x v="120"/>
    <x v="3"/>
    <x v="20"/>
    <s v="St. Louis"/>
    <x v="2"/>
    <n v="0.25000000000000006"/>
    <n v="3500"/>
    <n v="875.00000000000023"/>
    <n v="306.25000000000006"/>
    <n v="0.35"/>
  </r>
  <r>
    <m/>
    <x v="0"/>
    <n v="1185732"/>
    <x v="120"/>
    <x v="3"/>
    <x v="20"/>
    <s v="St. Louis"/>
    <x v="3"/>
    <n v="0.25000000000000006"/>
    <n v="2750"/>
    <n v="687.50000000000011"/>
    <n v="275.00000000000006"/>
    <n v="0.4"/>
  </r>
  <r>
    <m/>
    <x v="0"/>
    <n v="1185732"/>
    <x v="120"/>
    <x v="3"/>
    <x v="20"/>
    <s v="St. Louis"/>
    <x v="4"/>
    <n v="0.39999999999999997"/>
    <n v="3000"/>
    <n v="1200"/>
    <n v="420"/>
    <n v="0.35"/>
  </r>
  <r>
    <m/>
    <x v="0"/>
    <n v="1185732"/>
    <x v="120"/>
    <x v="3"/>
    <x v="20"/>
    <s v="St. Louis"/>
    <x v="5"/>
    <n v="0.44999999999999996"/>
    <n v="4000"/>
    <n v="1799.9999999999998"/>
    <n v="899.99999999999989"/>
    <n v="0.5"/>
  </r>
  <r>
    <m/>
    <x v="0"/>
    <n v="1185732"/>
    <x v="121"/>
    <x v="3"/>
    <x v="20"/>
    <s v="St. Louis"/>
    <x v="0"/>
    <n v="0.30000000000000004"/>
    <n v="6500"/>
    <n v="1950.0000000000002"/>
    <n v="780.00000000000011"/>
    <n v="0.4"/>
  </r>
  <r>
    <m/>
    <x v="0"/>
    <n v="1185732"/>
    <x v="121"/>
    <x v="3"/>
    <x v="20"/>
    <s v="St. Louis"/>
    <x v="1"/>
    <n v="0.25000000000000011"/>
    <n v="4000"/>
    <n v="1000.0000000000005"/>
    <n v="350.00000000000011"/>
    <n v="0.35"/>
  </r>
  <r>
    <m/>
    <x v="0"/>
    <n v="1185732"/>
    <x v="121"/>
    <x v="3"/>
    <x v="20"/>
    <s v="St. Louis"/>
    <x v="2"/>
    <n v="0.20000000000000007"/>
    <n v="4250"/>
    <n v="850.00000000000023"/>
    <n v="297.50000000000006"/>
    <n v="0.35"/>
  </r>
  <r>
    <m/>
    <x v="0"/>
    <n v="1185732"/>
    <x v="121"/>
    <x v="3"/>
    <x v="20"/>
    <s v="St. Louis"/>
    <x v="3"/>
    <n v="0.20000000000000007"/>
    <n v="4000"/>
    <n v="800.00000000000023"/>
    <n v="320.00000000000011"/>
    <n v="0.4"/>
  </r>
  <r>
    <m/>
    <x v="0"/>
    <n v="1185732"/>
    <x v="121"/>
    <x v="3"/>
    <x v="20"/>
    <s v="St. Louis"/>
    <x v="4"/>
    <n v="0.35000000000000003"/>
    <n v="4000"/>
    <n v="1400.0000000000002"/>
    <n v="490.00000000000006"/>
    <n v="0.35"/>
  </r>
  <r>
    <m/>
    <x v="0"/>
    <n v="1185732"/>
    <x v="121"/>
    <x v="3"/>
    <x v="20"/>
    <s v="St. Louis"/>
    <x v="5"/>
    <n v="0.4"/>
    <n v="5750"/>
    <n v="2300"/>
    <n v="1150"/>
    <n v="0.5"/>
  </r>
  <r>
    <m/>
    <x v="0"/>
    <n v="1185732"/>
    <x v="6"/>
    <x v="3"/>
    <x v="20"/>
    <s v="St. Louis"/>
    <x v="0"/>
    <n v="0.35000000000000003"/>
    <n v="8000"/>
    <n v="2800.0000000000005"/>
    <n v="1120.0000000000002"/>
    <n v="0.4"/>
  </r>
  <r>
    <m/>
    <x v="0"/>
    <n v="1185732"/>
    <x v="6"/>
    <x v="3"/>
    <x v="20"/>
    <s v="St. Louis"/>
    <x v="1"/>
    <n v="0.3000000000000001"/>
    <n v="5500"/>
    <n v="1650.0000000000005"/>
    <n v="577.50000000000011"/>
    <n v="0.35"/>
  </r>
  <r>
    <m/>
    <x v="0"/>
    <n v="1185732"/>
    <x v="6"/>
    <x v="3"/>
    <x v="20"/>
    <s v="St. Louis"/>
    <x v="2"/>
    <n v="0.25000000000000006"/>
    <n v="4750"/>
    <n v="1187.5000000000002"/>
    <n v="415.62500000000006"/>
    <n v="0.35"/>
  </r>
  <r>
    <m/>
    <x v="0"/>
    <n v="1185732"/>
    <x v="6"/>
    <x v="3"/>
    <x v="20"/>
    <s v="St. Louis"/>
    <x v="3"/>
    <n v="0.25000000000000006"/>
    <n v="4250"/>
    <n v="1062.5000000000002"/>
    <n v="425.00000000000011"/>
    <n v="0.4"/>
  </r>
  <r>
    <m/>
    <x v="0"/>
    <n v="1185732"/>
    <x v="6"/>
    <x v="3"/>
    <x v="20"/>
    <s v="St. Louis"/>
    <x v="4"/>
    <n v="0.35000000000000003"/>
    <n v="4250"/>
    <n v="1487.5000000000002"/>
    <n v="520.625"/>
    <n v="0.35"/>
  </r>
  <r>
    <m/>
    <x v="0"/>
    <n v="1185732"/>
    <x v="6"/>
    <x v="3"/>
    <x v="20"/>
    <s v="St. Louis"/>
    <x v="5"/>
    <n v="0.4"/>
    <n v="6000"/>
    <n v="2400"/>
    <n v="1200"/>
    <n v="0.5"/>
  </r>
  <r>
    <m/>
    <x v="0"/>
    <n v="1185732"/>
    <x v="7"/>
    <x v="3"/>
    <x v="20"/>
    <s v="St. Louis"/>
    <x v="0"/>
    <n v="0.35000000000000003"/>
    <n v="7500"/>
    <n v="2625.0000000000005"/>
    <n v="1050.0000000000002"/>
    <n v="0.4"/>
  </r>
  <r>
    <m/>
    <x v="0"/>
    <n v="1185732"/>
    <x v="7"/>
    <x v="3"/>
    <x v="20"/>
    <s v="St. Louis"/>
    <x v="1"/>
    <n v="0.35000000000000009"/>
    <n v="5250"/>
    <n v="1837.5000000000005"/>
    <n v="643.12500000000011"/>
    <n v="0.35"/>
  </r>
  <r>
    <m/>
    <x v="0"/>
    <n v="1185732"/>
    <x v="7"/>
    <x v="3"/>
    <x v="20"/>
    <s v="St. Louis"/>
    <x v="2"/>
    <n v="0.30000000000000004"/>
    <n v="4500"/>
    <n v="1350.0000000000002"/>
    <n v="472.50000000000006"/>
    <n v="0.35"/>
  </r>
  <r>
    <m/>
    <x v="0"/>
    <n v="1185732"/>
    <x v="7"/>
    <x v="3"/>
    <x v="20"/>
    <s v="St. Louis"/>
    <x v="3"/>
    <n v="0.20000000000000007"/>
    <n v="3750"/>
    <n v="750.00000000000023"/>
    <n v="300.00000000000011"/>
    <n v="0.4"/>
  </r>
  <r>
    <m/>
    <x v="0"/>
    <n v="1185732"/>
    <x v="7"/>
    <x v="3"/>
    <x v="20"/>
    <s v="St. Louis"/>
    <x v="4"/>
    <n v="0.30000000000000004"/>
    <n v="3500"/>
    <n v="1050.0000000000002"/>
    <n v="367.50000000000006"/>
    <n v="0.35"/>
  </r>
  <r>
    <m/>
    <x v="0"/>
    <n v="1185732"/>
    <x v="7"/>
    <x v="3"/>
    <x v="20"/>
    <s v="St. Louis"/>
    <x v="5"/>
    <n v="0.35000000000000003"/>
    <n v="5250"/>
    <n v="1837.5000000000002"/>
    <n v="918.75000000000011"/>
    <n v="0.5"/>
  </r>
  <r>
    <m/>
    <x v="0"/>
    <n v="1185732"/>
    <x v="122"/>
    <x v="3"/>
    <x v="20"/>
    <s v="St. Louis"/>
    <x v="0"/>
    <n v="0.30000000000000004"/>
    <n v="6500"/>
    <n v="1950.0000000000002"/>
    <n v="780.00000000000011"/>
    <n v="0.4"/>
  </r>
  <r>
    <m/>
    <x v="0"/>
    <n v="1185732"/>
    <x v="122"/>
    <x v="3"/>
    <x v="20"/>
    <s v="St. Louis"/>
    <x v="1"/>
    <n v="0.25000000000000011"/>
    <n v="4500"/>
    <n v="1125.0000000000005"/>
    <n v="393.75000000000011"/>
    <n v="0.35"/>
  </r>
  <r>
    <m/>
    <x v="0"/>
    <n v="1185732"/>
    <x v="122"/>
    <x v="3"/>
    <x v="20"/>
    <s v="St. Louis"/>
    <x v="2"/>
    <n v="0.10000000000000002"/>
    <n v="3500"/>
    <n v="350.00000000000006"/>
    <n v="122.50000000000001"/>
    <n v="0.35"/>
  </r>
  <r>
    <m/>
    <x v="0"/>
    <n v="1185732"/>
    <x v="122"/>
    <x v="3"/>
    <x v="20"/>
    <s v="St. Louis"/>
    <x v="3"/>
    <n v="0.10000000000000002"/>
    <n v="3250"/>
    <n v="325.00000000000006"/>
    <n v="130.00000000000003"/>
    <n v="0.4"/>
  </r>
  <r>
    <m/>
    <x v="0"/>
    <n v="1185732"/>
    <x v="122"/>
    <x v="3"/>
    <x v="20"/>
    <s v="St. Louis"/>
    <x v="4"/>
    <n v="0.2"/>
    <n v="3250"/>
    <n v="650"/>
    <n v="227.49999999999997"/>
    <n v="0.35"/>
  </r>
  <r>
    <m/>
    <x v="0"/>
    <n v="1185732"/>
    <x v="122"/>
    <x v="3"/>
    <x v="20"/>
    <s v="St. Louis"/>
    <x v="5"/>
    <n v="0.25000000000000006"/>
    <n v="4000"/>
    <n v="1000.0000000000002"/>
    <n v="500.00000000000011"/>
    <n v="0.5"/>
  </r>
  <r>
    <m/>
    <x v="0"/>
    <n v="1185732"/>
    <x v="123"/>
    <x v="3"/>
    <x v="20"/>
    <s v="St. Louis"/>
    <x v="0"/>
    <n v="0.3"/>
    <n v="5750"/>
    <n v="1725"/>
    <n v="690"/>
    <n v="0.4"/>
  </r>
  <r>
    <m/>
    <x v="0"/>
    <n v="1185732"/>
    <x v="123"/>
    <x v="3"/>
    <x v="20"/>
    <s v="St. Louis"/>
    <x v="1"/>
    <n v="0.2"/>
    <n v="4000"/>
    <n v="800"/>
    <n v="280"/>
    <n v="0.35"/>
  </r>
  <r>
    <m/>
    <x v="0"/>
    <n v="1185732"/>
    <x v="123"/>
    <x v="3"/>
    <x v="20"/>
    <s v="St. Louis"/>
    <x v="2"/>
    <n v="0.2"/>
    <n v="3000"/>
    <n v="600"/>
    <n v="210"/>
    <n v="0.35"/>
  </r>
  <r>
    <m/>
    <x v="0"/>
    <n v="1185732"/>
    <x v="123"/>
    <x v="3"/>
    <x v="20"/>
    <s v="St. Louis"/>
    <x v="3"/>
    <n v="0.2"/>
    <n v="2750"/>
    <n v="550"/>
    <n v="220"/>
    <n v="0.4"/>
  </r>
  <r>
    <m/>
    <x v="0"/>
    <n v="1185732"/>
    <x v="123"/>
    <x v="3"/>
    <x v="20"/>
    <s v="St. Louis"/>
    <x v="4"/>
    <n v="0.3"/>
    <n v="2750"/>
    <n v="825"/>
    <n v="288.75"/>
    <n v="0.35"/>
  </r>
  <r>
    <m/>
    <x v="0"/>
    <n v="1185732"/>
    <x v="123"/>
    <x v="3"/>
    <x v="20"/>
    <s v="St. Louis"/>
    <x v="5"/>
    <n v="0.34999999999999992"/>
    <n v="4000"/>
    <n v="1399.9999999999998"/>
    <n v="699.99999999999989"/>
    <n v="0.5"/>
  </r>
  <r>
    <m/>
    <x v="0"/>
    <n v="1185732"/>
    <x v="10"/>
    <x v="3"/>
    <x v="20"/>
    <s v="St. Louis"/>
    <x v="0"/>
    <n v="0.30000000000000004"/>
    <n v="5500"/>
    <n v="1650.0000000000002"/>
    <n v="660.00000000000011"/>
    <n v="0.4"/>
  </r>
  <r>
    <m/>
    <x v="0"/>
    <n v="1185732"/>
    <x v="10"/>
    <x v="3"/>
    <x v="20"/>
    <s v="St. Louis"/>
    <x v="1"/>
    <n v="0.20000000000000007"/>
    <n v="4000"/>
    <n v="800.00000000000023"/>
    <n v="280.00000000000006"/>
    <n v="0.35"/>
  </r>
  <r>
    <m/>
    <x v="0"/>
    <n v="1185732"/>
    <x v="10"/>
    <x v="3"/>
    <x v="20"/>
    <s v="St. Louis"/>
    <x v="2"/>
    <n v="0.20000000000000007"/>
    <n v="3450"/>
    <n v="690.00000000000023"/>
    <n v="241.50000000000006"/>
    <n v="0.35"/>
  </r>
  <r>
    <m/>
    <x v="0"/>
    <n v="1185732"/>
    <x v="10"/>
    <x v="3"/>
    <x v="20"/>
    <s v="St. Louis"/>
    <x v="3"/>
    <n v="0.20000000000000007"/>
    <n v="3750"/>
    <n v="750.00000000000023"/>
    <n v="300.00000000000011"/>
    <n v="0.4"/>
  </r>
  <r>
    <m/>
    <x v="0"/>
    <n v="1185732"/>
    <x v="10"/>
    <x v="3"/>
    <x v="20"/>
    <s v="St. Louis"/>
    <x v="4"/>
    <n v="0.39999999999999997"/>
    <n v="3500"/>
    <n v="1399.9999999999998"/>
    <n v="489.99999999999989"/>
    <n v="0.35"/>
  </r>
  <r>
    <m/>
    <x v="0"/>
    <n v="1185732"/>
    <x v="10"/>
    <x v="3"/>
    <x v="20"/>
    <s v="St. Louis"/>
    <x v="5"/>
    <n v="0.44999999999999984"/>
    <n v="4500"/>
    <n v="2024.9999999999993"/>
    <n v="1012.4999999999997"/>
    <n v="0.5"/>
  </r>
  <r>
    <m/>
    <x v="0"/>
    <n v="1185732"/>
    <x v="11"/>
    <x v="3"/>
    <x v="20"/>
    <s v="St. Louis"/>
    <x v="0"/>
    <n v="0.39999999999999997"/>
    <n v="7000"/>
    <n v="2799.9999999999995"/>
    <n v="1119.9999999999998"/>
    <n v="0.4"/>
  </r>
  <r>
    <m/>
    <x v="0"/>
    <n v="1185732"/>
    <x v="11"/>
    <x v="3"/>
    <x v="20"/>
    <s v="St. Louis"/>
    <x v="1"/>
    <n v="0.30000000000000004"/>
    <n v="5000"/>
    <n v="1500.0000000000002"/>
    <n v="525"/>
    <n v="0.35"/>
  </r>
  <r>
    <m/>
    <x v="0"/>
    <n v="1185732"/>
    <x v="11"/>
    <x v="3"/>
    <x v="20"/>
    <s v="St. Louis"/>
    <x v="2"/>
    <n v="0.30000000000000004"/>
    <n v="4500"/>
    <n v="1350.0000000000002"/>
    <n v="472.50000000000006"/>
    <n v="0.35"/>
  </r>
  <r>
    <m/>
    <x v="0"/>
    <n v="1185732"/>
    <x v="11"/>
    <x v="3"/>
    <x v="20"/>
    <s v="St. Louis"/>
    <x v="3"/>
    <n v="0.30000000000000004"/>
    <n v="4000"/>
    <n v="1200.0000000000002"/>
    <n v="480.00000000000011"/>
    <n v="0.4"/>
  </r>
  <r>
    <m/>
    <x v="0"/>
    <n v="1185732"/>
    <x v="11"/>
    <x v="3"/>
    <x v="20"/>
    <s v="St. Louis"/>
    <x v="4"/>
    <n v="0.39999999999999997"/>
    <n v="4000"/>
    <n v="1599.9999999999998"/>
    <n v="559.99999999999989"/>
    <n v="0.35"/>
  </r>
  <r>
    <m/>
    <x v="0"/>
    <n v="1185732"/>
    <x v="11"/>
    <x v="3"/>
    <x v="20"/>
    <s v="St. Louis"/>
    <x v="5"/>
    <n v="0.44999999999999984"/>
    <n v="5000"/>
    <n v="2249.9999999999991"/>
    <n v="1124.9999999999995"/>
    <n v="0.5"/>
  </r>
  <r>
    <s v="x"/>
    <x v="2"/>
    <n v="1128299"/>
    <x v="145"/>
    <x v="2"/>
    <x v="21"/>
    <s v="Salt Lake City"/>
    <x v="0"/>
    <n v="0.30000000000000004"/>
    <n v="3500"/>
    <n v="1050.0000000000002"/>
    <n v="367.50000000000006"/>
    <n v="0.35"/>
  </r>
  <r>
    <m/>
    <x v="2"/>
    <n v="1128299"/>
    <x v="145"/>
    <x v="2"/>
    <x v="21"/>
    <s v="Salt Lake City"/>
    <x v="1"/>
    <n v="0.4"/>
    <n v="3500"/>
    <n v="1400"/>
    <n v="489.99999999999994"/>
    <n v="0.35"/>
  </r>
  <r>
    <m/>
    <x v="2"/>
    <n v="1128299"/>
    <x v="145"/>
    <x v="2"/>
    <x v="21"/>
    <s v="Salt Lake City"/>
    <x v="2"/>
    <n v="0.4"/>
    <n v="3500"/>
    <n v="1400"/>
    <n v="489.99999999999994"/>
    <n v="0.35"/>
  </r>
  <r>
    <m/>
    <x v="2"/>
    <n v="1128299"/>
    <x v="145"/>
    <x v="2"/>
    <x v="21"/>
    <s v="Salt Lake City"/>
    <x v="3"/>
    <n v="0.4"/>
    <n v="2000"/>
    <n v="800"/>
    <n v="280"/>
    <n v="0.35"/>
  </r>
  <r>
    <m/>
    <x v="2"/>
    <n v="1128299"/>
    <x v="145"/>
    <x v="2"/>
    <x v="21"/>
    <s v="Salt Lake City"/>
    <x v="4"/>
    <n v="0.45000000000000007"/>
    <n v="1500"/>
    <n v="675.00000000000011"/>
    <n v="270.00000000000006"/>
    <n v="0.4"/>
  </r>
  <r>
    <m/>
    <x v="2"/>
    <n v="1128299"/>
    <x v="145"/>
    <x v="2"/>
    <x v="21"/>
    <s v="Salt Lake City"/>
    <x v="5"/>
    <n v="0.4"/>
    <n v="4000"/>
    <n v="1600"/>
    <n v="480"/>
    <n v="0.3"/>
  </r>
  <r>
    <m/>
    <x v="2"/>
    <n v="1128299"/>
    <x v="146"/>
    <x v="2"/>
    <x v="21"/>
    <s v="Salt Lake City"/>
    <x v="0"/>
    <n v="0.30000000000000004"/>
    <n v="4500"/>
    <n v="1350.0000000000002"/>
    <n v="472.50000000000006"/>
    <n v="0.35"/>
  </r>
  <r>
    <m/>
    <x v="2"/>
    <n v="1128299"/>
    <x v="146"/>
    <x v="2"/>
    <x v="21"/>
    <s v="Salt Lake City"/>
    <x v="1"/>
    <n v="0.4"/>
    <n v="3500"/>
    <n v="1400"/>
    <n v="489.99999999999994"/>
    <n v="0.35"/>
  </r>
  <r>
    <m/>
    <x v="2"/>
    <n v="1128299"/>
    <x v="146"/>
    <x v="2"/>
    <x v="21"/>
    <s v="Salt Lake City"/>
    <x v="2"/>
    <n v="0.4"/>
    <n v="3500"/>
    <n v="1400"/>
    <n v="489.99999999999994"/>
    <n v="0.35"/>
  </r>
  <r>
    <m/>
    <x v="2"/>
    <n v="1128299"/>
    <x v="146"/>
    <x v="2"/>
    <x v="21"/>
    <s v="Salt Lake City"/>
    <x v="3"/>
    <n v="0.4"/>
    <n v="2000"/>
    <n v="800"/>
    <n v="280"/>
    <n v="0.35"/>
  </r>
  <r>
    <m/>
    <x v="2"/>
    <n v="1128299"/>
    <x v="146"/>
    <x v="2"/>
    <x v="21"/>
    <s v="Salt Lake City"/>
    <x v="4"/>
    <n v="0.45000000000000007"/>
    <n v="1250"/>
    <n v="562.50000000000011"/>
    <n v="225.00000000000006"/>
    <n v="0.4"/>
  </r>
  <r>
    <m/>
    <x v="2"/>
    <n v="1128299"/>
    <x v="146"/>
    <x v="2"/>
    <x v="21"/>
    <s v="Salt Lake City"/>
    <x v="5"/>
    <n v="0.4"/>
    <n v="3250"/>
    <n v="1300"/>
    <n v="390"/>
    <n v="0.3"/>
  </r>
  <r>
    <m/>
    <x v="2"/>
    <n v="1128299"/>
    <x v="147"/>
    <x v="2"/>
    <x v="21"/>
    <s v="Salt Lake City"/>
    <x v="0"/>
    <n v="0.4"/>
    <n v="4750"/>
    <n v="1900"/>
    <n v="665"/>
    <n v="0.35"/>
  </r>
  <r>
    <m/>
    <x v="2"/>
    <n v="1128299"/>
    <x v="147"/>
    <x v="2"/>
    <x v="21"/>
    <s v="Salt Lake City"/>
    <x v="1"/>
    <n v="0.5"/>
    <n v="3250"/>
    <n v="1625"/>
    <n v="568.75"/>
    <n v="0.35"/>
  </r>
  <r>
    <m/>
    <x v="2"/>
    <n v="1128299"/>
    <x v="147"/>
    <x v="2"/>
    <x v="21"/>
    <s v="Salt Lake City"/>
    <x v="2"/>
    <n v="0.54999999999999993"/>
    <n v="3500"/>
    <n v="1924.9999999999998"/>
    <n v="673.74999999999989"/>
    <n v="0.35"/>
  </r>
  <r>
    <m/>
    <x v="2"/>
    <n v="1128299"/>
    <x v="147"/>
    <x v="2"/>
    <x v="21"/>
    <s v="Salt Lake City"/>
    <x v="3"/>
    <n v="0.5"/>
    <n v="2500"/>
    <n v="1250"/>
    <n v="437.5"/>
    <n v="0.35"/>
  </r>
  <r>
    <m/>
    <x v="2"/>
    <n v="1128299"/>
    <x v="147"/>
    <x v="2"/>
    <x v="21"/>
    <s v="Salt Lake City"/>
    <x v="4"/>
    <n v="0.55000000000000004"/>
    <n v="1000"/>
    <n v="550"/>
    <n v="220"/>
    <n v="0.4"/>
  </r>
  <r>
    <m/>
    <x v="2"/>
    <n v="1128299"/>
    <x v="147"/>
    <x v="2"/>
    <x v="21"/>
    <s v="Salt Lake City"/>
    <x v="5"/>
    <n v="0.5"/>
    <n v="3000"/>
    <n v="1500"/>
    <n v="450"/>
    <n v="0.3"/>
  </r>
  <r>
    <m/>
    <x v="2"/>
    <n v="1128299"/>
    <x v="148"/>
    <x v="2"/>
    <x v="21"/>
    <s v="Salt Lake City"/>
    <x v="0"/>
    <n v="0.55000000000000004"/>
    <n v="4750"/>
    <n v="2612.5"/>
    <n v="914.37499999999989"/>
    <n v="0.35"/>
  </r>
  <r>
    <m/>
    <x v="2"/>
    <n v="1128299"/>
    <x v="148"/>
    <x v="2"/>
    <x v="21"/>
    <s v="Salt Lake City"/>
    <x v="1"/>
    <n v="0.60000000000000009"/>
    <n v="2750"/>
    <n v="1650.0000000000002"/>
    <n v="577.5"/>
    <n v="0.35"/>
  </r>
  <r>
    <m/>
    <x v="2"/>
    <n v="1128299"/>
    <x v="148"/>
    <x v="2"/>
    <x v="21"/>
    <s v="Salt Lake City"/>
    <x v="2"/>
    <n v="0.60000000000000009"/>
    <n v="3250"/>
    <n v="1950.0000000000002"/>
    <n v="682.5"/>
    <n v="0.35"/>
  </r>
  <r>
    <m/>
    <x v="2"/>
    <n v="1128299"/>
    <x v="148"/>
    <x v="2"/>
    <x v="21"/>
    <s v="Salt Lake City"/>
    <x v="3"/>
    <n v="0.45000000000000007"/>
    <n v="2250"/>
    <n v="1012.5000000000001"/>
    <n v="354.375"/>
    <n v="0.35"/>
  </r>
  <r>
    <m/>
    <x v="2"/>
    <n v="1128299"/>
    <x v="148"/>
    <x v="2"/>
    <x v="21"/>
    <s v="Salt Lake City"/>
    <x v="4"/>
    <n v="0.50000000000000011"/>
    <n v="1250"/>
    <n v="625.00000000000011"/>
    <n v="250.00000000000006"/>
    <n v="0.4"/>
  </r>
  <r>
    <m/>
    <x v="2"/>
    <n v="1128299"/>
    <x v="148"/>
    <x v="2"/>
    <x v="21"/>
    <s v="Salt Lake City"/>
    <x v="5"/>
    <n v="0.65000000000000013"/>
    <n v="3000"/>
    <n v="1950.0000000000005"/>
    <n v="585.00000000000011"/>
    <n v="0.3"/>
  </r>
  <r>
    <m/>
    <x v="2"/>
    <n v="1128299"/>
    <x v="149"/>
    <x v="2"/>
    <x v="21"/>
    <s v="Salt Lake City"/>
    <x v="0"/>
    <n v="0.5"/>
    <n v="5000"/>
    <n v="2500"/>
    <n v="875"/>
    <n v="0.35"/>
  </r>
  <r>
    <m/>
    <x v="2"/>
    <n v="1128299"/>
    <x v="149"/>
    <x v="2"/>
    <x v="21"/>
    <s v="Salt Lake City"/>
    <x v="1"/>
    <n v="0.55000000000000004"/>
    <n v="3500"/>
    <n v="1925.0000000000002"/>
    <n v="673.75"/>
    <n v="0.35"/>
  </r>
  <r>
    <m/>
    <x v="2"/>
    <n v="1128299"/>
    <x v="149"/>
    <x v="2"/>
    <x v="21"/>
    <s v="Salt Lake City"/>
    <x v="2"/>
    <n v="0.55000000000000004"/>
    <n v="3500"/>
    <n v="1925.0000000000002"/>
    <n v="673.75"/>
    <n v="0.35"/>
  </r>
  <r>
    <m/>
    <x v="2"/>
    <n v="1128299"/>
    <x v="149"/>
    <x v="2"/>
    <x v="21"/>
    <s v="Salt Lake City"/>
    <x v="3"/>
    <n v="0.5"/>
    <n v="2750"/>
    <n v="1375"/>
    <n v="481.24999999999994"/>
    <n v="0.35"/>
  </r>
  <r>
    <m/>
    <x v="2"/>
    <n v="1128299"/>
    <x v="149"/>
    <x v="2"/>
    <x v="21"/>
    <s v="Salt Lake City"/>
    <x v="4"/>
    <n v="0.44999999999999996"/>
    <n v="1750"/>
    <n v="787.49999999999989"/>
    <n v="315"/>
    <n v="0.4"/>
  </r>
  <r>
    <m/>
    <x v="2"/>
    <n v="1128299"/>
    <x v="149"/>
    <x v="2"/>
    <x v="21"/>
    <s v="Salt Lake City"/>
    <x v="5"/>
    <n v="0.6"/>
    <n v="5250"/>
    <n v="3150"/>
    <n v="945"/>
    <n v="0.3"/>
  </r>
  <r>
    <m/>
    <x v="2"/>
    <n v="1128299"/>
    <x v="150"/>
    <x v="2"/>
    <x v="21"/>
    <s v="Salt Lake City"/>
    <x v="0"/>
    <n v="0.54999999999999993"/>
    <n v="7750"/>
    <n v="4262.4999999999991"/>
    <n v="1491.8749999999995"/>
    <n v="0.35"/>
  </r>
  <r>
    <m/>
    <x v="2"/>
    <n v="1128299"/>
    <x v="150"/>
    <x v="2"/>
    <x v="21"/>
    <s v="Salt Lake City"/>
    <x v="1"/>
    <n v="0.64999999999999991"/>
    <n v="6500"/>
    <n v="4224.9999999999991"/>
    <n v="1478.7499999999995"/>
    <n v="0.35"/>
  </r>
  <r>
    <m/>
    <x v="2"/>
    <n v="1128299"/>
    <x v="150"/>
    <x v="2"/>
    <x v="21"/>
    <s v="Salt Lake City"/>
    <x v="2"/>
    <n v="0.79999999999999993"/>
    <n v="6500"/>
    <n v="5200"/>
    <n v="1819.9999999999998"/>
    <n v="0.35"/>
  </r>
  <r>
    <m/>
    <x v="2"/>
    <n v="1128299"/>
    <x v="150"/>
    <x v="2"/>
    <x v="21"/>
    <s v="Salt Lake City"/>
    <x v="3"/>
    <n v="0.79999999999999993"/>
    <n v="5250"/>
    <n v="4200"/>
    <n v="1470"/>
    <n v="0.35"/>
  </r>
  <r>
    <m/>
    <x v="2"/>
    <n v="1128299"/>
    <x v="150"/>
    <x v="2"/>
    <x v="21"/>
    <s v="Salt Lake City"/>
    <x v="4"/>
    <n v="0.9"/>
    <n v="4000"/>
    <n v="3600"/>
    <n v="1440"/>
    <n v="0.4"/>
  </r>
  <r>
    <m/>
    <x v="2"/>
    <n v="1128299"/>
    <x v="150"/>
    <x v="2"/>
    <x v="21"/>
    <s v="Salt Lake City"/>
    <x v="5"/>
    <n v="1.05"/>
    <n v="7000"/>
    <n v="7350"/>
    <n v="2205"/>
    <n v="0.3"/>
  </r>
  <r>
    <m/>
    <x v="2"/>
    <n v="1128299"/>
    <x v="151"/>
    <x v="2"/>
    <x v="21"/>
    <s v="Salt Lake City"/>
    <x v="0"/>
    <n v="0.85"/>
    <n v="8500"/>
    <n v="7225"/>
    <n v="2528.75"/>
    <n v="0.35"/>
  </r>
  <r>
    <m/>
    <x v="2"/>
    <n v="1128299"/>
    <x v="151"/>
    <x v="2"/>
    <x v="21"/>
    <s v="Salt Lake City"/>
    <x v="1"/>
    <n v="0.9"/>
    <n v="7000"/>
    <n v="6300"/>
    <n v="2205"/>
    <n v="0.35"/>
  </r>
  <r>
    <m/>
    <x v="2"/>
    <n v="1128299"/>
    <x v="151"/>
    <x v="2"/>
    <x v="21"/>
    <s v="Salt Lake City"/>
    <x v="2"/>
    <n v="0.9"/>
    <n v="6500"/>
    <n v="5850"/>
    <n v="2047.4999999999998"/>
    <n v="0.35"/>
  </r>
  <r>
    <m/>
    <x v="2"/>
    <n v="1128299"/>
    <x v="151"/>
    <x v="2"/>
    <x v="21"/>
    <s v="Salt Lake City"/>
    <x v="3"/>
    <n v="0.85"/>
    <n v="5500"/>
    <n v="4675"/>
    <n v="1636.25"/>
    <n v="0.35"/>
  </r>
  <r>
    <m/>
    <x v="2"/>
    <n v="1128299"/>
    <x v="151"/>
    <x v="2"/>
    <x v="21"/>
    <s v="Salt Lake City"/>
    <x v="4"/>
    <n v="0.9"/>
    <n v="6000"/>
    <n v="5400"/>
    <n v="2160"/>
    <n v="0.4"/>
  </r>
  <r>
    <m/>
    <x v="2"/>
    <n v="1128299"/>
    <x v="151"/>
    <x v="2"/>
    <x v="21"/>
    <s v="Salt Lake City"/>
    <x v="5"/>
    <n v="1.05"/>
    <n v="6000"/>
    <n v="6300"/>
    <n v="1890"/>
    <n v="0.3"/>
  </r>
  <r>
    <m/>
    <x v="2"/>
    <n v="1128299"/>
    <x v="152"/>
    <x v="2"/>
    <x v="21"/>
    <s v="Salt Lake City"/>
    <x v="0"/>
    <n v="0.9"/>
    <n v="8000"/>
    <n v="7200"/>
    <n v="2520"/>
    <n v="0.35"/>
  </r>
  <r>
    <m/>
    <x v="2"/>
    <n v="1128299"/>
    <x v="152"/>
    <x v="2"/>
    <x v="21"/>
    <s v="Salt Lake City"/>
    <x v="1"/>
    <n v="0.8"/>
    <n v="7750"/>
    <n v="6200"/>
    <n v="2170"/>
    <n v="0.35"/>
  </r>
  <r>
    <m/>
    <x v="2"/>
    <n v="1128299"/>
    <x v="152"/>
    <x v="2"/>
    <x v="21"/>
    <s v="Salt Lake City"/>
    <x v="2"/>
    <n v="0.70000000000000007"/>
    <n v="6500"/>
    <n v="4550"/>
    <n v="1592.5"/>
    <n v="0.35"/>
  </r>
  <r>
    <m/>
    <x v="2"/>
    <n v="1128299"/>
    <x v="152"/>
    <x v="2"/>
    <x v="21"/>
    <s v="Salt Lake City"/>
    <x v="3"/>
    <n v="0.70000000000000007"/>
    <n v="4250"/>
    <n v="2975.0000000000005"/>
    <n v="1041.25"/>
    <n v="0.35"/>
  </r>
  <r>
    <m/>
    <x v="2"/>
    <n v="1128299"/>
    <x v="152"/>
    <x v="2"/>
    <x v="21"/>
    <s v="Salt Lake City"/>
    <x v="4"/>
    <n v="0.7"/>
    <n v="4250"/>
    <n v="2975"/>
    <n v="1190"/>
    <n v="0.4"/>
  </r>
  <r>
    <m/>
    <x v="2"/>
    <n v="1128299"/>
    <x v="152"/>
    <x v="2"/>
    <x v="21"/>
    <s v="Salt Lake City"/>
    <x v="5"/>
    <n v="0.75"/>
    <n v="2500"/>
    <n v="1875"/>
    <n v="562.5"/>
    <n v="0.3"/>
  </r>
  <r>
    <m/>
    <x v="2"/>
    <n v="1128299"/>
    <x v="153"/>
    <x v="2"/>
    <x v="21"/>
    <s v="Salt Lake City"/>
    <x v="0"/>
    <n v="0.50000000000000011"/>
    <n v="4500"/>
    <n v="2250.0000000000005"/>
    <n v="787.50000000000011"/>
    <n v="0.35"/>
  </r>
  <r>
    <m/>
    <x v="2"/>
    <n v="1128299"/>
    <x v="153"/>
    <x v="2"/>
    <x v="21"/>
    <s v="Salt Lake City"/>
    <x v="1"/>
    <n v="0.55000000000000016"/>
    <n v="4500"/>
    <n v="2475.0000000000009"/>
    <n v="866.25000000000023"/>
    <n v="0.35"/>
  </r>
  <r>
    <m/>
    <x v="2"/>
    <n v="1128299"/>
    <x v="153"/>
    <x v="2"/>
    <x v="21"/>
    <s v="Salt Lake City"/>
    <x v="2"/>
    <n v="0.50000000000000011"/>
    <n v="2500"/>
    <n v="1250.0000000000002"/>
    <n v="437.50000000000006"/>
    <n v="0.35"/>
  </r>
  <r>
    <m/>
    <x v="2"/>
    <n v="1128299"/>
    <x v="153"/>
    <x v="2"/>
    <x v="21"/>
    <s v="Salt Lake City"/>
    <x v="3"/>
    <n v="0.50000000000000011"/>
    <n v="2000"/>
    <n v="1000.0000000000002"/>
    <n v="350.00000000000006"/>
    <n v="0.35"/>
  </r>
  <r>
    <m/>
    <x v="2"/>
    <n v="1128299"/>
    <x v="153"/>
    <x v="2"/>
    <x v="21"/>
    <s v="Salt Lake City"/>
    <x v="4"/>
    <n v="0.60000000000000009"/>
    <n v="2250"/>
    <n v="1350.0000000000002"/>
    <n v="540.00000000000011"/>
    <n v="0.4"/>
  </r>
  <r>
    <m/>
    <x v="2"/>
    <n v="1128299"/>
    <x v="153"/>
    <x v="2"/>
    <x v="21"/>
    <s v="Salt Lake City"/>
    <x v="5"/>
    <n v="0.44999999999999996"/>
    <n v="2500"/>
    <n v="1125"/>
    <n v="337.5"/>
    <n v="0.3"/>
  </r>
  <r>
    <m/>
    <x v="2"/>
    <n v="1128299"/>
    <x v="154"/>
    <x v="2"/>
    <x v="21"/>
    <s v="Salt Lake City"/>
    <x v="0"/>
    <n v="0.4"/>
    <n v="3500"/>
    <n v="1400"/>
    <n v="489.99999999999994"/>
    <n v="0.35"/>
  </r>
  <r>
    <m/>
    <x v="2"/>
    <n v="1128299"/>
    <x v="154"/>
    <x v="2"/>
    <x v="21"/>
    <s v="Salt Lake City"/>
    <x v="1"/>
    <n v="0.55000000000000016"/>
    <n v="5250"/>
    <n v="2887.5000000000009"/>
    <n v="1010.6250000000002"/>
    <n v="0.35"/>
  </r>
  <r>
    <m/>
    <x v="2"/>
    <n v="1128299"/>
    <x v="154"/>
    <x v="2"/>
    <x v="21"/>
    <s v="Salt Lake City"/>
    <x v="2"/>
    <n v="0.50000000000000011"/>
    <n v="3500"/>
    <n v="1750.0000000000005"/>
    <n v="612.50000000000011"/>
    <n v="0.35"/>
  </r>
  <r>
    <m/>
    <x v="2"/>
    <n v="1128299"/>
    <x v="154"/>
    <x v="2"/>
    <x v="21"/>
    <s v="Salt Lake City"/>
    <x v="3"/>
    <n v="0.45000000000000007"/>
    <n v="3250"/>
    <n v="1462.5000000000002"/>
    <n v="511.87500000000006"/>
    <n v="0.35"/>
  </r>
  <r>
    <m/>
    <x v="2"/>
    <n v="1128299"/>
    <x v="154"/>
    <x v="2"/>
    <x v="21"/>
    <s v="Salt Lake City"/>
    <x v="4"/>
    <n v="0.55000000000000004"/>
    <n v="3000"/>
    <n v="1650.0000000000002"/>
    <n v="660.00000000000011"/>
    <n v="0.4"/>
  </r>
  <r>
    <m/>
    <x v="2"/>
    <n v="1128299"/>
    <x v="154"/>
    <x v="2"/>
    <x v="21"/>
    <s v="Salt Lake City"/>
    <x v="5"/>
    <n v="0.60000000000000009"/>
    <n v="3500"/>
    <n v="2100.0000000000005"/>
    <n v="630.00000000000011"/>
    <n v="0.3"/>
  </r>
  <r>
    <m/>
    <x v="2"/>
    <n v="1128299"/>
    <x v="155"/>
    <x v="2"/>
    <x v="21"/>
    <s v="Salt Lake City"/>
    <x v="0"/>
    <n v="0.45000000000000007"/>
    <n v="5750"/>
    <n v="2587.5000000000005"/>
    <n v="905.62500000000011"/>
    <n v="0.35"/>
  </r>
  <r>
    <m/>
    <x v="2"/>
    <n v="1128299"/>
    <x v="155"/>
    <x v="2"/>
    <x v="21"/>
    <s v="Salt Lake City"/>
    <x v="1"/>
    <n v="0.50000000000000011"/>
    <n v="6500"/>
    <n v="3250.0000000000009"/>
    <n v="1137.5000000000002"/>
    <n v="0.35"/>
  </r>
  <r>
    <m/>
    <x v="2"/>
    <n v="1128299"/>
    <x v="155"/>
    <x v="2"/>
    <x v="21"/>
    <s v="Salt Lake City"/>
    <x v="2"/>
    <n v="0.45000000000000007"/>
    <n v="4750"/>
    <n v="2137.5000000000005"/>
    <n v="748.12500000000011"/>
    <n v="0.35"/>
  </r>
  <r>
    <m/>
    <x v="2"/>
    <n v="1128299"/>
    <x v="155"/>
    <x v="2"/>
    <x v="21"/>
    <s v="Salt Lake City"/>
    <x v="3"/>
    <n v="0.55000000000000016"/>
    <n v="4500"/>
    <n v="2475.0000000000009"/>
    <n v="866.25000000000023"/>
    <n v="0.35"/>
  </r>
  <r>
    <m/>
    <x v="2"/>
    <n v="1128299"/>
    <x v="155"/>
    <x v="2"/>
    <x v="21"/>
    <s v="Salt Lake City"/>
    <x v="4"/>
    <n v="0.75000000000000011"/>
    <n v="4250"/>
    <n v="3187.5000000000005"/>
    <n v="1275.0000000000002"/>
    <n v="0.4"/>
  </r>
  <r>
    <m/>
    <x v="2"/>
    <n v="1128299"/>
    <x v="155"/>
    <x v="2"/>
    <x v="21"/>
    <s v="Salt Lake City"/>
    <x v="5"/>
    <n v="0.80000000000000016"/>
    <n v="5500"/>
    <n v="4400.0000000000009"/>
    <n v="1320.0000000000002"/>
    <n v="0.3"/>
  </r>
  <r>
    <m/>
    <x v="2"/>
    <n v="1128299"/>
    <x v="156"/>
    <x v="2"/>
    <x v="21"/>
    <s v="Salt Lake City"/>
    <x v="0"/>
    <n v="0.65000000000000013"/>
    <n v="7500"/>
    <n v="4875.0000000000009"/>
    <n v="1706.2500000000002"/>
    <n v="0.35"/>
  </r>
  <r>
    <m/>
    <x v="2"/>
    <n v="1128299"/>
    <x v="156"/>
    <x v="2"/>
    <x v="21"/>
    <s v="Salt Lake City"/>
    <x v="1"/>
    <n v="0.75000000000000022"/>
    <n v="7500"/>
    <n v="5625.0000000000018"/>
    <n v="1968.7500000000005"/>
    <n v="0.35"/>
  </r>
  <r>
    <m/>
    <x v="2"/>
    <n v="1128299"/>
    <x v="156"/>
    <x v="2"/>
    <x v="21"/>
    <s v="Salt Lake City"/>
    <x v="2"/>
    <n v="0.70000000000000018"/>
    <n v="5500"/>
    <n v="3850.0000000000009"/>
    <n v="1347.5000000000002"/>
    <n v="0.35"/>
  </r>
  <r>
    <m/>
    <x v="2"/>
    <n v="1128299"/>
    <x v="156"/>
    <x v="2"/>
    <x v="21"/>
    <s v="Salt Lake City"/>
    <x v="3"/>
    <n v="0.70000000000000018"/>
    <n v="5500"/>
    <n v="3850.0000000000009"/>
    <n v="1347.5000000000002"/>
    <n v="0.35"/>
  </r>
  <r>
    <m/>
    <x v="2"/>
    <n v="1128299"/>
    <x v="156"/>
    <x v="2"/>
    <x v="21"/>
    <s v="Salt Lake City"/>
    <x v="4"/>
    <n v="0.80000000000000016"/>
    <n v="4750"/>
    <n v="3800.0000000000009"/>
    <n v="1520.0000000000005"/>
    <n v="0.4"/>
  </r>
  <r>
    <m/>
    <x v="2"/>
    <n v="1128299"/>
    <x v="156"/>
    <x v="2"/>
    <x v="21"/>
    <s v="Salt Lake City"/>
    <x v="5"/>
    <n v="0.8500000000000002"/>
    <n v="5750"/>
    <n v="4887.5000000000009"/>
    <n v="1466.2500000000002"/>
    <n v="0.3"/>
  </r>
  <r>
    <s v="x"/>
    <x v="2"/>
    <n v="1128299"/>
    <x v="102"/>
    <x v="2"/>
    <x v="22"/>
    <s v="Portland"/>
    <x v="0"/>
    <n v="0.35000000000000003"/>
    <n v="4000"/>
    <n v="1400.0000000000002"/>
    <n v="560"/>
    <n v="0.39999999999999997"/>
  </r>
  <r>
    <m/>
    <x v="2"/>
    <n v="1128299"/>
    <x v="102"/>
    <x v="2"/>
    <x v="22"/>
    <s v="Portland"/>
    <x v="1"/>
    <n v="0.45"/>
    <n v="4000"/>
    <n v="1800"/>
    <n v="719.99999999999989"/>
    <n v="0.39999999999999997"/>
  </r>
  <r>
    <m/>
    <x v="2"/>
    <n v="1128299"/>
    <x v="102"/>
    <x v="2"/>
    <x v="22"/>
    <s v="Portland"/>
    <x v="2"/>
    <n v="0.45"/>
    <n v="4000"/>
    <n v="1800"/>
    <n v="719.99999999999989"/>
    <n v="0.39999999999999997"/>
  </r>
  <r>
    <m/>
    <x v="2"/>
    <n v="1128299"/>
    <x v="102"/>
    <x v="2"/>
    <x v="22"/>
    <s v="Portland"/>
    <x v="3"/>
    <n v="0.45"/>
    <n v="2500"/>
    <n v="1125"/>
    <n v="449.99999999999994"/>
    <n v="0.39999999999999997"/>
  </r>
  <r>
    <m/>
    <x v="2"/>
    <n v="1128299"/>
    <x v="102"/>
    <x v="2"/>
    <x v="22"/>
    <s v="Portland"/>
    <x v="4"/>
    <n v="0.50000000000000011"/>
    <n v="2000"/>
    <n v="1000.0000000000002"/>
    <n v="450.00000000000011"/>
    <n v="0.45"/>
  </r>
  <r>
    <m/>
    <x v="2"/>
    <n v="1128299"/>
    <x v="102"/>
    <x v="2"/>
    <x v="22"/>
    <s v="Portland"/>
    <x v="5"/>
    <n v="0.45"/>
    <n v="4500"/>
    <n v="2025"/>
    <n v="708.75"/>
    <n v="0.35"/>
  </r>
  <r>
    <m/>
    <x v="2"/>
    <n v="1128299"/>
    <x v="103"/>
    <x v="2"/>
    <x v="22"/>
    <s v="Portland"/>
    <x v="0"/>
    <n v="0.35000000000000003"/>
    <n v="5000"/>
    <n v="1750.0000000000002"/>
    <n v="700"/>
    <n v="0.39999999999999997"/>
  </r>
  <r>
    <m/>
    <x v="2"/>
    <n v="1128299"/>
    <x v="103"/>
    <x v="2"/>
    <x v="22"/>
    <s v="Portland"/>
    <x v="1"/>
    <n v="0.45"/>
    <n v="4000"/>
    <n v="1800"/>
    <n v="719.99999999999989"/>
    <n v="0.39999999999999997"/>
  </r>
  <r>
    <m/>
    <x v="2"/>
    <n v="1128299"/>
    <x v="103"/>
    <x v="2"/>
    <x v="22"/>
    <s v="Portland"/>
    <x v="2"/>
    <n v="0.45"/>
    <n v="4000"/>
    <n v="1800"/>
    <n v="719.99999999999989"/>
    <n v="0.39999999999999997"/>
  </r>
  <r>
    <m/>
    <x v="2"/>
    <n v="1128299"/>
    <x v="103"/>
    <x v="2"/>
    <x v="22"/>
    <s v="Portland"/>
    <x v="3"/>
    <n v="0.45"/>
    <n v="2500"/>
    <n v="1125"/>
    <n v="449.99999999999994"/>
    <n v="0.39999999999999997"/>
  </r>
  <r>
    <m/>
    <x v="2"/>
    <n v="1128299"/>
    <x v="103"/>
    <x v="2"/>
    <x v="22"/>
    <s v="Portland"/>
    <x v="4"/>
    <n v="0.50000000000000011"/>
    <n v="1750"/>
    <n v="875.00000000000023"/>
    <n v="393.75000000000011"/>
    <n v="0.45"/>
  </r>
  <r>
    <m/>
    <x v="2"/>
    <n v="1128299"/>
    <x v="103"/>
    <x v="2"/>
    <x v="22"/>
    <s v="Portland"/>
    <x v="5"/>
    <n v="0.45"/>
    <n v="3750"/>
    <n v="1687.5"/>
    <n v="590.625"/>
    <n v="0.35"/>
  </r>
  <r>
    <m/>
    <x v="2"/>
    <n v="1128299"/>
    <x v="104"/>
    <x v="2"/>
    <x v="22"/>
    <s v="Portland"/>
    <x v="0"/>
    <n v="0.45"/>
    <n v="5250"/>
    <n v="2362.5"/>
    <n v="944.99999999999989"/>
    <n v="0.39999999999999997"/>
  </r>
  <r>
    <m/>
    <x v="2"/>
    <n v="1128299"/>
    <x v="104"/>
    <x v="2"/>
    <x v="22"/>
    <s v="Portland"/>
    <x v="1"/>
    <n v="0.55000000000000004"/>
    <n v="3750"/>
    <n v="2062.5"/>
    <n v="824.99999999999989"/>
    <n v="0.39999999999999997"/>
  </r>
  <r>
    <m/>
    <x v="2"/>
    <n v="1128299"/>
    <x v="104"/>
    <x v="2"/>
    <x v="22"/>
    <s v="Portland"/>
    <x v="2"/>
    <n v="0.6"/>
    <n v="4000"/>
    <n v="2400"/>
    <n v="959.99999999999989"/>
    <n v="0.39999999999999997"/>
  </r>
  <r>
    <m/>
    <x v="2"/>
    <n v="1128299"/>
    <x v="104"/>
    <x v="2"/>
    <x v="22"/>
    <s v="Portland"/>
    <x v="3"/>
    <n v="0.55000000000000004"/>
    <n v="3000"/>
    <n v="1650.0000000000002"/>
    <n v="660"/>
    <n v="0.39999999999999997"/>
  </r>
  <r>
    <m/>
    <x v="2"/>
    <n v="1128299"/>
    <x v="104"/>
    <x v="2"/>
    <x v="22"/>
    <s v="Portland"/>
    <x v="4"/>
    <n v="0.60000000000000009"/>
    <n v="1500"/>
    <n v="900.00000000000011"/>
    <n v="405.00000000000006"/>
    <n v="0.45"/>
  </r>
  <r>
    <m/>
    <x v="2"/>
    <n v="1128299"/>
    <x v="104"/>
    <x v="2"/>
    <x v="22"/>
    <s v="Portland"/>
    <x v="5"/>
    <n v="0.45"/>
    <n v="3500"/>
    <n v="1575"/>
    <n v="551.25"/>
    <n v="0.35"/>
  </r>
  <r>
    <m/>
    <x v="2"/>
    <n v="1128299"/>
    <x v="105"/>
    <x v="2"/>
    <x v="22"/>
    <s v="Portland"/>
    <x v="0"/>
    <n v="0.5"/>
    <n v="5250"/>
    <n v="2625"/>
    <n v="1050"/>
    <n v="0.39999999999999997"/>
  </r>
  <r>
    <m/>
    <x v="2"/>
    <n v="1128299"/>
    <x v="105"/>
    <x v="2"/>
    <x v="22"/>
    <s v="Portland"/>
    <x v="1"/>
    <n v="0.55000000000000004"/>
    <n v="3250"/>
    <n v="1787.5000000000002"/>
    <n v="715"/>
    <n v="0.39999999999999997"/>
  </r>
  <r>
    <m/>
    <x v="2"/>
    <n v="1128299"/>
    <x v="105"/>
    <x v="2"/>
    <x v="22"/>
    <s v="Portland"/>
    <x v="2"/>
    <n v="0.55000000000000004"/>
    <n v="3750"/>
    <n v="2062.5"/>
    <n v="824.99999999999989"/>
    <n v="0.39999999999999997"/>
  </r>
  <r>
    <m/>
    <x v="2"/>
    <n v="1128299"/>
    <x v="105"/>
    <x v="2"/>
    <x v="22"/>
    <s v="Portland"/>
    <x v="3"/>
    <n v="0.40000000000000008"/>
    <n v="2750"/>
    <n v="1100.0000000000002"/>
    <n v="440.00000000000006"/>
    <n v="0.39999999999999997"/>
  </r>
  <r>
    <m/>
    <x v="2"/>
    <n v="1128299"/>
    <x v="105"/>
    <x v="2"/>
    <x v="22"/>
    <s v="Portland"/>
    <x v="4"/>
    <n v="0.45000000000000012"/>
    <n v="1750"/>
    <n v="787.50000000000023"/>
    <n v="354.37500000000011"/>
    <n v="0.45"/>
  </r>
  <r>
    <m/>
    <x v="2"/>
    <n v="1128299"/>
    <x v="105"/>
    <x v="2"/>
    <x v="22"/>
    <s v="Portland"/>
    <x v="5"/>
    <n v="0.60000000000000009"/>
    <n v="3500"/>
    <n v="2100.0000000000005"/>
    <n v="735.00000000000011"/>
    <n v="0.35"/>
  </r>
  <r>
    <m/>
    <x v="2"/>
    <n v="1128299"/>
    <x v="106"/>
    <x v="2"/>
    <x v="22"/>
    <s v="Portland"/>
    <x v="0"/>
    <n v="0.45"/>
    <n v="5500"/>
    <n v="2475"/>
    <n v="989.99999999999989"/>
    <n v="0.39999999999999997"/>
  </r>
  <r>
    <m/>
    <x v="2"/>
    <n v="1128299"/>
    <x v="106"/>
    <x v="2"/>
    <x v="22"/>
    <s v="Portland"/>
    <x v="1"/>
    <n v="0.5"/>
    <n v="4000"/>
    <n v="2000"/>
    <n v="799.99999999999989"/>
    <n v="0.39999999999999997"/>
  </r>
  <r>
    <m/>
    <x v="2"/>
    <n v="1128299"/>
    <x v="106"/>
    <x v="2"/>
    <x v="22"/>
    <s v="Portland"/>
    <x v="2"/>
    <n v="0.5"/>
    <n v="4000"/>
    <n v="2000"/>
    <n v="799.99999999999989"/>
    <n v="0.39999999999999997"/>
  </r>
  <r>
    <m/>
    <x v="2"/>
    <n v="1128299"/>
    <x v="106"/>
    <x v="2"/>
    <x v="22"/>
    <s v="Portland"/>
    <x v="3"/>
    <n v="0.45"/>
    <n v="3250"/>
    <n v="1462.5"/>
    <n v="585"/>
    <n v="0.39999999999999997"/>
  </r>
  <r>
    <m/>
    <x v="2"/>
    <n v="1128299"/>
    <x v="106"/>
    <x v="2"/>
    <x v="22"/>
    <s v="Portland"/>
    <x v="4"/>
    <n v="0.39999999999999997"/>
    <n v="2250"/>
    <n v="899.99999999999989"/>
    <n v="404.99999999999994"/>
    <n v="0.45"/>
  </r>
  <r>
    <m/>
    <x v="2"/>
    <n v="1128299"/>
    <x v="106"/>
    <x v="2"/>
    <x v="22"/>
    <s v="Portland"/>
    <x v="5"/>
    <n v="0.65"/>
    <n v="5750"/>
    <n v="3737.5"/>
    <n v="1308.125"/>
    <n v="0.35"/>
  </r>
  <r>
    <m/>
    <x v="2"/>
    <n v="1128299"/>
    <x v="107"/>
    <x v="2"/>
    <x v="22"/>
    <s v="Portland"/>
    <x v="0"/>
    <n v="0.6"/>
    <n v="8250"/>
    <n v="4950"/>
    <n v="1979.9999999999998"/>
    <n v="0.39999999999999997"/>
  </r>
  <r>
    <m/>
    <x v="2"/>
    <n v="1128299"/>
    <x v="107"/>
    <x v="2"/>
    <x v="22"/>
    <s v="Portland"/>
    <x v="1"/>
    <n v="0.7"/>
    <n v="7000"/>
    <n v="4900"/>
    <n v="1959.9999999999998"/>
    <n v="0.39999999999999997"/>
  </r>
  <r>
    <m/>
    <x v="2"/>
    <n v="1128299"/>
    <x v="107"/>
    <x v="2"/>
    <x v="22"/>
    <s v="Portland"/>
    <x v="2"/>
    <n v="0.85"/>
    <n v="7000"/>
    <n v="5950"/>
    <n v="2380"/>
    <n v="0.39999999999999997"/>
  </r>
  <r>
    <m/>
    <x v="2"/>
    <n v="1128299"/>
    <x v="107"/>
    <x v="2"/>
    <x v="22"/>
    <s v="Portland"/>
    <x v="3"/>
    <n v="0.85"/>
    <n v="5750"/>
    <n v="4887.5"/>
    <n v="1954.9999999999998"/>
    <n v="0.39999999999999997"/>
  </r>
  <r>
    <m/>
    <x v="2"/>
    <n v="1128299"/>
    <x v="107"/>
    <x v="2"/>
    <x v="22"/>
    <s v="Portland"/>
    <x v="4"/>
    <n v="0.95000000000000007"/>
    <n v="4500"/>
    <n v="4275"/>
    <n v="1923.75"/>
    <n v="0.45"/>
  </r>
  <r>
    <m/>
    <x v="2"/>
    <n v="1128299"/>
    <x v="107"/>
    <x v="2"/>
    <x v="22"/>
    <s v="Portland"/>
    <x v="5"/>
    <n v="1.1000000000000001"/>
    <n v="7500"/>
    <n v="8250"/>
    <n v="2887.5"/>
    <n v="0.35"/>
  </r>
  <r>
    <m/>
    <x v="2"/>
    <n v="1128299"/>
    <x v="108"/>
    <x v="2"/>
    <x v="22"/>
    <s v="Portland"/>
    <x v="0"/>
    <n v="0.9"/>
    <n v="9000"/>
    <n v="8100"/>
    <n v="3239.9999999999995"/>
    <n v="0.39999999999999997"/>
  </r>
  <r>
    <m/>
    <x v="2"/>
    <n v="1128299"/>
    <x v="108"/>
    <x v="2"/>
    <x v="22"/>
    <s v="Portland"/>
    <x v="1"/>
    <n v="0.95000000000000007"/>
    <n v="7500"/>
    <n v="7125.0000000000009"/>
    <n v="2850"/>
    <n v="0.39999999999999997"/>
  </r>
  <r>
    <m/>
    <x v="2"/>
    <n v="1128299"/>
    <x v="108"/>
    <x v="2"/>
    <x v="22"/>
    <s v="Portland"/>
    <x v="2"/>
    <n v="0.95000000000000007"/>
    <n v="7000"/>
    <n v="6650.0000000000009"/>
    <n v="2660"/>
    <n v="0.39999999999999997"/>
  </r>
  <r>
    <m/>
    <x v="2"/>
    <n v="1128299"/>
    <x v="108"/>
    <x v="2"/>
    <x v="22"/>
    <s v="Portland"/>
    <x v="3"/>
    <n v="0.9"/>
    <n v="6000"/>
    <n v="5400"/>
    <n v="2160"/>
    <n v="0.39999999999999997"/>
  </r>
  <r>
    <m/>
    <x v="2"/>
    <n v="1128299"/>
    <x v="108"/>
    <x v="2"/>
    <x v="22"/>
    <s v="Portland"/>
    <x v="4"/>
    <n v="0.95000000000000007"/>
    <n v="6500"/>
    <n v="6175"/>
    <n v="2778.75"/>
    <n v="0.45"/>
  </r>
  <r>
    <m/>
    <x v="2"/>
    <n v="1128299"/>
    <x v="108"/>
    <x v="2"/>
    <x v="22"/>
    <s v="Portland"/>
    <x v="5"/>
    <n v="1.1000000000000001"/>
    <n v="6500"/>
    <n v="7150.0000000000009"/>
    <n v="2502.5"/>
    <n v="0.35"/>
  </r>
  <r>
    <m/>
    <x v="2"/>
    <n v="1128299"/>
    <x v="109"/>
    <x v="2"/>
    <x v="22"/>
    <s v="Portland"/>
    <x v="0"/>
    <n v="0.95000000000000007"/>
    <n v="8500"/>
    <n v="8075.0000000000009"/>
    <n v="3230"/>
    <n v="0.39999999999999997"/>
  </r>
  <r>
    <m/>
    <x v="2"/>
    <n v="1128299"/>
    <x v="109"/>
    <x v="2"/>
    <x v="22"/>
    <s v="Portland"/>
    <x v="1"/>
    <n v="0.85000000000000009"/>
    <n v="8250"/>
    <n v="7012.5000000000009"/>
    <n v="2805"/>
    <n v="0.39999999999999997"/>
  </r>
  <r>
    <m/>
    <x v="2"/>
    <n v="1128299"/>
    <x v="109"/>
    <x v="2"/>
    <x v="22"/>
    <s v="Portland"/>
    <x v="2"/>
    <n v="0.75000000000000011"/>
    <n v="7000"/>
    <n v="5250.0000000000009"/>
    <n v="2100"/>
    <n v="0.39999999999999997"/>
  </r>
  <r>
    <m/>
    <x v="2"/>
    <n v="1128299"/>
    <x v="109"/>
    <x v="2"/>
    <x v="22"/>
    <s v="Portland"/>
    <x v="3"/>
    <n v="0.75000000000000011"/>
    <n v="4750"/>
    <n v="3562.5000000000005"/>
    <n v="1425"/>
    <n v="0.39999999999999997"/>
  </r>
  <r>
    <m/>
    <x v="2"/>
    <n v="1128299"/>
    <x v="109"/>
    <x v="2"/>
    <x v="22"/>
    <s v="Portland"/>
    <x v="4"/>
    <n v="0.64999999999999991"/>
    <n v="4750"/>
    <n v="3087.4999999999995"/>
    <n v="1389.3749999999998"/>
    <n v="0.45"/>
  </r>
  <r>
    <m/>
    <x v="2"/>
    <n v="1128299"/>
    <x v="109"/>
    <x v="2"/>
    <x v="22"/>
    <s v="Portland"/>
    <x v="5"/>
    <n v="0.7"/>
    <n v="3000"/>
    <n v="2100"/>
    <n v="735"/>
    <n v="0.35"/>
  </r>
  <r>
    <m/>
    <x v="2"/>
    <n v="1128299"/>
    <x v="110"/>
    <x v="2"/>
    <x v="22"/>
    <s v="Portland"/>
    <x v="0"/>
    <n v="0.45000000000000012"/>
    <n v="5000"/>
    <n v="2250.0000000000005"/>
    <n v="900.00000000000011"/>
    <n v="0.39999999999999997"/>
  </r>
  <r>
    <m/>
    <x v="2"/>
    <n v="1128299"/>
    <x v="110"/>
    <x v="2"/>
    <x v="22"/>
    <s v="Portland"/>
    <x v="1"/>
    <n v="0.50000000000000011"/>
    <n v="5000"/>
    <n v="2500.0000000000005"/>
    <n v="1000.0000000000001"/>
    <n v="0.39999999999999997"/>
  </r>
  <r>
    <m/>
    <x v="2"/>
    <n v="1128299"/>
    <x v="110"/>
    <x v="2"/>
    <x v="22"/>
    <s v="Portland"/>
    <x v="2"/>
    <n v="0.45000000000000012"/>
    <n v="3000"/>
    <n v="1350.0000000000005"/>
    <n v="540.00000000000011"/>
    <n v="0.39999999999999997"/>
  </r>
  <r>
    <m/>
    <x v="2"/>
    <n v="1128299"/>
    <x v="110"/>
    <x v="2"/>
    <x v="22"/>
    <s v="Portland"/>
    <x v="3"/>
    <n v="0.45000000000000012"/>
    <n v="2500"/>
    <n v="1125.0000000000002"/>
    <n v="450.00000000000006"/>
    <n v="0.39999999999999997"/>
  </r>
  <r>
    <m/>
    <x v="2"/>
    <n v="1128299"/>
    <x v="110"/>
    <x v="2"/>
    <x v="22"/>
    <s v="Portland"/>
    <x v="4"/>
    <n v="0.55000000000000004"/>
    <n v="2750"/>
    <n v="1512.5000000000002"/>
    <n v="680.62500000000011"/>
    <n v="0.45"/>
  </r>
  <r>
    <m/>
    <x v="2"/>
    <n v="1128299"/>
    <x v="110"/>
    <x v="2"/>
    <x v="22"/>
    <s v="Portland"/>
    <x v="5"/>
    <n v="0.39999999999999997"/>
    <n v="3000"/>
    <n v="1200"/>
    <n v="420"/>
    <n v="0.35"/>
  </r>
  <r>
    <m/>
    <x v="2"/>
    <n v="1128299"/>
    <x v="111"/>
    <x v="2"/>
    <x v="22"/>
    <s v="Portland"/>
    <x v="0"/>
    <n v="0.35000000000000003"/>
    <n v="4000"/>
    <n v="1400.0000000000002"/>
    <n v="560"/>
    <n v="0.39999999999999997"/>
  </r>
  <r>
    <m/>
    <x v="2"/>
    <n v="1128299"/>
    <x v="111"/>
    <x v="2"/>
    <x v="22"/>
    <s v="Portland"/>
    <x v="1"/>
    <n v="0.50000000000000011"/>
    <n v="5750"/>
    <n v="2875.0000000000005"/>
    <n v="1150"/>
    <n v="0.39999999999999997"/>
  </r>
  <r>
    <m/>
    <x v="2"/>
    <n v="1128299"/>
    <x v="111"/>
    <x v="2"/>
    <x v="22"/>
    <s v="Portland"/>
    <x v="2"/>
    <n v="0.45000000000000012"/>
    <n v="4000"/>
    <n v="1800.0000000000005"/>
    <n v="720.00000000000011"/>
    <n v="0.39999999999999997"/>
  </r>
  <r>
    <m/>
    <x v="2"/>
    <n v="1128299"/>
    <x v="111"/>
    <x v="2"/>
    <x v="22"/>
    <s v="Portland"/>
    <x v="3"/>
    <n v="0.40000000000000008"/>
    <n v="3750"/>
    <n v="1500.0000000000002"/>
    <n v="600"/>
    <n v="0.39999999999999997"/>
  </r>
  <r>
    <m/>
    <x v="2"/>
    <n v="1128299"/>
    <x v="111"/>
    <x v="2"/>
    <x v="22"/>
    <s v="Portland"/>
    <x v="4"/>
    <n v="0.5"/>
    <n v="3500"/>
    <n v="1750"/>
    <n v="787.5"/>
    <n v="0.45"/>
  </r>
  <r>
    <m/>
    <x v="2"/>
    <n v="1128299"/>
    <x v="111"/>
    <x v="2"/>
    <x v="22"/>
    <s v="Portland"/>
    <x v="5"/>
    <n v="0.55000000000000004"/>
    <n v="4000"/>
    <n v="2200"/>
    <n v="770"/>
    <n v="0.35"/>
  </r>
  <r>
    <m/>
    <x v="2"/>
    <n v="1128299"/>
    <x v="112"/>
    <x v="2"/>
    <x v="22"/>
    <s v="Portland"/>
    <x v="0"/>
    <n v="0.40000000000000008"/>
    <n v="6250"/>
    <n v="2500.0000000000005"/>
    <n v="1000.0000000000001"/>
    <n v="0.39999999999999997"/>
  </r>
  <r>
    <m/>
    <x v="2"/>
    <n v="1128299"/>
    <x v="112"/>
    <x v="2"/>
    <x v="22"/>
    <s v="Portland"/>
    <x v="1"/>
    <n v="0.45000000000000012"/>
    <n v="7000"/>
    <n v="3150.0000000000009"/>
    <n v="1260.0000000000002"/>
    <n v="0.39999999999999997"/>
  </r>
  <r>
    <m/>
    <x v="2"/>
    <n v="1128299"/>
    <x v="112"/>
    <x v="2"/>
    <x v="22"/>
    <s v="Portland"/>
    <x v="2"/>
    <n v="0.40000000000000008"/>
    <n v="5250"/>
    <n v="2100.0000000000005"/>
    <n v="840.00000000000011"/>
    <n v="0.39999999999999997"/>
  </r>
  <r>
    <m/>
    <x v="2"/>
    <n v="1128299"/>
    <x v="112"/>
    <x v="2"/>
    <x v="22"/>
    <s v="Portland"/>
    <x v="3"/>
    <n v="0.50000000000000011"/>
    <n v="5000"/>
    <n v="2500.0000000000005"/>
    <n v="1000.0000000000001"/>
    <n v="0.39999999999999997"/>
  </r>
  <r>
    <m/>
    <x v="2"/>
    <n v="1128299"/>
    <x v="112"/>
    <x v="2"/>
    <x v="22"/>
    <s v="Portland"/>
    <x v="4"/>
    <n v="0.70000000000000007"/>
    <n v="4750"/>
    <n v="3325.0000000000005"/>
    <n v="1496.2500000000002"/>
    <n v="0.45"/>
  </r>
  <r>
    <m/>
    <x v="2"/>
    <n v="1128299"/>
    <x v="112"/>
    <x v="2"/>
    <x v="22"/>
    <s v="Portland"/>
    <x v="5"/>
    <n v="0.8500000000000002"/>
    <n v="6000"/>
    <n v="5100.0000000000009"/>
    <n v="1785.0000000000002"/>
    <n v="0.35"/>
  </r>
  <r>
    <m/>
    <x v="2"/>
    <n v="1128299"/>
    <x v="113"/>
    <x v="2"/>
    <x v="22"/>
    <s v="Portland"/>
    <x v="0"/>
    <n v="0.70000000000000018"/>
    <n v="8000"/>
    <n v="5600.0000000000018"/>
    <n v="2240.0000000000005"/>
    <n v="0.39999999999999997"/>
  </r>
  <r>
    <m/>
    <x v="2"/>
    <n v="1128299"/>
    <x v="113"/>
    <x v="2"/>
    <x v="22"/>
    <s v="Portland"/>
    <x v="1"/>
    <n v="0.80000000000000027"/>
    <n v="8000"/>
    <n v="6400.0000000000018"/>
    <n v="2560.0000000000005"/>
    <n v="0.39999999999999997"/>
  </r>
  <r>
    <m/>
    <x v="2"/>
    <n v="1128299"/>
    <x v="113"/>
    <x v="2"/>
    <x v="22"/>
    <s v="Portland"/>
    <x v="2"/>
    <n v="0.75000000000000022"/>
    <n v="6000"/>
    <n v="4500.0000000000009"/>
    <n v="1800.0000000000002"/>
    <n v="0.39999999999999997"/>
  </r>
  <r>
    <m/>
    <x v="2"/>
    <n v="1128299"/>
    <x v="113"/>
    <x v="2"/>
    <x v="22"/>
    <s v="Portland"/>
    <x v="3"/>
    <n v="0.75000000000000022"/>
    <n v="6000"/>
    <n v="4500.0000000000009"/>
    <n v="1800.0000000000002"/>
    <n v="0.39999999999999997"/>
  </r>
  <r>
    <m/>
    <x v="2"/>
    <n v="1128299"/>
    <x v="113"/>
    <x v="2"/>
    <x v="22"/>
    <s v="Portland"/>
    <x v="4"/>
    <n v="0.8500000000000002"/>
    <n v="5250"/>
    <n v="4462.5000000000009"/>
    <n v="2008.1250000000005"/>
    <n v="0.45"/>
  </r>
  <r>
    <m/>
    <x v="2"/>
    <n v="1128299"/>
    <x v="113"/>
    <x v="2"/>
    <x v="22"/>
    <s v="Portland"/>
    <x v="5"/>
    <n v="0.90000000000000024"/>
    <n v="6250"/>
    <n v="5625.0000000000018"/>
    <n v="1968.7500000000005"/>
    <n v="0.35"/>
  </r>
  <r>
    <s v="x"/>
    <x v="1"/>
    <n v="1197831"/>
    <x v="58"/>
    <x v="1"/>
    <x v="23"/>
    <s v="New Orleans"/>
    <x v="0"/>
    <n v="0.2"/>
    <n v="6750"/>
    <n v="1350"/>
    <n v="405"/>
    <n v="0.3"/>
  </r>
  <r>
    <m/>
    <x v="1"/>
    <n v="1197831"/>
    <x v="58"/>
    <x v="1"/>
    <x v="23"/>
    <s v="New Orleans"/>
    <x v="1"/>
    <n v="0.3"/>
    <n v="6750"/>
    <n v="2025"/>
    <n v="607.5"/>
    <n v="0.3"/>
  </r>
  <r>
    <m/>
    <x v="1"/>
    <n v="1197831"/>
    <x v="58"/>
    <x v="1"/>
    <x v="23"/>
    <s v="New Orleans"/>
    <x v="2"/>
    <n v="0.3"/>
    <n v="4750"/>
    <n v="1425"/>
    <n v="427.5"/>
    <n v="0.3"/>
  </r>
  <r>
    <m/>
    <x v="1"/>
    <n v="1197831"/>
    <x v="58"/>
    <x v="1"/>
    <x v="23"/>
    <s v="New Orleans"/>
    <x v="3"/>
    <n v="0.35"/>
    <n v="4750"/>
    <n v="1662.5"/>
    <n v="665"/>
    <n v="0.4"/>
  </r>
  <r>
    <m/>
    <x v="1"/>
    <n v="1197831"/>
    <x v="58"/>
    <x v="1"/>
    <x v="23"/>
    <s v="New Orleans"/>
    <x v="4"/>
    <n v="0.4"/>
    <n v="3250"/>
    <n v="1300"/>
    <n v="325"/>
    <n v="0.25"/>
  </r>
  <r>
    <m/>
    <x v="1"/>
    <n v="1197831"/>
    <x v="58"/>
    <x v="1"/>
    <x v="23"/>
    <s v="New Orleans"/>
    <x v="5"/>
    <n v="0.35"/>
    <n v="4750"/>
    <n v="1662.5"/>
    <n v="748.125"/>
    <n v="0.45"/>
  </r>
  <r>
    <m/>
    <x v="1"/>
    <n v="1197831"/>
    <x v="172"/>
    <x v="1"/>
    <x v="23"/>
    <s v="New Orleans"/>
    <x v="0"/>
    <n v="0.25"/>
    <n v="6250"/>
    <n v="1562.5"/>
    <n v="468.75"/>
    <n v="0.3"/>
  </r>
  <r>
    <m/>
    <x v="1"/>
    <n v="1197831"/>
    <x v="172"/>
    <x v="1"/>
    <x v="23"/>
    <s v="New Orleans"/>
    <x v="1"/>
    <n v="0.35"/>
    <n v="6000"/>
    <n v="2100"/>
    <n v="630"/>
    <n v="0.3"/>
  </r>
  <r>
    <m/>
    <x v="1"/>
    <n v="1197831"/>
    <x v="172"/>
    <x v="1"/>
    <x v="23"/>
    <s v="New Orleans"/>
    <x v="2"/>
    <n v="0.35"/>
    <n v="4250"/>
    <n v="1487.5"/>
    <n v="446.25"/>
    <n v="0.3"/>
  </r>
  <r>
    <m/>
    <x v="1"/>
    <n v="1197831"/>
    <x v="172"/>
    <x v="1"/>
    <x v="23"/>
    <s v="New Orleans"/>
    <x v="3"/>
    <n v="0.35"/>
    <n v="3750"/>
    <n v="1312.5"/>
    <n v="525"/>
    <n v="0.4"/>
  </r>
  <r>
    <m/>
    <x v="1"/>
    <n v="1197831"/>
    <x v="172"/>
    <x v="1"/>
    <x v="23"/>
    <s v="New Orleans"/>
    <x v="4"/>
    <n v="0.4"/>
    <n v="2500"/>
    <n v="1000"/>
    <n v="250"/>
    <n v="0.25"/>
  </r>
  <r>
    <m/>
    <x v="1"/>
    <n v="1197831"/>
    <x v="172"/>
    <x v="1"/>
    <x v="23"/>
    <s v="New Orleans"/>
    <x v="5"/>
    <n v="0.35"/>
    <n v="4500"/>
    <n v="1575"/>
    <n v="708.75"/>
    <n v="0.45"/>
  </r>
  <r>
    <m/>
    <x v="1"/>
    <n v="1197831"/>
    <x v="173"/>
    <x v="1"/>
    <x v="23"/>
    <s v="New Orleans"/>
    <x v="0"/>
    <n v="0.3"/>
    <n v="6250"/>
    <n v="1875"/>
    <n v="656.25"/>
    <n v="0.35"/>
  </r>
  <r>
    <m/>
    <x v="1"/>
    <n v="1197831"/>
    <x v="173"/>
    <x v="1"/>
    <x v="23"/>
    <s v="New Orleans"/>
    <x v="1"/>
    <n v="0.4"/>
    <n v="6250"/>
    <n v="2500"/>
    <n v="875"/>
    <n v="0.35"/>
  </r>
  <r>
    <m/>
    <x v="1"/>
    <n v="1197831"/>
    <x v="173"/>
    <x v="1"/>
    <x v="23"/>
    <s v="New Orleans"/>
    <x v="2"/>
    <n v="0.3"/>
    <n v="4500"/>
    <n v="1350"/>
    <n v="472.49999999999994"/>
    <n v="0.35"/>
  </r>
  <r>
    <m/>
    <x v="1"/>
    <n v="1197831"/>
    <x v="173"/>
    <x v="1"/>
    <x v="23"/>
    <s v="New Orleans"/>
    <x v="3"/>
    <n v="0.35000000000000003"/>
    <n v="3500"/>
    <n v="1225.0000000000002"/>
    <n v="551.25000000000011"/>
    <n v="0.45"/>
  </r>
  <r>
    <m/>
    <x v="1"/>
    <n v="1197831"/>
    <x v="173"/>
    <x v="1"/>
    <x v="23"/>
    <s v="New Orleans"/>
    <x v="4"/>
    <n v="0.4"/>
    <n v="2500"/>
    <n v="1000"/>
    <n v="300"/>
    <n v="0.3"/>
  </r>
  <r>
    <m/>
    <x v="1"/>
    <n v="1197831"/>
    <x v="173"/>
    <x v="1"/>
    <x v="23"/>
    <s v="New Orleans"/>
    <x v="5"/>
    <n v="0.35000000000000003"/>
    <n v="4000"/>
    <n v="1400.0000000000002"/>
    <n v="700.00000000000011"/>
    <n v="0.5"/>
  </r>
  <r>
    <m/>
    <x v="1"/>
    <n v="1197831"/>
    <x v="60"/>
    <x v="1"/>
    <x v="23"/>
    <s v="New Orleans"/>
    <x v="0"/>
    <n v="0.19999999999999998"/>
    <n v="6500"/>
    <n v="1300"/>
    <n v="454.99999999999994"/>
    <n v="0.35"/>
  </r>
  <r>
    <m/>
    <x v="1"/>
    <n v="1197831"/>
    <x v="60"/>
    <x v="1"/>
    <x v="23"/>
    <s v="New Orleans"/>
    <x v="1"/>
    <n v="0.30000000000000004"/>
    <n v="6500"/>
    <n v="1950.0000000000002"/>
    <n v="682.5"/>
    <n v="0.35"/>
  </r>
  <r>
    <m/>
    <x v="1"/>
    <n v="1197831"/>
    <x v="60"/>
    <x v="1"/>
    <x v="23"/>
    <s v="New Orleans"/>
    <x v="2"/>
    <n v="0.24999999999999997"/>
    <n v="4750"/>
    <n v="1187.4999999999998"/>
    <n v="415.62499999999989"/>
    <n v="0.35"/>
  </r>
  <r>
    <m/>
    <x v="1"/>
    <n v="1197831"/>
    <x v="60"/>
    <x v="1"/>
    <x v="23"/>
    <s v="New Orleans"/>
    <x v="3"/>
    <n v="0.30000000000000004"/>
    <n v="3750"/>
    <n v="1125.0000000000002"/>
    <n v="506.25000000000011"/>
    <n v="0.45"/>
  </r>
  <r>
    <m/>
    <x v="1"/>
    <n v="1197831"/>
    <x v="60"/>
    <x v="1"/>
    <x v="23"/>
    <s v="New Orleans"/>
    <x v="4"/>
    <n v="0.35"/>
    <n v="2750"/>
    <n v="962.49999999999989"/>
    <n v="288.74999999999994"/>
    <n v="0.3"/>
  </r>
  <r>
    <m/>
    <x v="1"/>
    <n v="1197831"/>
    <x v="60"/>
    <x v="1"/>
    <x v="23"/>
    <s v="New Orleans"/>
    <x v="5"/>
    <n v="0.30000000000000004"/>
    <n v="5500"/>
    <n v="1650.0000000000002"/>
    <n v="825.00000000000011"/>
    <n v="0.5"/>
  </r>
  <r>
    <m/>
    <x v="1"/>
    <n v="1197831"/>
    <x v="174"/>
    <x v="1"/>
    <x v="23"/>
    <s v="New Orleans"/>
    <x v="0"/>
    <n v="0.19999999999999998"/>
    <n v="7000"/>
    <n v="1399.9999999999998"/>
    <n v="489.99999999999989"/>
    <n v="0.35"/>
  </r>
  <r>
    <m/>
    <x v="1"/>
    <n v="1197831"/>
    <x v="174"/>
    <x v="1"/>
    <x v="23"/>
    <s v="New Orleans"/>
    <x v="1"/>
    <n v="0.30000000000000004"/>
    <n v="7250"/>
    <n v="2175.0000000000005"/>
    <n v="761.25000000000011"/>
    <n v="0.35"/>
  </r>
  <r>
    <m/>
    <x v="1"/>
    <n v="1197831"/>
    <x v="174"/>
    <x v="1"/>
    <x v="23"/>
    <s v="New Orleans"/>
    <x v="2"/>
    <n v="0.24999999999999997"/>
    <n v="5750"/>
    <n v="1437.4999999999998"/>
    <n v="503.12499999999989"/>
    <n v="0.35"/>
  </r>
  <r>
    <m/>
    <x v="1"/>
    <n v="1197831"/>
    <x v="174"/>
    <x v="1"/>
    <x v="23"/>
    <s v="New Orleans"/>
    <x v="3"/>
    <n v="0.35000000000000003"/>
    <n v="5000"/>
    <n v="1750.0000000000002"/>
    <n v="787.50000000000011"/>
    <n v="0.45"/>
  </r>
  <r>
    <m/>
    <x v="1"/>
    <n v="1197831"/>
    <x v="174"/>
    <x v="1"/>
    <x v="23"/>
    <s v="New Orleans"/>
    <x v="4"/>
    <n v="0.5"/>
    <n v="4000"/>
    <n v="2000"/>
    <n v="600"/>
    <n v="0.3"/>
  </r>
  <r>
    <m/>
    <x v="1"/>
    <n v="1197831"/>
    <x v="174"/>
    <x v="1"/>
    <x v="23"/>
    <s v="New Orleans"/>
    <x v="5"/>
    <n v="0.45"/>
    <n v="7500"/>
    <n v="3375"/>
    <n v="1687.5"/>
    <n v="0.5"/>
  </r>
  <r>
    <m/>
    <x v="1"/>
    <n v="1197831"/>
    <x v="175"/>
    <x v="1"/>
    <x v="23"/>
    <s v="New Orleans"/>
    <x v="0"/>
    <n v="0.45"/>
    <n v="7500"/>
    <n v="3375"/>
    <n v="1181.25"/>
    <n v="0.35"/>
  </r>
  <r>
    <m/>
    <x v="1"/>
    <n v="1197831"/>
    <x v="175"/>
    <x v="1"/>
    <x v="23"/>
    <s v="New Orleans"/>
    <x v="1"/>
    <n v="0.5"/>
    <n v="7500"/>
    <n v="3750"/>
    <n v="1312.5"/>
    <n v="0.35"/>
  </r>
  <r>
    <m/>
    <x v="1"/>
    <n v="1197831"/>
    <x v="175"/>
    <x v="1"/>
    <x v="23"/>
    <s v="New Orleans"/>
    <x v="2"/>
    <n v="0.5"/>
    <n v="6000"/>
    <n v="3000"/>
    <n v="1050"/>
    <n v="0.35"/>
  </r>
  <r>
    <m/>
    <x v="1"/>
    <n v="1197831"/>
    <x v="175"/>
    <x v="1"/>
    <x v="23"/>
    <s v="New Orleans"/>
    <x v="3"/>
    <n v="0.5"/>
    <n v="5500"/>
    <n v="2750"/>
    <n v="1237.5"/>
    <n v="0.45"/>
  </r>
  <r>
    <m/>
    <x v="1"/>
    <n v="1197831"/>
    <x v="175"/>
    <x v="1"/>
    <x v="23"/>
    <s v="New Orleans"/>
    <x v="4"/>
    <n v="0.55000000000000004"/>
    <n v="4500"/>
    <n v="2475"/>
    <n v="742.5"/>
    <n v="0.3"/>
  </r>
  <r>
    <m/>
    <x v="1"/>
    <n v="1197831"/>
    <x v="175"/>
    <x v="1"/>
    <x v="23"/>
    <s v="New Orleans"/>
    <x v="5"/>
    <n v="0.60000000000000009"/>
    <n v="8250"/>
    <n v="4950.0000000000009"/>
    <n v="2475.0000000000005"/>
    <n v="0.5"/>
  </r>
  <r>
    <m/>
    <x v="1"/>
    <n v="1197831"/>
    <x v="176"/>
    <x v="1"/>
    <x v="23"/>
    <s v="New Orleans"/>
    <x v="0"/>
    <n v="0.5"/>
    <n v="7750"/>
    <n v="3875"/>
    <n v="1549.9999999999998"/>
    <n v="0.39999999999999997"/>
  </r>
  <r>
    <m/>
    <x v="1"/>
    <n v="1197831"/>
    <x v="176"/>
    <x v="1"/>
    <x v="23"/>
    <s v="New Orleans"/>
    <x v="1"/>
    <n v="0.55000000000000004"/>
    <n v="7750"/>
    <n v="4262.5"/>
    <n v="1704.9999999999998"/>
    <n v="0.39999999999999997"/>
  </r>
  <r>
    <m/>
    <x v="1"/>
    <n v="1197831"/>
    <x v="176"/>
    <x v="1"/>
    <x v="23"/>
    <s v="New Orleans"/>
    <x v="2"/>
    <n v="0.5"/>
    <n v="9250"/>
    <n v="4625"/>
    <n v="1849.9999999999998"/>
    <n v="0.39999999999999997"/>
  </r>
  <r>
    <m/>
    <x v="1"/>
    <n v="1197831"/>
    <x v="176"/>
    <x v="1"/>
    <x v="23"/>
    <s v="New Orleans"/>
    <x v="3"/>
    <n v="0.5"/>
    <n v="5250"/>
    <n v="2625"/>
    <n v="1312.5"/>
    <n v="0.5"/>
  </r>
  <r>
    <m/>
    <x v="1"/>
    <n v="1197831"/>
    <x v="176"/>
    <x v="1"/>
    <x v="23"/>
    <s v="New Orleans"/>
    <x v="4"/>
    <n v="0.55000000000000004"/>
    <n v="5250"/>
    <n v="2887.5000000000005"/>
    <n v="1010.6250000000001"/>
    <n v="0.35"/>
  </r>
  <r>
    <m/>
    <x v="1"/>
    <n v="1197831"/>
    <x v="176"/>
    <x v="1"/>
    <x v="23"/>
    <s v="New Orleans"/>
    <x v="5"/>
    <n v="0.65"/>
    <n v="8000"/>
    <n v="5200"/>
    <n v="2860.0000000000005"/>
    <n v="0.55000000000000004"/>
  </r>
  <r>
    <m/>
    <x v="1"/>
    <n v="1197831"/>
    <x v="177"/>
    <x v="1"/>
    <x v="23"/>
    <s v="New Orleans"/>
    <x v="0"/>
    <n v="0.5"/>
    <n v="7500"/>
    <n v="3750"/>
    <n v="1499.9999999999998"/>
    <n v="0.39999999999999997"/>
  </r>
  <r>
    <m/>
    <x v="1"/>
    <n v="1197831"/>
    <x v="177"/>
    <x v="1"/>
    <x v="23"/>
    <s v="New Orleans"/>
    <x v="1"/>
    <n v="0.55000000000000004"/>
    <n v="7500"/>
    <n v="4125"/>
    <n v="1649.9999999999998"/>
    <n v="0.39999999999999997"/>
  </r>
  <r>
    <m/>
    <x v="1"/>
    <n v="1197831"/>
    <x v="177"/>
    <x v="1"/>
    <x v="23"/>
    <s v="New Orleans"/>
    <x v="2"/>
    <n v="0.5"/>
    <n v="9250"/>
    <n v="4625"/>
    <n v="1849.9999999999998"/>
    <n v="0.39999999999999997"/>
  </r>
  <r>
    <m/>
    <x v="1"/>
    <n v="1197831"/>
    <x v="177"/>
    <x v="1"/>
    <x v="23"/>
    <s v="New Orleans"/>
    <x v="3"/>
    <n v="0.5"/>
    <n v="4750"/>
    <n v="2375"/>
    <n v="1187.5"/>
    <n v="0.5"/>
  </r>
  <r>
    <m/>
    <x v="1"/>
    <n v="1197831"/>
    <x v="177"/>
    <x v="1"/>
    <x v="23"/>
    <s v="New Orleans"/>
    <x v="4"/>
    <n v="0.55000000000000004"/>
    <n v="4750"/>
    <n v="2612.5"/>
    <n v="914.37499999999989"/>
    <n v="0.35"/>
  </r>
  <r>
    <m/>
    <x v="1"/>
    <n v="1197831"/>
    <x v="177"/>
    <x v="1"/>
    <x v="23"/>
    <s v="New Orleans"/>
    <x v="5"/>
    <n v="0.6"/>
    <n v="7250"/>
    <n v="4350"/>
    <n v="2392.5"/>
    <n v="0.55000000000000004"/>
  </r>
  <r>
    <m/>
    <x v="1"/>
    <n v="1197831"/>
    <x v="178"/>
    <x v="1"/>
    <x v="23"/>
    <s v="New Orleans"/>
    <x v="0"/>
    <n v="0.55000000000000004"/>
    <n v="6750"/>
    <n v="3712.5000000000005"/>
    <n v="1485"/>
    <n v="0.39999999999999997"/>
  </r>
  <r>
    <m/>
    <x v="1"/>
    <n v="1197831"/>
    <x v="178"/>
    <x v="1"/>
    <x v="23"/>
    <s v="New Orleans"/>
    <x v="1"/>
    <n v="0.55000000000000004"/>
    <n v="6250"/>
    <n v="3437.5000000000005"/>
    <n v="1375"/>
    <n v="0.39999999999999997"/>
  </r>
  <r>
    <m/>
    <x v="1"/>
    <n v="1197831"/>
    <x v="178"/>
    <x v="1"/>
    <x v="23"/>
    <s v="New Orleans"/>
    <x v="2"/>
    <n v="0.6"/>
    <n v="6750"/>
    <n v="4050"/>
    <n v="1619.9999999999998"/>
    <n v="0.39999999999999997"/>
  </r>
  <r>
    <m/>
    <x v="1"/>
    <n v="1197831"/>
    <x v="178"/>
    <x v="1"/>
    <x v="23"/>
    <s v="New Orleans"/>
    <x v="3"/>
    <n v="0.6"/>
    <n v="4000"/>
    <n v="2400"/>
    <n v="1200"/>
    <n v="0.5"/>
  </r>
  <r>
    <m/>
    <x v="1"/>
    <n v="1197831"/>
    <x v="178"/>
    <x v="1"/>
    <x v="23"/>
    <s v="New Orleans"/>
    <x v="4"/>
    <n v="0.55000000000000004"/>
    <n v="4000"/>
    <n v="2200"/>
    <n v="770"/>
    <n v="0.35"/>
  </r>
  <r>
    <m/>
    <x v="1"/>
    <n v="1197831"/>
    <x v="178"/>
    <x v="1"/>
    <x v="23"/>
    <s v="New Orleans"/>
    <x v="5"/>
    <n v="0.5"/>
    <n v="6250"/>
    <n v="3125"/>
    <n v="1718.7500000000002"/>
    <n v="0.55000000000000004"/>
  </r>
  <r>
    <m/>
    <x v="1"/>
    <n v="1197831"/>
    <x v="179"/>
    <x v="1"/>
    <x v="23"/>
    <s v="New Orleans"/>
    <x v="0"/>
    <n v="0.4"/>
    <n v="5750"/>
    <n v="2300"/>
    <n v="919.99999999999989"/>
    <n v="0.39999999999999997"/>
  </r>
  <r>
    <m/>
    <x v="1"/>
    <n v="1197831"/>
    <x v="179"/>
    <x v="1"/>
    <x v="23"/>
    <s v="New Orleans"/>
    <x v="1"/>
    <n v="0.4"/>
    <n v="5750"/>
    <n v="2300"/>
    <n v="919.99999999999989"/>
    <n v="0.39999999999999997"/>
  </r>
  <r>
    <m/>
    <x v="1"/>
    <n v="1197831"/>
    <x v="179"/>
    <x v="1"/>
    <x v="23"/>
    <s v="New Orleans"/>
    <x v="2"/>
    <n v="0.45"/>
    <n v="5250"/>
    <n v="2362.5"/>
    <n v="944.99999999999989"/>
    <n v="0.39999999999999997"/>
  </r>
  <r>
    <m/>
    <x v="1"/>
    <n v="1197831"/>
    <x v="179"/>
    <x v="1"/>
    <x v="23"/>
    <s v="New Orleans"/>
    <x v="3"/>
    <n v="0.45"/>
    <n v="3750"/>
    <n v="1687.5"/>
    <n v="843.75"/>
    <n v="0.5"/>
  </r>
  <r>
    <m/>
    <x v="1"/>
    <n v="1197831"/>
    <x v="179"/>
    <x v="1"/>
    <x v="23"/>
    <s v="New Orleans"/>
    <x v="4"/>
    <n v="0.35000000000000003"/>
    <n v="3500"/>
    <n v="1225.0000000000002"/>
    <n v="428.75000000000006"/>
    <n v="0.35"/>
  </r>
  <r>
    <m/>
    <x v="1"/>
    <n v="1197831"/>
    <x v="179"/>
    <x v="1"/>
    <x v="23"/>
    <s v="New Orleans"/>
    <x v="5"/>
    <n v="0.45"/>
    <n v="5250"/>
    <n v="2362.5"/>
    <n v="1299.375"/>
    <n v="0.55000000000000004"/>
  </r>
  <r>
    <m/>
    <x v="1"/>
    <n v="1197831"/>
    <x v="64"/>
    <x v="1"/>
    <x v="23"/>
    <s v="New Orleans"/>
    <x v="0"/>
    <n v="0.35000000000000003"/>
    <n v="6750"/>
    <n v="2362.5"/>
    <n v="944.99999999999989"/>
    <n v="0.39999999999999997"/>
  </r>
  <r>
    <m/>
    <x v="1"/>
    <n v="1197831"/>
    <x v="64"/>
    <x v="1"/>
    <x v="23"/>
    <s v="New Orleans"/>
    <x v="1"/>
    <n v="0.35000000000000003"/>
    <n v="6750"/>
    <n v="2362.5"/>
    <n v="944.99999999999989"/>
    <n v="0.39999999999999997"/>
  </r>
  <r>
    <m/>
    <x v="1"/>
    <n v="1197831"/>
    <x v="64"/>
    <x v="1"/>
    <x v="23"/>
    <s v="New Orleans"/>
    <x v="2"/>
    <n v="0.6"/>
    <n v="6000"/>
    <n v="3600"/>
    <n v="1439.9999999999998"/>
    <n v="0.39999999999999997"/>
  </r>
  <r>
    <m/>
    <x v="1"/>
    <n v="1197831"/>
    <x v="64"/>
    <x v="1"/>
    <x v="23"/>
    <s v="New Orleans"/>
    <x v="3"/>
    <n v="0.6"/>
    <n v="4500"/>
    <n v="2700"/>
    <n v="1350"/>
    <n v="0.5"/>
  </r>
  <r>
    <m/>
    <x v="1"/>
    <n v="1197831"/>
    <x v="64"/>
    <x v="1"/>
    <x v="23"/>
    <s v="New Orleans"/>
    <x v="4"/>
    <n v="0.54999999999999993"/>
    <n v="4250"/>
    <n v="2337.4999999999995"/>
    <n v="818.12499999999977"/>
    <n v="0.35"/>
  </r>
  <r>
    <m/>
    <x v="1"/>
    <n v="1197831"/>
    <x v="64"/>
    <x v="1"/>
    <x v="23"/>
    <s v="New Orleans"/>
    <x v="5"/>
    <n v="0.65"/>
    <n v="6250"/>
    <n v="4062.5"/>
    <n v="2234.375"/>
    <n v="0.55000000000000004"/>
  </r>
  <r>
    <m/>
    <x v="1"/>
    <n v="1197831"/>
    <x v="65"/>
    <x v="1"/>
    <x v="23"/>
    <s v="New Orleans"/>
    <x v="0"/>
    <n v="0.54999999999999993"/>
    <n v="7750"/>
    <n v="4262.4999999999991"/>
    <n v="1704.9999999999995"/>
    <n v="0.39999999999999997"/>
  </r>
  <r>
    <m/>
    <x v="1"/>
    <n v="1197831"/>
    <x v="65"/>
    <x v="1"/>
    <x v="23"/>
    <s v="New Orleans"/>
    <x v="1"/>
    <n v="0.54999999999999993"/>
    <n v="7750"/>
    <n v="4262.4999999999991"/>
    <n v="1704.9999999999995"/>
    <n v="0.39999999999999997"/>
  </r>
  <r>
    <m/>
    <x v="1"/>
    <n v="1197831"/>
    <x v="65"/>
    <x v="1"/>
    <x v="23"/>
    <s v="New Orleans"/>
    <x v="2"/>
    <n v="0.6"/>
    <n v="6750"/>
    <n v="4050"/>
    <n v="1619.9999999999998"/>
    <n v="0.39999999999999997"/>
  </r>
  <r>
    <m/>
    <x v="1"/>
    <n v="1197831"/>
    <x v="65"/>
    <x v="1"/>
    <x v="23"/>
    <s v="New Orleans"/>
    <x v="3"/>
    <n v="0.6"/>
    <n v="5250"/>
    <n v="3150"/>
    <n v="1575"/>
    <n v="0.5"/>
  </r>
  <r>
    <m/>
    <x v="1"/>
    <n v="1197831"/>
    <x v="65"/>
    <x v="1"/>
    <x v="23"/>
    <s v="New Orleans"/>
    <x v="4"/>
    <n v="0.54999999999999993"/>
    <n v="4750"/>
    <n v="2612.4999999999995"/>
    <n v="914.37499999999977"/>
    <n v="0.35"/>
  </r>
  <r>
    <m/>
    <x v="1"/>
    <n v="1197831"/>
    <x v="65"/>
    <x v="1"/>
    <x v="23"/>
    <s v="New Orleans"/>
    <x v="5"/>
    <n v="0.65"/>
    <n v="7250"/>
    <n v="4712.5"/>
    <n v="2591.875"/>
    <n v="0.55000000000000004"/>
  </r>
  <r>
    <s v="x"/>
    <x v="2"/>
    <n v="1128299"/>
    <x v="180"/>
    <x v="2"/>
    <x v="24"/>
    <s v="Boise"/>
    <x v="0"/>
    <n v="0.29999999999999993"/>
    <n v="4250"/>
    <n v="1274.9999999999998"/>
    <n v="446.24999999999989"/>
    <n v="0.35"/>
  </r>
  <r>
    <m/>
    <x v="2"/>
    <n v="1128299"/>
    <x v="180"/>
    <x v="2"/>
    <x v="24"/>
    <s v="Boise"/>
    <x v="1"/>
    <n v="0.4"/>
    <n v="4250"/>
    <n v="1700"/>
    <n v="680"/>
    <n v="0.4"/>
  </r>
  <r>
    <m/>
    <x v="2"/>
    <n v="1128299"/>
    <x v="180"/>
    <x v="2"/>
    <x v="24"/>
    <s v="Boise"/>
    <x v="2"/>
    <n v="0.4"/>
    <n v="4250"/>
    <n v="1700"/>
    <n v="595"/>
    <n v="0.35"/>
  </r>
  <r>
    <m/>
    <x v="2"/>
    <n v="1128299"/>
    <x v="180"/>
    <x v="2"/>
    <x v="24"/>
    <s v="Boise"/>
    <x v="3"/>
    <n v="0.4"/>
    <n v="2750"/>
    <n v="1100"/>
    <n v="385"/>
    <n v="0.35"/>
  </r>
  <r>
    <m/>
    <x v="2"/>
    <n v="1128299"/>
    <x v="180"/>
    <x v="2"/>
    <x v="24"/>
    <s v="Boise"/>
    <x v="4"/>
    <n v="0.45000000000000007"/>
    <n v="2250"/>
    <n v="1012.5000000000001"/>
    <n v="303.75"/>
    <n v="0.3"/>
  </r>
  <r>
    <m/>
    <x v="2"/>
    <n v="1128299"/>
    <x v="180"/>
    <x v="2"/>
    <x v="24"/>
    <s v="Boise"/>
    <x v="5"/>
    <n v="0.4"/>
    <n v="4250"/>
    <n v="1700"/>
    <n v="425"/>
    <n v="0.25"/>
  </r>
  <r>
    <m/>
    <x v="2"/>
    <n v="1128299"/>
    <x v="181"/>
    <x v="2"/>
    <x v="24"/>
    <s v="Boise"/>
    <x v="0"/>
    <n v="0.29999999999999993"/>
    <n v="4750"/>
    <n v="1424.9999999999998"/>
    <n v="498.74999999999989"/>
    <n v="0.35"/>
  </r>
  <r>
    <m/>
    <x v="2"/>
    <n v="1128299"/>
    <x v="181"/>
    <x v="2"/>
    <x v="24"/>
    <s v="Boise"/>
    <x v="1"/>
    <n v="0.4"/>
    <n v="3750"/>
    <n v="1500"/>
    <n v="600"/>
    <n v="0.4"/>
  </r>
  <r>
    <m/>
    <x v="2"/>
    <n v="1128299"/>
    <x v="181"/>
    <x v="2"/>
    <x v="24"/>
    <s v="Boise"/>
    <x v="2"/>
    <n v="0.4"/>
    <n v="3750"/>
    <n v="1500"/>
    <n v="525"/>
    <n v="0.35"/>
  </r>
  <r>
    <m/>
    <x v="2"/>
    <n v="1128299"/>
    <x v="181"/>
    <x v="2"/>
    <x v="24"/>
    <s v="Boise"/>
    <x v="3"/>
    <n v="0.4"/>
    <n v="2250"/>
    <n v="900"/>
    <n v="315"/>
    <n v="0.35"/>
  </r>
  <r>
    <m/>
    <x v="2"/>
    <n v="1128299"/>
    <x v="181"/>
    <x v="2"/>
    <x v="24"/>
    <s v="Boise"/>
    <x v="4"/>
    <n v="0.45000000000000007"/>
    <n v="1500"/>
    <n v="675.00000000000011"/>
    <n v="202.50000000000003"/>
    <n v="0.3"/>
  </r>
  <r>
    <m/>
    <x v="2"/>
    <n v="1128299"/>
    <x v="181"/>
    <x v="2"/>
    <x v="24"/>
    <s v="Boise"/>
    <x v="5"/>
    <n v="0.4"/>
    <n v="3500"/>
    <n v="1400"/>
    <n v="350"/>
    <n v="0.25"/>
  </r>
  <r>
    <m/>
    <x v="2"/>
    <n v="1128299"/>
    <x v="182"/>
    <x v="2"/>
    <x v="24"/>
    <s v="Boise"/>
    <x v="0"/>
    <n v="0.4"/>
    <n v="5000"/>
    <n v="2000"/>
    <n v="700"/>
    <n v="0.35"/>
  </r>
  <r>
    <m/>
    <x v="2"/>
    <n v="1128299"/>
    <x v="182"/>
    <x v="2"/>
    <x v="24"/>
    <s v="Boise"/>
    <x v="1"/>
    <n v="0.5"/>
    <n v="3500"/>
    <n v="1750"/>
    <n v="700"/>
    <n v="0.4"/>
  </r>
  <r>
    <m/>
    <x v="2"/>
    <n v="1128299"/>
    <x v="182"/>
    <x v="2"/>
    <x v="24"/>
    <s v="Boise"/>
    <x v="2"/>
    <n v="0.5"/>
    <n v="3500"/>
    <n v="1750"/>
    <n v="612.5"/>
    <n v="0.35"/>
  </r>
  <r>
    <m/>
    <x v="2"/>
    <n v="1128299"/>
    <x v="182"/>
    <x v="2"/>
    <x v="24"/>
    <s v="Boise"/>
    <x v="3"/>
    <n v="0.5"/>
    <n v="2250"/>
    <n v="1125"/>
    <n v="393.75"/>
    <n v="0.35"/>
  </r>
  <r>
    <m/>
    <x v="2"/>
    <n v="1128299"/>
    <x v="182"/>
    <x v="2"/>
    <x v="24"/>
    <s v="Boise"/>
    <x v="4"/>
    <n v="0.55000000000000004"/>
    <n v="1250"/>
    <n v="687.5"/>
    <n v="206.25"/>
    <n v="0.3"/>
  </r>
  <r>
    <m/>
    <x v="2"/>
    <n v="1128299"/>
    <x v="182"/>
    <x v="2"/>
    <x v="24"/>
    <s v="Boise"/>
    <x v="5"/>
    <n v="0.5"/>
    <n v="3250"/>
    <n v="1625"/>
    <n v="406.25"/>
    <n v="0.25"/>
  </r>
  <r>
    <m/>
    <x v="2"/>
    <n v="1128299"/>
    <x v="183"/>
    <x v="2"/>
    <x v="24"/>
    <s v="Boise"/>
    <x v="0"/>
    <n v="0.5"/>
    <n v="5000"/>
    <n v="2500"/>
    <n v="875"/>
    <n v="0.35"/>
  </r>
  <r>
    <m/>
    <x v="2"/>
    <n v="1128299"/>
    <x v="183"/>
    <x v="2"/>
    <x v="24"/>
    <s v="Boise"/>
    <x v="1"/>
    <n v="0.55000000000000004"/>
    <n v="3000"/>
    <n v="1650.0000000000002"/>
    <n v="660.00000000000011"/>
    <n v="0.4"/>
  </r>
  <r>
    <m/>
    <x v="2"/>
    <n v="1128299"/>
    <x v="183"/>
    <x v="2"/>
    <x v="24"/>
    <s v="Boise"/>
    <x v="2"/>
    <n v="0.55000000000000004"/>
    <n v="3500"/>
    <n v="1925.0000000000002"/>
    <n v="673.75"/>
    <n v="0.35"/>
  </r>
  <r>
    <m/>
    <x v="2"/>
    <n v="1128299"/>
    <x v="183"/>
    <x v="2"/>
    <x v="24"/>
    <s v="Boise"/>
    <x v="3"/>
    <n v="0.5"/>
    <n v="2500"/>
    <n v="1250"/>
    <n v="437.5"/>
    <n v="0.35"/>
  </r>
  <r>
    <m/>
    <x v="2"/>
    <n v="1128299"/>
    <x v="183"/>
    <x v="2"/>
    <x v="24"/>
    <s v="Boise"/>
    <x v="4"/>
    <n v="0.55000000000000004"/>
    <n v="1500"/>
    <n v="825.00000000000011"/>
    <n v="247.50000000000003"/>
    <n v="0.3"/>
  </r>
  <r>
    <m/>
    <x v="2"/>
    <n v="1128299"/>
    <x v="183"/>
    <x v="2"/>
    <x v="24"/>
    <s v="Boise"/>
    <x v="5"/>
    <n v="0.70000000000000007"/>
    <n v="3250"/>
    <n v="2275"/>
    <n v="568.75"/>
    <n v="0.25"/>
  </r>
  <r>
    <m/>
    <x v="2"/>
    <n v="1128299"/>
    <x v="184"/>
    <x v="2"/>
    <x v="24"/>
    <s v="Boise"/>
    <x v="0"/>
    <n v="0.5"/>
    <n v="5250"/>
    <n v="2625"/>
    <n v="918.74999999999989"/>
    <n v="0.35"/>
  </r>
  <r>
    <m/>
    <x v="2"/>
    <n v="1128299"/>
    <x v="184"/>
    <x v="2"/>
    <x v="24"/>
    <s v="Boise"/>
    <x v="1"/>
    <n v="0.55000000000000004"/>
    <n v="3750"/>
    <n v="2062.5"/>
    <n v="825"/>
    <n v="0.4"/>
  </r>
  <r>
    <m/>
    <x v="2"/>
    <n v="1128299"/>
    <x v="184"/>
    <x v="2"/>
    <x v="24"/>
    <s v="Boise"/>
    <x v="2"/>
    <n v="0.55000000000000004"/>
    <n v="4000"/>
    <n v="2200"/>
    <n v="770"/>
    <n v="0.35"/>
  </r>
  <r>
    <m/>
    <x v="2"/>
    <n v="1128299"/>
    <x v="184"/>
    <x v="2"/>
    <x v="24"/>
    <s v="Boise"/>
    <x v="3"/>
    <n v="0.5"/>
    <n v="3000"/>
    <n v="1500"/>
    <n v="525"/>
    <n v="0.35"/>
  </r>
  <r>
    <m/>
    <x v="2"/>
    <n v="1128299"/>
    <x v="184"/>
    <x v="2"/>
    <x v="24"/>
    <s v="Boise"/>
    <x v="4"/>
    <n v="0.55000000000000004"/>
    <n v="2000"/>
    <n v="1100"/>
    <n v="330"/>
    <n v="0.3"/>
  </r>
  <r>
    <m/>
    <x v="2"/>
    <n v="1128299"/>
    <x v="184"/>
    <x v="2"/>
    <x v="24"/>
    <s v="Boise"/>
    <x v="5"/>
    <n v="0.70000000000000007"/>
    <n v="3750"/>
    <n v="2625.0000000000005"/>
    <n v="656.25000000000011"/>
    <n v="0.25"/>
  </r>
  <r>
    <m/>
    <x v="2"/>
    <n v="1128299"/>
    <x v="185"/>
    <x v="2"/>
    <x v="24"/>
    <s v="Boise"/>
    <x v="0"/>
    <n v="0.5"/>
    <n v="6250"/>
    <n v="3125"/>
    <n v="1093.75"/>
    <n v="0.35"/>
  </r>
  <r>
    <m/>
    <x v="2"/>
    <n v="1128299"/>
    <x v="185"/>
    <x v="2"/>
    <x v="24"/>
    <s v="Boise"/>
    <x v="1"/>
    <n v="0.55000000000000004"/>
    <n v="4750"/>
    <n v="2612.5"/>
    <n v="1045"/>
    <n v="0.4"/>
  </r>
  <r>
    <m/>
    <x v="2"/>
    <n v="1128299"/>
    <x v="185"/>
    <x v="2"/>
    <x v="24"/>
    <s v="Boise"/>
    <x v="2"/>
    <n v="0.55000000000000004"/>
    <n v="4750"/>
    <n v="2612.5"/>
    <n v="914.37499999999989"/>
    <n v="0.35"/>
  </r>
  <r>
    <m/>
    <x v="2"/>
    <n v="1128299"/>
    <x v="185"/>
    <x v="2"/>
    <x v="24"/>
    <s v="Boise"/>
    <x v="3"/>
    <n v="0.5"/>
    <n v="3500"/>
    <n v="1750"/>
    <n v="612.5"/>
    <n v="0.35"/>
  </r>
  <r>
    <m/>
    <x v="2"/>
    <n v="1128299"/>
    <x v="185"/>
    <x v="2"/>
    <x v="24"/>
    <s v="Boise"/>
    <x v="4"/>
    <n v="0.55000000000000004"/>
    <n v="2250"/>
    <n v="1237.5"/>
    <n v="371.25"/>
    <n v="0.3"/>
  </r>
  <r>
    <m/>
    <x v="2"/>
    <n v="1128299"/>
    <x v="185"/>
    <x v="2"/>
    <x v="24"/>
    <s v="Boise"/>
    <x v="5"/>
    <n v="0.70000000000000007"/>
    <n v="5250"/>
    <n v="3675.0000000000005"/>
    <n v="918.75000000000011"/>
    <n v="0.25"/>
  </r>
  <r>
    <m/>
    <x v="2"/>
    <n v="1128299"/>
    <x v="186"/>
    <x v="2"/>
    <x v="24"/>
    <s v="Boise"/>
    <x v="0"/>
    <n v="0.5"/>
    <n v="6750"/>
    <n v="3375"/>
    <n v="1181.25"/>
    <n v="0.35"/>
  </r>
  <r>
    <m/>
    <x v="2"/>
    <n v="1128299"/>
    <x v="186"/>
    <x v="2"/>
    <x v="24"/>
    <s v="Boise"/>
    <x v="1"/>
    <n v="0.55000000000000004"/>
    <n v="5250"/>
    <n v="2887.5000000000005"/>
    <n v="1155.0000000000002"/>
    <n v="0.4"/>
  </r>
  <r>
    <m/>
    <x v="2"/>
    <n v="1128299"/>
    <x v="186"/>
    <x v="2"/>
    <x v="24"/>
    <s v="Boise"/>
    <x v="2"/>
    <n v="0.55000000000000004"/>
    <n v="4750"/>
    <n v="2612.5"/>
    <n v="914.37499999999989"/>
    <n v="0.35"/>
  </r>
  <r>
    <m/>
    <x v="2"/>
    <n v="1128299"/>
    <x v="186"/>
    <x v="2"/>
    <x v="24"/>
    <s v="Boise"/>
    <x v="3"/>
    <n v="0.5"/>
    <n v="3750"/>
    <n v="1875"/>
    <n v="656.25"/>
    <n v="0.35"/>
  </r>
  <r>
    <m/>
    <x v="2"/>
    <n v="1128299"/>
    <x v="186"/>
    <x v="2"/>
    <x v="24"/>
    <s v="Boise"/>
    <x v="4"/>
    <n v="0.55000000000000004"/>
    <n v="4250"/>
    <n v="2337.5"/>
    <n v="701.25"/>
    <n v="0.3"/>
  </r>
  <r>
    <m/>
    <x v="2"/>
    <n v="1128299"/>
    <x v="186"/>
    <x v="2"/>
    <x v="24"/>
    <s v="Boise"/>
    <x v="5"/>
    <n v="0.70000000000000007"/>
    <n v="4250"/>
    <n v="2975.0000000000005"/>
    <n v="743.75000000000011"/>
    <n v="0.25"/>
  </r>
  <r>
    <m/>
    <x v="2"/>
    <n v="1128299"/>
    <x v="187"/>
    <x v="2"/>
    <x v="24"/>
    <s v="Boise"/>
    <x v="0"/>
    <n v="0.55000000000000004"/>
    <n v="6250"/>
    <n v="3437.5000000000005"/>
    <n v="1203.125"/>
    <n v="0.35"/>
  </r>
  <r>
    <m/>
    <x v="2"/>
    <n v="1128299"/>
    <x v="187"/>
    <x v="2"/>
    <x v="24"/>
    <s v="Boise"/>
    <x v="1"/>
    <n v="0.60000000000000009"/>
    <n v="5750"/>
    <n v="3450.0000000000005"/>
    <n v="1380.0000000000002"/>
    <n v="0.4"/>
  </r>
  <r>
    <m/>
    <x v="2"/>
    <n v="1128299"/>
    <x v="187"/>
    <x v="2"/>
    <x v="24"/>
    <s v="Boise"/>
    <x v="2"/>
    <n v="0.55000000000000004"/>
    <n v="4500"/>
    <n v="2475"/>
    <n v="866.25"/>
    <n v="0.35"/>
  </r>
  <r>
    <m/>
    <x v="2"/>
    <n v="1128299"/>
    <x v="187"/>
    <x v="2"/>
    <x v="24"/>
    <s v="Boise"/>
    <x v="3"/>
    <n v="0.55000000000000004"/>
    <n v="4000"/>
    <n v="2200"/>
    <n v="770"/>
    <n v="0.35"/>
  </r>
  <r>
    <m/>
    <x v="2"/>
    <n v="1128299"/>
    <x v="187"/>
    <x v="2"/>
    <x v="24"/>
    <s v="Boise"/>
    <x v="4"/>
    <n v="0.65"/>
    <n v="4000"/>
    <n v="2600"/>
    <n v="780"/>
    <n v="0.3"/>
  </r>
  <r>
    <m/>
    <x v="2"/>
    <n v="1128299"/>
    <x v="187"/>
    <x v="2"/>
    <x v="24"/>
    <s v="Boise"/>
    <x v="5"/>
    <n v="0.70000000000000007"/>
    <n v="3750"/>
    <n v="2625.0000000000005"/>
    <n v="656.25000000000011"/>
    <n v="0.25"/>
  </r>
  <r>
    <m/>
    <x v="2"/>
    <n v="1128299"/>
    <x v="188"/>
    <x v="2"/>
    <x v="24"/>
    <s v="Boise"/>
    <x v="0"/>
    <n v="0.45000000000000007"/>
    <n v="5750"/>
    <n v="2587.5000000000005"/>
    <n v="905.62500000000011"/>
    <n v="0.35"/>
  </r>
  <r>
    <m/>
    <x v="2"/>
    <n v="1128299"/>
    <x v="188"/>
    <x v="2"/>
    <x v="24"/>
    <s v="Boise"/>
    <x v="1"/>
    <n v="0.50000000000000011"/>
    <n v="5750"/>
    <n v="2875.0000000000005"/>
    <n v="1150.0000000000002"/>
    <n v="0.4"/>
  </r>
  <r>
    <m/>
    <x v="2"/>
    <n v="1128299"/>
    <x v="188"/>
    <x v="2"/>
    <x v="24"/>
    <s v="Boise"/>
    <x v="2"/>
    <n v="0.45000000000000007"/>
    <n v="4250"/>
    <n v="1912.5000000000002"/>
    <n v="669.375"/>
    <n v="0.35"/>
  </r>
  <r>
    <m/>
    <x v="2"/>
    <n v="1128299"/>
    <x v="188"/>
    <x v="2"/>
    <x v="24"/>
    <s v="Boise"/>
    <x v="3"/>
    <n v="0.45000000000000007"/>
    <n v="3750"/>
    <n v="1687.5000000000002"/>
    <n v="590.625"/>
    <n v="0.35"/>
  </r>
  <r>
    <m/>
    <x v="2"/>
    <n v="1128299"/>
    <x v="188"/>
    <x v="2"/>
    <x v="24"/>
    <s v="Boise"/>
    <x v="4"/>
    <n v="0.55000000000000004"/>
    <n v="3750"/>
    <n v="2062.5"/>
    <n v="618.75"/>
    <n v="0.3"/>
  </r>
  <r>
    <m/>
    <x v="2"/>
    <n v="1128299"/>
    <x v="188"/>
    <x v="2"/>
    <x v="24"/>
    <s v="Boise"/>
    <x v="5"/>
    <n v="0.60000000000000009"/>
    <n v="4250"/>
    <n v="2550.0000000000005"/>
    <n v="637.50000000000011"/>
    <n v="0.25"/>
  </r>
  <r>
    <m/>
    <x v="2"/>
    <n v="1128299"/>
    <x v="189"/>
    <x v="2"/>
    <x v="24"/>
    <s v="Boise"/>
    <x v="0"/>
    <n v="0.45000000000000007"/>
    <n v="5000"/>
    <n v="2250.0000000000005"/>
    <n v="787.50000000000011"/>
    <n v="0.35"/>
  </r>
  <r>
    <m/>
    <x v="2"/>
    <n v="1128299"/>
    <x v="189"/>
    <x v="2"/>
    <x v="24"/>
    <s v="Boise"/>
    <x v="1"/>
    <n v="0.50000000000000011"/>
    <n v="5000"/>
    <n v="2500.0000000000005"/>
    <n v="1000.0000000000002"/>
    <n v="0.4"/>
  </r>
  <r>
    <m/>
    <x v="2"/>
    <n v="1128299"/>
    <x v="189"/>
    <x v="2"/>
    <x v="24"/>
    <s v="Boise"/>
    <x v="2"/>
    <n v="0.45000000000000007"/>
    <n v="3250"/>
    <n v="1462.5000000000002"/>
    <n v="511.87500000000006"/>
    <n v="0.35"/>
  </r>
  <r>
    <m/>
    <x v="2"/>
    <n v="1128299"/>
    <x v="189"/>
    <x v="2"/>
    <x v="24"/>
    <s v="Boise"/>
    <x v="3"/>
    <n v="0.45000000000000007"/>
    <n v="3000"/>
    <n v="1350.0000000000002"/>
    <n v="472.50000000000006"/>
    <n v="0.35"/>
  </r>
  <r>
    <m/>
    <x v="2"/>
    <n v="1128299"/>
    <x v="189"/>
    <x v="2"/>
    <x v="24"/>
    <s v="Boise"/>
    <x v="4"/>
    <n v="0.55000000000000004"/>
    <n v="2750"/>
    <n v="1512.5000000000002"/>
    <n v="453.75000000000006"/>
    <n v="0.3"/>
  </r>
  <r>
    <m/>
    <x v="2"/>
    <n v="1128299"/>
    <x v="189"/>
    <x v="2"/>
    <x v="24"/>
    <s v="Boise"/>
    <x v="5"/>
    <n v="0.60000000000000009"/>
    <n v="3250"/>
    <n v="1950.0000000000002"/>
    <n v="487.50000000000006"/>
    <n v="0.25"/>
  </r>
  <r>
    <m/>
    <x v="2"/>
    <n v="1128299"/>
    <x v="190"/>
    <x v="2"/>
    <x v="24"/>
    <s v="Boise"/>
    <x v="0"/>
    <n v="0.45000000000000007"/>
    <n v="5000"/>
    <n v="2250.0000000000005"/>
    <n v="787.50000000000011"/>
    <n v="0.35"/>
  </r>
  <r>
    <m/>
    <x v="2"/>
    <n v="1128299"/>
    <x v="190"/>
    <x v="2"/>
    <x v="24"/>
    <s v="Boise"/>
    <x v="1"/>
    <n v="0.50000000000000011"/>
    <n v="5250"/>
    <n v="2625.0000000000005"/>
    <n v="1050.0000000000002"/>
    <n v="0.4"/>
  </r>
  <r>
    <m/>
    <x v="2"/>
    <n v="1128299"/>
    <x v="190"/>
    <x v="2"/>
    <x v="24"/>
    <s v="Boise"/>
    <x v="2"/>
    <n v="0.45000000000000007"/>
    <n v="3750"/>
    <n v="1687.5000000000002"/>
    <n v="590.625"/>
    <n v="0.35"/>
  </r>
  <r>
    <m/>
    <x v="2"/>
    <n v="1128299"/>
    <x v="190"/>
    <x v="2"/>
    <x v="24"/>
    <s v="Boise"/>
    <x v="3"/>
    <n v="0.45000000000000007"/>
    <n v="3500"/>
    <n v="1575.0000000000002"/>
    <n v="551.25"/>
    <n v="0.35"/>
  </r>
  <r>
    <m/>
    <x v="2"/>
    <n v="1128299"/>
    <x v="190"/>
    <x v="2"/>
    <x v="24"/>
    <s v="Boise"/>
    <x v="4"/>
    <n v="0.55000000000000004"/>
    <n v="3000"/>
    <n v="1650.0000000000002"/>
    <n v="495.00000000000006"/>
    <n v="0.3"/>
  </r>
  <r>
    <m/>
    <x v="2"/>
    <n v="1128299"/>
    <x v="190"/>
    <x v="2"/>
    <x v="24"/>
    <s v="Boise"/>
    <x v="5"/>
    <n v="0.60000000000000009"/>
    <n v="4250"/>
    <n v="2550.0000000000005"/>
    <n v="637.50000000000011"/>
    <n v="0.25"/>
  </r>
  <r>
    <m/>
    <x v="2"/>
    <n v="1128299"/>
    <x v="191"/>
    <x v="2"/>
    <x v="24"/>
    <s v="Boise"/>
    <x v="0"/>
    <n v="0.45000000000000007"/>
    <n v="6250"/>
    <n v="2812.5000000000005"/>
    <n v="984.37500000000011"/>
    <n v="0.35"/>
  </r>
  <r>
    <m/>
    <x v="2"/>
    <n v="1128299"/>
    <x v="191"/>
    <x v="2"/>
    <x v="24"/>
    <s v="Boise"/>
    <x v="1"/>
    <n v="0.50000000000000011"/>
    <n v="6250"/>
    <n v="3125.0000000000009"/>
    <n v="1250.0000000000005"/>
    <n v="0.4"/>
  </r>
  <r>
    <m/>
    <x v="2"/>
    <n v="1128299"/>
    <x v="191"/>
    <x v="2"/>
    <x v="24"/>
    <s v="Boise"/>
    <x v="2"/>
    <n v="0.45000000000000007"/>
    <n v="4250"/>
    <n v="1912.5000000000002"/>
    <n v="669.375"/>
    <n v="0.35"/>
  </r>
  <r>
    <m/>
    <x v="2"/>
    <n v="1128299"/>
    <x v="191"/>
    <x v="2"/>
    <x v="24"/>
    <s v="Boise"/>
    <x v="3"/>
    <n v="0.45000000000000007"/>
    <n v="4250"/>
    <n v="1912.5000000000002"/>
    <n v="669.375"/>
    <n v="0.35"/>
  </r>
  <r>
    <m/>
    <x v="2"/>
    <n v="1128299"/>
    <x v="191"/>
    <x v="2"/>
    <x v="24"/>
    <s v="Boise"/>
    <x v="4"/>
    <n v="0.55000000000000004"/>
    <n v="3500"/>
    <n v="1925.0000000000002"/>
    <n v="577.5"/>
    <n v="0.3"/>
  </r>
  <r>
    <m/>
    <x v="2"/>
    <n v="1128299"/>
    <x v="191"/>
    <x v="2"/>
    <x v="24"/>
    <s v="Boise"/>
    <x v="5"/>
    <n v="0.60000000000000009"/>
    <n v="4500"/>
    <n v="2700.0000000000005"/>
    <n v="675.00000000000011"/>
    <n v="0.25"/>
  </r>
  <r>
    <s v="x"/>
    <x v="2"/>
    <n v="1128299"/>
    <x v="192"/>
    <x v="2"/>
    <x v="25"/>
    <s v="Phoenix"/>
    <x v="0"/>
    <n v="0.34999999999999992"/>
    <n v="4750"/>
    <n v="1662.4999999999995"/>
    <n v="581.87499999999977"/>
    <n v="0.35"/>
  </r>
  <r>
    <m/>
    <x v="2"/>
    <n v="1128299"/>
    <x v="192"/>
    <x v="2"/>
    <x v="25"/>
    <s v="Phoenix"/>
    <x v="1"/>
    <n v="0.45"/>
    <n v="4750"/>
    <n v="2137.5"/>
    <n v="855"/>
    <n v="0.4"/>
  </r>
  <r>
    <m/>
    <x v="2"/>
    <n v="1128299"/>
    <x v="192"/>
    <x v="2"/>
    <x v="25"/>
    <s v="Phoenix"/>
    <x v="2"/>
    <n v="0.45"/>
    <n v="4750"/>
    <n v="2137.5"/>
    <n v="748.125"/>
    <n v="0.35"/>
  </r>
  <r>
    <m/>
    <x v="2"/>
    <n v="1128299"/>
    <x v="192"/>
    <x v="2"/>
    <x v="25"/>
    <s v="Phoenix"/>
    <x v="3"/>
    <n v="0.45"/>
    <n v="3250"/>
    <n v="1462.5"/>
    <n v="511.87499999999994"/>
    <n v="0.35"/>
  </r>
  <r>
    <m/>
    <x v="2"/>
    <n v="1128299"/>
    <x v="192"/>
    <x v="2"/>
    <x v="25"/>
    <s v="Phoenix"/>
    <x v="4"/>
    <n v="0.50000000000000011"/>
    <n v="2750"/>
    <n v="1375.0000000000002"/>
    <n v="412.50000000000006"/>
    <n v="0.3"/>
  </r>
  <r>
    <m/>
    <x v="2"/>
    <n v="1128299"/>
    <x v="192"/>
    <x v="2"/>
    <x v="25"/>
    <s v="Phoenix"/>
    <x v="5"/>
    <n v="0.45"/>
    <n v="4750"/>
    <n v="2137.5"/>
    <n v="534.375"/>
    <n v="0.25"/>
  </r>
  <r>
    <m/>
    <x v="2"/>
    <n v="1128299"/>
    <x v="193"/>
    <x v="2"/>
    <x v="25"/>
    <s v="Phoenix"/>
    <x v="0"/>
    <n v="0.34999999999999992"/>
    <n v="5250"/>
    <n v="1837.4999999999995"/>
    <n v="643.12499999999977"/>
    <n v="0.35"/>
  </r>
  <r>
    <m/>
    <x v="2"/>
    <n v="1128299"/>
    <x v="193"/>
    <x v="2"/>
    <x v="25"/>
    <s v="Phoenix"/>
    <x v="1"/>
    <n v="0.45"/>
    <n v="4250"/>
    <n v="1912.5"/>
    <n v="765"/>
    <n v="0.4"/>
  </r>
  <r>
    <m/>
    <x v="2"/>
    <n v="1128299"/>
    <x v="193"/>
    <x v="2"/>
    <x v="25"/>
    <s v="Phoenix"/>
    <x v="2"/>
    <n v="0.45"/>
    <n v="4250"/>
    <n v="1912.5"/>
    <n v="669.375"/>
    <n v="0.35"/>
  </r>
  <r>
    <m/>
    <x v="2"/>
    <n v="1128299"/>
    <x v="193"/>
    <x v="2"/>
    <x v="25"/>
    <s v="Phoenix"/>
    <x v="3"/>
    <n v="0.45"/>
    <n v="2750"/>
    <n v="1237.5"/>
    <n v="433.125"/>
    <n v="0.35"/>
  </r>
  <r>
    <m/>
    <x v="2"/>
    <n v="1128299"/>
    <x v="193"/>
    <x v="2"/>
    <x v="25"/>
    <s v="Phoenix"/>
    <x v="4"/>
    <n v="0.50000000000000011"/>
    <n v="2000"/>
    <n v="1000.0000000000002"/>
    <n v="300.00000000000006"/>
    <n v="0.3"/>
  </r>
  <r>
    <m/>
    <x v="2"/>
    <n v="1128299"/>
    <x v="193"/>
    <x v="2"/>
    <x v="25"/>
    <s v="Phoenix"/>
    <x v="5"/>
    <n v="0.45"/>
    <n v="4000"/>
    <n v="1800"/>
    <n v="450"/>
    <n v="0.25"/>
  </r>
  <r>
    <m/>
    <x v="2"/>
    <n v="1128299"/>
    <x v="194"/>
    <x v="2"/>
    <x v="25"/>
    <s v="Phoenix"/>
    <x v="0"/>
    <n v="0.45"/>
    <n v="5500"/>
    <n v="2475"/>
    <n v="866.25"/>
    <n v="0.35"/>
  </r>
  <r>
    <m/>
    <x v="2"/>
    <n v="1128299"/>
    <x v="194"/>
    <x v="2"/>
    <x v="25"/>
    <s v="Phoenix"/>
    <x v="1"/>
    <n v="0.55000000000000004"/>
    <n v="4000"/>
    <n v="2200"/>
    <n v="880"/>
    <n v="0.4"/>
  </r>
  <r>
    <m/>
    <x v="2"/>
    <n v="1128299"/>
    <x v="194"/>
    <x v="2"/>
    <x v="25"/>
    <s v="Phoenix"/>
    <x v="2"/>
    <n v="0.55000000000000004"/>
    <n v="4000"/>
    <n v="2200"/>
    <n v="770"/>
    <n v="0.35"/>
  </r>
  <r>
    <m/>
    <x v="2"/>
    <n v="1128299"/>
    <x v="194"/>
    <x v="2"/>
    <x v="25"/>
    <s v="Phoenix"/>
    <x v="3"/>
    <n v="0.55000000000000004"/>
    <n v="2750"/>
    <n v="1512.5000000000002"/>
    <n v="529.375"/>
    <n v="0.35"/>
  </r>
  <r>
    <m/>
    <x v="2"/>
    <n v="1128299"/>
    <x v="194"/>
    <x v="2"/>
    <x v="25"/>
    <s v="Phoenix"/>
    <x v="4"/>
    <n v="0.60000000000000009"/>
    <n v="1750"/>
    <n v="1050.0000000000002"/>
    <n v="315.00000000000006"/>
    <n v="0.3"/>
  </r>
  <r>
    <m/>
    <x v="2"/>
    <n v="1128299"/>
    <x v="194"/>
    <x v="2"/>
    <x v="25"/>
    <s v="Phoenix"/>
    <x v="5"/>
    <n v="0.55000000000000004"/>
    <n v="3750"/>
    <n v="2062.5"/>
    <n v="515.625"/>
    <n v="0.25"/>
  </r>
  <r>
    <m/>
    <x v="2"/>
    <n v="1128299"/>
    <x v="195"/>
    <x v="2"/>
    <x v="25"/>
    <s v="Phoenix"/>
    <x v="0"/>
    <n v="0.55000000000000004"/>
    <n v="5500"/>
    <n v="3025.0000000000005"/>
    <n v="1058.75"/>
    <n v="0.35"/>
  </r>
  <r>
    <m/>
    <x v="2"/>
    <n v="1128299"/>
    <x v="195"/>
    <x v="2"/>
    <x v="25"/>
    <s v="Phoenix"/>
    <x v="1"/>
    <n v="0.60000000000000009"/>
    <n v="3500"/>
    <n v="2100.0000000000005"/>
    <n v="840.00000000000023"/>
    <n v="0.4"/>
  </r>
  <r>
    <m/>
    <x v="2"/>
    <n v="1128299"/>
    <x v="195"/>
    <x v="2"/>
    <x v="25"/>
    <s v="Phoenix"/>
    <x v="2"/>
    <n v="0.60000000000000009"/>
    <n v="4000"/>
    <n v="2400.0000000000005"/>
    <n v="840.00000000000011"/>
    <n v="0.35"/>
  </r>
  <r>
    <m/>
    <x v="2"/>
    <n v="1128299"/>
    <x v="195"/>
    <x v="2"/>
    <x v="25"/>
    <s v="Phoenix"/>
    <x v="3"/>
    <n v="0.55000000000000004"/>
    <n v="3000"/>
    <n v="1650.0000000000002"/>
    <n v="577.5"/>
    <n v="0.35"/>
  </r>
  <r>
    <m/>
    <x v="2"/>
    <n v="1128299"/>
    <x v="195"/>
    <x v="2"/>
    <x v="25"/>
    <s v="Phoenix"/>
    <x v="4"/>
    <n v="0.60000000000000009"/>
    <n v="2000"/>
    <n v="1200.0000000000002"/>
    <n v="360.00000000000006"/>
    <n v="0.3"/>
  </r>
  <r>
    <m/>
    <x v="2"/>
    <n v="1128299"/>
    <x v="195"/>
    <x v="2"/>
    <x v="25"/>
    <s v="Phoenix"/>
    <x v="5"/>
    <n v="0.75000000000000011"/>
    <n v="3750"/>
    <n v="2812.5000000000005"/>
    <n v="703.12500000000011"/>
    <n v="0.25"/>
  </r>
  <r>
    <m/>
    <x v="2"/>
    <n v="1128299"/>
    <x v="196"/>
    <x v="2"/>
    <x v="25"/>
    <s v="Phoenix"/>
    <x v="0"/>
    <n v="0.55000000000000004"/>
    <n v="5750"/>
    <n v="3162.5000000000005"/>
    <n v="1106.875"/>
    <n v="0.35"/>
  </r>
  <r>
    <m/>
    <x v="2"/>
    <n v="1128299"/>
    <x v="196"/>
    <x v="2"/>
    <x v="25"/>
    <s v="Phoenix"/>
    <x v="1"/>
    <n v="0.60000000000000009"/>
    <n v="4250"/>
    <n v="2550.0000000000005"/>
    <n v="1020.0000000000002"/>
    <n v="0.4"/>
  </r>
  <r>
    <m/>
    <x v="2"/>
    <n v="1128299"/>
    <x v="196"/>
    <x v="2"/>
    <x v="25"/>
    <s v="Phoenix"/>
    <x v="2"/>
    <n v="0.60000000000000009"/>
    <n v="4500"/>
    <n v="2700.0000000000005"/>
    <n v="945.00000000000011"/>
    <n v="0.35"/>
  </r>
  <r>
    <m/>
    <x v="2"/>
    <n v="1128299"/>
    <x v="196"/>
    <x v="2"/>
    <x v="25"/>
    <s v="Phoenix"/>
    <x v="3"/>
    <n v="0.55000000000000004"/>
    <n v="3500"/>
    <n v="1925.0000000000002"/>
    <n v="673.75"/>
    <n v="0.35"/>
  </r>
  <r>
    <m/>
    <x v="2"/>
    <n v="1128299"/>
    <x v="196"/>
    <x v="2"/>
    <x v="25"/>
    <s v="Phoenix"/>
    <x v="4"/>
    <n v="0.60000000000000009"/>
    <n v="2500"/>
    <n v="1500.0000000000002"/>
    <n v="450.00000000000006"/>
    <n v="0.3"/>
  </r>
  <r>
    <m/>
    <x v="2"/>
    <n v="1128299"/>
    <x v="196"/>
    <x v="2"/>
    <x v="25"/>
    <s v="Phoenix"/>
    <x v="5"/>
    <n v="0.75000000000000011"/>
    <n v="4250"/>
    <n v="3187.5000000000005"/>
    <n v="796.87500000000011"/>
    <n v="0.25"/>
  </r>
  <r>
    <m/>
    <x v="2"/>
    <n v="1128299"/>
    <x v="197"/>
    <x v="2"/>
    <x v="25"/>
    <s v="Phoenix"/>
    <x v="0"/>
    <n v="0.55000000000000004"/>
    <n v="7000"/>
    <n v="3850.0000000000005"/>
    <n v="1347.5"/>
    <n v="0.35"/>
  </r>
  <r>
    <m/>
    <x v="2"/>
    <n v="1128299"/>
    <x v="197"/>
    <x v="2"/>
    <x v="25"/>
    <s v="Phoenix"/>
    <x v="1"/>
    <n v="0.60000000000000009"/>
    <n v="5500"/>
    <n v="3300.0000000000005"/>
    <n v="1320.0000000000002"/>
    <n v="0.4"/>
  </r>
  <r>
    <m/>
    <x v="2"/>
    <n v="1128299"/>
    <x v="197"/>
    <x v="2"/>
    <x v="25"/>
    <s v="Phoenix"/>
    <x v="2"/>
    <n v="0.60000000000000009"/>
    <n v="5500"/>
    <n v="3300.0000000000005"/>
    <n v="1155"/>
    <n v="0.35"/>
  </r>
  <r>
    <m/>
    <x v="2"/>
    <n v="1128299"/>
    <x v="197"/>
    <x v="2"/>
    <x v="25"/>
    <s v="Phoenix"/>
    <x v="3"/>
    <n v="0.55000000000000004"/>
    <n v="4250"/>
    <n v="2337.5"/>
    <n v="818.125"/>
    <n v="0.35"/>
  </r>
  <r>
    <m/>
    <x v="2"/>
    <n v="1128299"/>
    <x v="197"/>
    <x v="2"/>
    <x v="25"/>
    <s v="Phoenix"/>
    <x v="4"/>
    <n v="0.60000000000000009"/>
    <n v="3000"/>
    <n v="1800.0000000000002"/>
    <n v="540"/>
    <n v="0.3"/>
  </r>
  <r>
    <m/>
    <x v="2"/>
    <n v="1128299"/>
    <x v="197"/>
    <x v="2"/>
    <x v="25"/>
    <s v="Phoenix"/>
    <x v="5"/>
    <n v="0.75000000000000011"/>
    <n v="6000"/>
    <n v="4500.0000000000009"/>
    <n v="1125.0000000000002"/>
    <n v="0.25"/>
  </r>
  <r>
    <m/>
    <x v="2"/>
    <n v="1128299"/>
    <x v="198"/>
    <x v="2"/>
    <x v="25"/>
    <s v="Phoenix"/>
    <x v="0"/>
    <n v="0.55000000000000004"/>
    <n v="7500"/>
    <n v="4125"/>
    <n v="1443.75"/>
    <n v="0.35"/>
  </r>
  <r>
    <m/>
    <x v="2"/>
    <n v="1128299"/>
    <x v="198"/>
    <x v="2"/>
    <x v="25"/>
    <s v="Phoenix"/>
    <x v="1"/>
    <n v="0.60000000000000009"/>
    <n v="6000"/>
    <n v="3600.0000000000005"/>
    <n v="1440.0000000000002"/>
    <n v="0.4"/>
  </r>
  <r>
    <m/>
    <x v="2"/>
    <n v="1128299"/>
    <x v="198"/>
    <x v="2"/>
    <x v="25"/>
    <s v="Phoenix"/>
    <x v="2"/>
    <n v="0.60000000000000009"/>
    <n v="5500"/>
    <n v="3300.0000000000005"/>
    <n v="1155"/>
    <n v="0.35"/>
  </r>
  <r>
    <m/>
    <x v="2"/>
    <n v="1128299"/>
    <x v="198"/>
    <x v="2"/>
    <x v="25"/>
    <s v="Phoenix"/>
    <x v="3"/>
    <n v="0.55000000000000004"/>
    <n v="4500"/>
    <n v="2475"/>
    <n v="866.25"/>
    <n v="0.35"/>
  </r>
  <r>
    <m/>
    <x v="2"/>
    <n v="1128299"/>
    <x v="198"/>
    <x v="2"/>
    <x v="25"/>
    <s v="Phoenix"/>
    <x v="4"/>
    <n v="0.60000000000000009"/>
    <n v="5000"/>
    <n v="3000.0000000000005"/>
    <n v="900.00000000000011"/>
    <n v="0.3"/>
  </r>
  <r>
    <m/>
    <x v="2"/>
    <n v="1128299"/>
    <x v="198"/>
    <x v="2"/>
    <x v="25"/>
    <s v="Phoenix"/>
    <x v="5"/>
    <n v="0.75000000000000011"/>
    <n v="5000"/>
    <n v="3750.0000000000005"/>
    <n v="937.50000000000011"/>
    <n v="0.25"/>
  </r>
  <r>
    <m/>
    <x v="2"/>
    <n v="1128299"/>
    <x v="199"/>
    <x v="2"/>
    <x v="25"/>
    <s v="Phoenix"/>
    <x v="0"/>
    <n v="0.60000000000000009"/>
    <n v="7000"/>
    <n v="4200.0000000000009"/>
    <n v="1470.0000000000002"/>
    <n v="0.35"/>
  </r>
  <r>
    <m/>
    <x v="2"/>
    <n v="1128299"/>
    <x v="199"/>
    <x v="2"/>
    <x v="25"/>
    <s v="Phoenix"/>
    <x v="1"/>
    <n v="0.65000000000000013"/>
    <n v="6500"/>
    <n v="4225.0000000000009"/>
    <n v="1690.0000000000005"/>
    <n v="0.4"/>
  </r>
  <r>
    <m/>
    <x v="2"/>
    <n v="1128299"/>
    <x v="199"/>
    <x v="2"/>
    <x v="25"/>
    <s v="Phoenix"/>
    <x v="2"/>
    <n v="0.60000000000000009"/>
    <n v="5250"/>
    <n v="3150.0000000000005"/>
    <n v="1102.5"/>
    <n v="0.35"/>
  </r>
  <r>
    <m/>
    <x v="2"/>
    <n v="1128299"/>
    <x v="199"/>
    <x v="2"/>
    <x v="25"/>
    <s v="Phoenix"/>
    <x v="3"/>
    <n v="0.60000000000000009"/>
    <n v="4750"/>
    <n v="2850.0000000000005"/>
    <n v="997.50000000000011"/>
    <n v="0.35"/>
  </r>
  <r>
    <m/>
    <x v="2"/>
    <n v="1128299"/>
    <x v="199"/>
    <x v="2"/>
    <x v="25"/>
    <s v="Phoenix"/>
    <x v="4"/>
    <n v="0.70000000000000007"/>
    <n v="4750"/>
    <n v="3325.0000000000005"/>
    <n v="997.50000000000011"/>
    <n v="0.3"/>
  </r>
  <r>
    <m/>
    <x v="2"/>
    <n v="1128299"/>
    <x v="199"/>
    <x v="2"/>
    <x v="25"/>
    <s v="Phoenix"/>
    <x v="5"/>
    <n v="0.75000000000000011"/>
    <n v="4500"/>
    <n v="3375.0000000000005"/>
    <n v="843.75000000000011"/>
    <n v="0.25"/>
  </r>
  <r>
    <m/>
    <x v="2"/>
    <n v="1128299"/>
    <x v="200"/>
    <x v="2"/>
    <x v="25"/>
    <s v="Phoenix"/>
    <x v="0"/>
    <n v="0.50000000000000011"/>
    <n v="6250"/>
    <n v="3125.0000000000009"/>
    <n v="1093.7500000000002"/>
    <n v="0.35"/>
  </r>
  <r>
    <m/>
    <x v="2"/>
    <n v="1128299"/>
    <x v="200"/>
    <x v="2"/>
    <x v="25"/>
    <s v="Phoenix"/>
    <x v="1"/>
    <n v="0.55000000000000016"/>
    <n v="6250"/>
    <n v="3437.5000000000009"/>
    <n v="1375.0000000000005"/>
    <n v="0.4"/>
  </r>
  <r>
    <m/>
    <x v="2"/>
    <n v="1128299"/>
    <x v="200"/>
    <x v="2"/>
    <x v="25"/>
    <s v="Phoenix"/>
    <x v="2"/>
    <n v="0.50000000000000011"/>
    <n v="4750"/>
    <n v="2375.0000000000005"/>
    <n v="831.25000000000011"/>
    <n v="0.35"/>
  </r>
  <r>
    <m/>
    <x v="2"/>
    <n v="1128299"/>
    <x v="200"/>
    <x v="2"/>
    <x v="25"/>
    <s v="Phoenix"/>
    <x v="3"/>
    <n v="0.50000000000000011"/>
    <n v="4250"/>
    <n v="2125.0000000000005"/>
    <n v="743.75000000000011"/>
    <n v="0.35"/>
  </r>
  <r>
    <m/>
    <x v="2"/>
    <n v="1128299"/>
    <x v="200"/>
    <x v="2"/>
    <x v="25"/>
    <s v="Phoenix"/>
    <x v="4"/>
    <n v="0.60000000000000009"/>
    <n v="4250"/>
    <n v="2550.0000000000005"/>
    <n v="765.00000000000011"/>
    <n v="0.3"/>
  </r>
  <r>
    <m/>
    <x v="2"/>
    <n v="1128299"/>
    <x v="200"/>
    <x v="2"/>
    <x v="25"/>
    <s v="Phoenix"/>
    <x v="5"/>
    <n v="0.65000000000000013"/>
    <n v="4750"/>
    <n v="3087.5000000000005"/>
    <n v="771.87500000000011"/>
    <n v="0.25"/>
  </r>
  <r>
    <m/>
    <x v="2"/>
    <n v="1128299"/>
    <x v="201"/>
    <x v="2"/>
    <x v="25"/>
    <s v="Phoenix"/>
    <x v="0"/>
    <n v="0.50000000000000011"/>
    <n v="5500"/>
    <n v="2750.0000000000005"/>
    <n v="962.50000000000011"/>
    <n v="0.35"/>
  </r>
  <r>
    <m/>
    <x v="2"/>
    <n v="1128299"/>
    <x v="201"/>
    <x v="2"/>
    <x v="25"/>
    <s v="Phoenix"/>
    <x v="1"/>
    <n v="0.55000000000000016"/>
    <n v="5500"/>
    <n v="3025.0000000000009"/>
    <n v="1210.0000000000005"/>
    <n v="0.4"/>
  </r>
  <r>
    <m/>
    <x v="2"/>
    <n v="1128299"/>
    <x v="201"/>
    <x v="2"/>
    <x v="25"/>
    <s v="Phoenix"/>
    <x v="2"/>
    <n v="0.50000000000000011"/>
    <n v="3750"/>
    <n v="1875.0000000000005"/>
    <n v="656.25000000000011"/>
    <n v="0.35"/>
  </r>
  <r>
    <m/>
    <x v="2"/>
    <n v="1128299"/>
    <x v="201"/>
    <x v="2"/>
    <x v="25"/>
    <s v="Phoenix"/>
    <x v="3"/>
    <n v="0.50000000000000011"/>
    <n v="3500"/>
    <n v="1750.0000000000005"/>
    <n v="612.50000000000011"/>
    <n v="0.35"/>
  </r>
  <r>
    <m/>
    <x v="2"/>
    <n v="1128299"/>
    <x v="201"/>
    <x v="2"/>
    <x v="25"/>
    <s v="Phoenix"/>
    <x v="4"/>
    <n v="0.60000000000000009"/>
    <n v="3250"/>
    <n v="1950.0000000000002"/>
    <n v="585"/>
    <n v="0.3"/>
  </r>
  <r>
    <m/>
    <x v="2"/>
    <n v="1128299"/>
    <x v="201"/>
    <x v="2"/>
    <x v="25"/>
    <s v="Phoenix"/>
    <x v="5"/>
    <n v="0.75000000000000011"/>
    <n v="3750"/>
    <n v="2812.5000000000005"/>
    <n v="703.12500000000011"/>
    <n v="0.25"/>
  </r>
  <r>
    <m/>
    <x v="2"/>
    <n v="1128299"/>
    <x v="202"/>
    <x v="2"/>
    <x v="25"/>
    <s v="Phoenix"/>
    <x v="0"/>
    <n v="0.60000000000000009"/>
    <n v="5500"/>
    <n v="3300.0000000000005"/>
    <n v="1155"/>
    <n v="0.35"/>
  </r>
  <r>
    <m/>
    <x v="2"/>
    <n v="1128299"/>
    <x v="202"/>
    <x v="2"/>
    <x v="25"/>
    <s v="Phoenix"/>
    <x v="1"/>
    <n v="0.65000000000000013"/>
    <n v="6000"/>
    <n v="3900.0000000000009"/>
    <n v="1560.0000000000005"/>
    <n v="0.4"/>
  </r>
  <r>
    <m/>
    <x v="2"/>
    <n v="1128299"/>
    <x v="202"/>
    <x v="2"/>
    <x v="25"/>
    <s v="Phoenix"/>
    <x v="2"/>
    <n v="0.60000000000000009"/>
    <n v="4500"/>
    <n v="2700.0000000000005"/>
    <n v="945.00000000000011"/>
    <n v="0.35"/>
  </r>
  <r>
    <m/>
    <x v="2"/>
    <n v="1128299"/>
    <x v="202"/>
    <x v="2"/>
    <x v="25"/>
    <s v="Phoenix"/>
    <x v="3"/>
    <n v="0.60000000000000009"/>
    <n v="4250"/>
    <n v="2550.0000000000005"/>
    <n v="892.50000000000011"/>
    <n v="0.35"/>
  </r>
  <r>
    <m/>
    <x v="2"/>
    <n v="1128299"/>
    <x v="202"/>
    <x v="2"/>
    <x v="25"/>
    <s v="Phoenix"/>
    <x v="4"/>
    <n v="0.70000000000000007"/>
    <n v="3750"/>
    <n v="2625.0000000000005"/>
    <n v="787.50000000000011"/>
    <n v="0.3"/>
  </r>
  <r>
    <m/>
    <x v="2"/>
    <n v="1128299"/>
    <x v="202"/>
    <x v="2"/>
    <x v="25"/>
    <s v="Phoenix"/>
    <x v="5"/>
    <n v="0.75000000000000011"/>
    <n v="5000"/>
    <n v="3750.0000000000005"/>
    <n v="937.50000000000011"/>
    <n v="0.25"/>
  </r>
  <r>
    <m/>
    <x v="2"/>
    <n v="1128299"/>
    <x v="203"/>
    <x v="2"/>
    <x v="25"/>
    <s v="Phoenix"/>
    <x v="0"/>
    <n v="0.60000000000000009"/>
    <n v="7000"/>
    <n v="4200.0000000000009"/>
    <n v="1470.0000000000002"/>
    <n v="0.35"/>
  </r>
  <r>
    <m/>
    <x v="2"/>
    <n v="1128299"/>
    <x v="203"/>
    <x v="2"/>
    <x v="25"/>
    <s v="Phoenix"/>
    <x v="1"/>
    <n v="0.65000000000000013"/>
    <n v="7000"/>
    <n v="4550.0000000000009"/>
    <n v="1820.0000000000005"/>
    <n v="0.4"/>
  </r>
  <r>
    <m/>
    <x v="2"/>
    <n v="1128299"/>
    <x v="203"/>
    <x v="2"/>
    <x v="25"/>
    <s v="Phoenix"/>
    <x v="2"/>
    <n v="0.60000000000000009"/>
    <n v="5000"/>
    <n v="3000.0000000000005"/>
    <n v="1050"/>
    <n v="0.35"/>
  </r>
  <r>
    <m/>
    <x v="2"/>
    <n v="1128299"/>
    <x v="203"/>
    <x v="2"/>
    <x v="25"/>
    <s v="Phoenix"/>
    <x v="3"/>
    <n v="0.60000000000000009"/>
    <n v="5000"/>
    <n v="3000.0000000000005"/>
    <n v="1050"/>
    <n v="0.35"/>
  </r>
  <r>
    <m/>
    <x v="2"/>
    <n v="1128299"/>
    <x v="203"/>
    <x v="2"/>
    <x v="25"/>
    <s v="Phoenix"/>
    <x v="4"/>
    <n v="0.70000000000000007"/>
    <n v="4250"/>
    <n v="2975.0000000000005"/>
    <n v="892.50000000000011"/>
    <n v="0.3"/>
  </r>
  <r>
    <m/>
    <x v="2"/>
    <n v="1128299"/>
    <x v="203"/>
    <x v="2"/>
    <x v="25"/>
    <s v="Phoenix"/>
    <x v="5"/>
    <n v="0.75000000000000011"/>
    <n v="5250"/>
    <n v="3937.5000000000005"/>
    <n v="984.37500000000011"/>
    <n v="0.25"/>
  </r>
  <r>
    <s v="x"/>
    <x v="2"/>
    <n v="1128299"/>
    <x v="90"/>
    <x v="2"/>
    <x v="26"/>
    <s v="Albuquerque"/>
    <x v="0"/>
    <n v="0.29999999999999993"/>
    <n v="4500"/>
    <n v="1349.9999999999998"/>
    <n v="539.99999999999989"/>
    <n v="0.4"/>
  </r>
  <r>
    <m/>
    <x v="2"/>
    <n v="1128299"/>
    <x v="90"/>
    <x v="2"/>
    <x v="26"/>
    <s v="Albuquerque"/>
    <x v="1"/>
    <n v="0.4"/>
    <n v="4500"/>
    <n v="1800"/>
    <n v="720"/>
    <n v="0.4"/>
  </r>
  <r>
    <m/>
    <x v="2"/>
    <n v="1128299"/>
    <x v="90"/>
    <x v="2"/>
    <x v="26"/>
    <s v="Albuquerque"/>
    <x v="2"/>
    <n v="0.4"/>
    <n v="4500"/>
    <n v="1800"/>
    <n v="630"/>
    <n v="0.35"/>
  </r>
  <r>
    <m/>
    <x v="2"/>
    <n v="1128299"/>
    <x v="90"/>
    <x v="2"/>
    <x v="26"/>
    <s v="Albuquerque"/>
    <x v="3"/>
    <n v="0.4"/>
    <n v="3000"/>
    <n v="1200"/>
    <n v="480"/>
    <n v="0.4"/>
  </r>
  <r>
    <m/>
    <x v="2"/>
    <n v="1128299"/>
    <x v="90"/>
    <x v="2"/>
    <x v="26"/>
    <s v="Albuquerque"/>
    <x v="4"/>
    <n v="0.45000000000000012"/>
    <n v="2500"/>
    <n v="1125.0000000000002"/>
    <n v="393.75000000000006"/>
    <n v="0.35"/>
  </r>
  <r>
    <m/>
    <x v="2"/>
    <n v="1128299"/>
    <x v="90"/>
    <x v="2"/>
    <x v="26"/>
    <s v="Albuquerque"/>
    <x v="5"/>
    <n v="0.4"/>
    <n v="4500"/>
    <n v="1800"/>
    <n v="450"/>
    <n v="0.25"/>
  </r>
  <r>
    <m/>
    <x v="2"/>
    <n v="1128299"/>
    <x v="91"/>
    <x v="2"/>
    <x v="26"/>
    <s v="Albuquerque"/>
    <x v="0"/>
    <n v="0.29999999999999993"/>
    <n v="5000"/>
    <n v="1499.9999999999998"/>
    <n v="599.99999999999989"/>
    <n v="0.4"/>
  </r>
  <r>
    <m/>
    <x v="2"/>
    <n v="1128299"/>
    <x v="91"/>
    <x v="2"/>
    <x v="26"/>
    <s v="Albuquerque"/>
    <x v="1"/>
    <n v="0.4"/>
    <n v="4000"/>
    <n v="1600"/>
    <n v="640"/>
    <n v="0.4"/>
  </r>
  <r>
    <m/>
    <x v="2"/>
    <n v="1128299"/>
    <x v="91"/>
    <x v="2"/>
    <x v="26"/>
    <s v="Albuquerque"/>
    <x v="2"/>
    <n v="0.4"/>
    <n v="4000"/>
    <n v="1600"/>
    <n v="560"/>
    <n v="0.35"/>
  </r>
  <r>
    <m/>
    <x v="2"/>
    <n v="1128299"/>
    <x v="91"/>
    <x v="2"/>
    <x v="26"/>
    <s v="Albuquerque"/>
    <x v="3"/>
    <n v="0.4"/>
    <n v="2500"/>
    <n v="1000"/>
    <n v="400"/>
    <n v="0.4"/>
  </r>
  <r>
    <m/>
    <x v="2"/>
    <n v="1128299"/>
    <x v="91"/>
    <x v="2"/>
    <x v="26"/>
    <s v="Albuquerque"/>
    <x v="4"/>
    <n v="0.45000000000000012"/>
    <n v="1750"/>
    <n v="787.50000000000023"/>
    <n v="275.62500000000006"/>
    <n v="0.35"/>
  </r>
  <r>
    <m/>
    <x v="2"/>
    <n v="1128299"/>
    <x v="91"/>
    <x v="2"/>
    <x v="26"/>
    <s v="Albuquerque"/>
    <x v="5"/>
    <n v="0.4"/>
    <n v="3750"/>
    <n v="1500"/>
    <n v="375"/>
    <n v="0.25"/>
  </r>
  <r>
    <m/>
    <x v="2"/>
    <n v="1128299"/>
    <x v="92"/>
    <x v="2"/>
    <x v="26"/>
    <s v="Albuquerque"/>
    <x v="0"/>
    <n v="0.4"/>
    <n v="5250"/>
    <n v="2100"/>
    <n v="840"/>
    <n v="0.4"/>
  </r>
  <r>
    <m/>
    <x v="2"/>
    <n v="1128299"/>
    <x v="92"/>
    <x v="2"/>
    <x v="26"/>
    <s v="Albuquerque"/>
    <x v="1"/>
    <n v="0.5"/>
    <n v="3750"/>
    <n v="1875"/>
    <n v="750"/>
    <n v="0.4"/>
  </r>
  <r>
    <m/>
    <x v="2"/>
    <n v="1128299"/>
    <x v="92"/>
    <x v="2"/>
    <x v="26"/>
    <s v="Albuquerque"/>
    <x v="2"/>
    <n v="0.5"/>
    <n v="3750"/>
    <n v="1875"/>
    <n v="656.25"/>
    <n v="0.35"/>
  </r>
  <r>
    <m/>
    <x v="2"/>
    <n v="1128299"/>
    <x v="92"/>
    <x v="2"/>
    <x v="26"/>
    <s v="Albuquerque"/>
    <x v="3"/>
    <n v="0.5"/>
    <n v="2500"/>
    <n v="1250"/>
    <n v="500"/>
    <n v="0.4"/>
  </r>
  <r>
    <m/>
    <x v="2"/>
    <n v="1128299"/>
    <x v="92"/>
    <x v="2"/>
    <x v="26"/>
    <s v="Albuquerque"/>
    <x v="4"/>
    <n v="0.55000000000000004"/>
    <n v="1500"/>
    <n v="825.00000000000011"/>
    <n v="288.75"/>
    <n v="0.35"/>
  </r>
  <r>
    <m/>
    <x v="2"/>
    <n v="1128299"/>
    <x v="92"/>
    <x v="2"/>
    <x v="26"/>
    <s v="Albuquerque"/>
    <x v="5"/>
    <n v="0.5"/>
    <n v="3500"/>
    <n v="1750"/>
    <n v="437.5"/>
    <n v="0.25"/>
  </r>
  <r>
    <m/>
    <x v="2"/>
    <n v="1128299"/>
    <x v="93"/>
    <x v="2"/>
    <x v="26"/>
    <s v="Albuquerque"/>
    <x v="0"/>
    <n v="0.5"/>
    <n v="5250"/>
    <n v="2625"/>
    <n v="1050"/>
    <n v="0.4"/>
  </r>
  <r>
    <m/>
    <x v="2"/>
    <n v="1128299"/>
    <x v="93"/>
    <x v="2"/>
    <x v="26"/>
    <s v="Albuquerque"/>
    <x v="1"/>
    <n v="0.55000000000000004"/>
    <n v="3250"/>
    <n v="1787.5000000000002"/>
    <n v="715.00000000000011"/>
    <n v="0.4"/>
  </r>
  <r>
    <m/>
    <x v="2"/>
    <n v="1128299"/>
    <x v="93"/>
    <x v="2"/>
    <x v="26"/>
    <s v="Albuquerque"/>
    <x v="2"/>
    <n v="0.55000000000000004"/>
    <n v="3750"/>
    <n v="2062.5"/>
    <n v="721.875"/>
    <n v="0.35"/>
  </r>
  <r>
    <m/>
    <x v="2"/>
    <n v="1128299"/>
    <x v="93"/>
    <x v="2"/>
    <x v="26"/>
    <s v="Albuquerque"/>
    <x v="3"/>
    <n v="0.5"/>
    <n v="2750"/>
    <n v="1375"/>
    <n v="550"/>
    <n v="0.4"/>
  </r>
  <r>
    <m/>
    <x v="2"/>
    <n v="1128299"/>
    <x v="93"/>
    <x v="2"/>
    <x v="26"/>
    <s v="Albuquerque"/>
    <x v="4"/>
    <n v="0.55000000000000004"/>
    <n v="1750"/>
    <n v="962.50000000000011"/>
    <n v="336.875"/>
    <n v="0.35"/>
  </r>
  <r>
    <m/>
    <x v="2"/>
    <n v="1128299"/>
    <x v="93"/>
    <x v="2"/>
    <x v="26"/>
    <s v="Albuquerque"/>
    <x v="5"/>
    <n v="0.70000000000000007"/>
    <n v="3500"/>
    <n v="2450.0000000000005"/>
    <n v="612.50000000000011"/>
    <n v="0.25"/>
  </r>
  <r>
    <m/>
    <x v="2"/>
    <n v="1128299"/>
    <x v="94"/>
    <x v="2"/>
    <x v="26"/>
    <s v="Albuquerque"/>
    <x v="0"/>
    <n v="0.5"/>
    <n v="5500"/>
    <n v="2750"/>
    <n v="1100"/>
    <n v="0.4"/>
  </r>
  <r>
    <m/>
    <x v="2"/>
    <n v="1128299"/>
    <x v="94"/>
    <x v="2"/>
    <x v="26"/>
    <s v="Albuquerque"/>
    <x v="1"/>
    <n v="0.55000000000000004"/>
    <n v="4000"/>
    <n v="2200"/>
    <n v="880"/>
    <n v="0.4"/>
  </r>
  <r>
    <m/>
    <x v="2"/>
    <n v="1128299"/>
    <x v="94"/>
    <x v="2"/>
    <x v="26"/>
    <s v="Albuquerque"/>
    <x v="2"/>
    <n v="0.55000000000000004"/>
    <n v="4250"/>
    <n v="2337.5"/>
    <n v="818.125"/>
    <n v="0.35"/>
  </r>
  <r>
    <m/>
    <x v="2"/>
    <n v="1128299"/>
    <x v="94"/>
    <x v="2"/>
    <x v="26"/>
    <s v="Albuquerque"/>
    <x v="3"/>
    <n v="0.5"/>
    <n v="3250"/>
    <n v="1625"/>
    <n v="650"/>
    <n v="0.4"/>
  </r>
  <r>
    <m/>
    <x v="2"/>
    <n v="1128299"/>
    <x v="94"/>
    <x v="2"/>
    <x v="26"/>
    <s v="Albuquerque"/>
    <x v="4"/>
    <n v="0.55000000000000004"/>
    <n v="2250"/>
    <n v="1237.5"/>
    <n v="433.125"/>
    <n v="0.35"/>
  </r>
  <r>
    <m/>
    <x v="2"/>
    <n v="1128299"/>
    <x v="94"/>
    <x v="2"/>
    <x v="26"/>
    <s v="Albuquerque"/>
    <x v="5"/>
    <n v="0.70000000000000007"/>
    <n v="4000"/>
    <n v="2800.0000000000005"/>
    <n v="700.00000000000011"/>
    <n v="0.25"/>
  </r>
  <r>
    <m/>
    <x v="2"/>
    <n v="1128299"/>
    <x v="95"/>
    <x v="2"/>
    <x v="26"/>
    <s v="Albuquerque"/>
    <x v="0"/>
    <n v="0.5"/>
    <n v="6750"/>
    <n v="3375"/>
    <n v="1350"/>
    <n v="0.4"/>
  </r>
  <r>
    <m/>
    <x v="2"/>
    <n v="1128299"/>
    <x v="95"/>
    <x v="2"/>
    <x v="26"/>
    <s v="Albuquerque"/>
    <x v="1"/>
    <n v="0.55000000000000004"/>
    <n v="5250"/>
    <n v="2887.5000000000005"/>
    <n v="1155.0000000000002"/>
    <n v="0.4"/>
  </r>
  <r>
    <m/>
    <x v="2"/>
    <n v="1128299"/>
    <x v="95"/>
    <x v="2"/>
    <x v="26"/>
    <s v="Albuquerque"/>
    <x v="2"/>
    <n v="0.55000000000000004"/>
    <n v="5250"/>
    <n v="2887.5000000000005"/>
    <n v="1010.6250000000001"/>
    <n v="0.35"/>
  </r>
  <r>
    <m/>
    <x v="2"/>
    <n v="1128299"/>
    <x v="95"/>
    <x v="2"/>
    <x v="26"/>
    <s v="Albuquerque"/>
    <x v="3"/>
    <n v="0.5"/>
    <n v="4000"/>
    <n v="2000"/>
    <n v="800"/>
    <n v="0.4"/>
  </r>
  <r>
    <m/>
    <x v="2"/>
    <n v="1128299"/>
    <x v="95"/>
    <x v="2"/>
    <x v="26"/>
    <s v="Albuquerque"/>
    <x v="4"/>
    <n v="0.55000000000000004"/>
    <n v="2750"/>
    <n v="1512.5000000000002"/>
    <n v="529.375"/>
    <n v="0.35"/>
  </r>
  <r>
    <m/>
    <x v="2"/>
    <n v="1128299"/>
    <x v="95"/>
    <x v="2"/>
    <x v="26"/>
    <s v="Albuquerque"/>
    <x v="5"/>
    <n v="0.70000000000000007"/>
    <n v="5750"/>
    <n v="4025.0000000000005"/>
    <n v="1006.2500000000001"/>
    <n v="0.25"/>
  </r>
  <r>
    <m/>
    <x v="2"/>
    <n v="1128299"/>
    <x v="96"/>
    <x v="2"/>
    <x v="26"/>
    <s v="Albuquerque"/>
    <x v="0"/>
    <n v="0.5"/>
    <n v="7250"/>
    <n v="3625"/>
    <n v="1450"/>
    <n v="0.4"/>
  </r>
  <r>
    <m/>
    <x v="2"/>
    <n v="1128299"/>
    <x v="96"/>
    <x v="2"/>
    <x v="26"/>
    <s v="Albuquerque"/>
    <x v="1"/>
    <n v="0.55000000000000004"/>
    <n v="5750"/>
    <n v="3162.5000000000005"/>
    <n v="1265.0000000000002"/>
    <n v="0.4"/>
  </r>
  <r>
    <m/>
    <x v="2"/>
    <n v="1128299"/>
    <x v="96"/>
    <x v="2"/>
    <x v="26"/>
    <s v="Albuquerque"/>
    <x v="2"/>
    <n v="0.55000000000000004"/>
    <n v="5250"/>
    <n v="2887.5000000000005"/>
    <n v="1010.6250000000001"/>
    <n v="0.35"/>
  </r>
  <r>
    <m/>
    <x v="2"/>
    <n v="1128299"/>
    <x v="96"/>
    <x v="2"/>
    <x v="26"/>
    <s v="Albuquerque"/>
    <x v="3"/>
    <n v="0.5"/>
    <n v="4250"/>
    <n v="2125"/>
    <n v="850"/>
    <n v="0.4"/>
  </r>
  <r>
    <m/>
    <x v="2"/>
    <n v="1128299"/>
    <x v="96"/>
    <x v="2"/>
    <x v="26"/>
    <s v="Albuquerque"/>
    <x v="4"/>
    <n v="0.55000000000000004"/>
    <n v="4750"/>
    <n v="2612.5"/>
    <n v="914.37499999999989"/>
    <n v="0.35"/>
  </r>
  <r>
    <m/>
    <x v="2"/>
    <n v="1128299"/>
    <x v="96"/>
    <x v="2"/>
    <x v="26"/>
    <s v="Albuquerque"/>
    <x v="5"/>
    <n v="0.70000000000000007"/>
    <n v="4750"/>
    <n v="3325.0000000000005"/>
    <n v="831.25000000000011"/>
    <n v="0.25"/>
  </r>
  <r>
    <m/>
    <x v="2"/>
    <n v="1128299"/>
    <x v="97"/>
    <x v="2"/>
    <x v="26"/>
    <s v="Albuquerque"/>
    <x v="0"/>
    <n v="0.55000000000000004"/>
    <n v="6750"/>
    <n v="3712.5000000000005"/>
    <n v="1485.0000000000002"/>
    <n v="0.4"/>
  </r>
  <r>
    <m/>
    <x v="2"/>
    <n v="1128299"/>
    <x v="97"/>
    <x v="2"/>
    <x v="26"/>
    <s v="Albuquerque"/>
    <x v="1"/>
    <n v="0.60000000000000009"/>
    <n v="6250"/>
    <n v="3750.0000000000005"/>
    <n v="1500.0000000000002"/>
    <n v="0.4"/>
  </r>
  <r>
    <m/>
    <x v="2"/>
    <n v="1128299"/>
    <x v="97"/>
    <x v="2"/>
    <x v="26"/>
    <s v="Albuquerque"/>
    <x v="2"/>
    <n v="0.55000000000000004"/>
    <n v="5000"/>
    <n v="2750"/>
    <n v="962.49999999999989"/>
    <n v="0.35"/>
  </r>
  <r>
    <m/>
    <x v="2"/>
    <n v="1128299"/>
    <x v="97"/>
    <x v="2"/>
    <x v="26"/>
    <s v="Albuquerque"/>
    <x v="3"/>
    <n v="0.55000000000000004"/>
    <n v="4500"/>
    <n v="2475"/>
    <n v="990"/>
    <n v="0.4"/>
  </r>
  <r>
    <m/>
    <x v="2"/>
    <n v="1128299"/>
    <x v="97"/>
    <x v="2"/>
    <x v="26"/>
    <s v="Albuquerque"/>
    <x v="4"/>
    <n v="0.65"/>
    <n v="4500"/>
    <n v="2925"/>
    <n v="1023.7499999999999"/>
    <n v="0.35"/>
  </r>
  <r>
    <m/>
    <x v="2"/>
    <n v="1128299"/>
    <x v="97"/>
    <x v="2"/>
    <x v="26"/>
    <s v="Albuquerque"/>
    <x v="5"/>
    <n v="0.70000000000000007"/>
    <n v="4250"/>
    <n v="2975.0000000000005"/>
    <n v="743.75000000000011"/>
    <n v="0.25"/>
  </r>
  <r>
    <m/>
    <x v="2"/>
    <n v="1128299"/>
    <x v="98"/>
    <x v="2"/>
    <x v="26"/>
    <s v="Albuquerque"/>
    <x v="0"/>
    <n v="0.45000000000000012"/>
    <n v="6000"/>
    <n v="2700.0000000000009"/>
    <n v="1080.0000000000005"/>
    <n v="0.4"/>
  </r>
  <r>
    <m/>
    <x v="2"/>
    <n v="1128299"/>
    <x v="98"/>
    <x v="2"/>
    <x v="26"/>
    <s v="Albuquerque"/>
    <x v="1"/>
    <n v="0.50000000000000011"/>
    <n v="6000"/>
    <n v="3000.0000000000005"/>
    <n v="1200.0000000000002"/>
    <n v="0.4"/>
  </r>
  <r>
    <m/>
    <x v="2"/>
    <n v="1128299"/>
    <x v="98"/>
    <x v="2"/>
    <x v="26"/>
    <s v="Albuquerque"/>
    <x v="2"/>
    <n v="0.45000000000000012"/>
    <n v="4500"/>
    <n v="2025.0000000000005"/>
    <n v="708.75000000000011"/>
    <n v="0.35"/>
  </r>
  <r>
    <m/>
    <x v="2"/>
    <n v="1128299"/>
    <x v="98"/>
    <x v="2"/>
    <x v="26"/>
    <s v="Albuquerque"/>
    <x v="3"/>
    <n v="0.45000000000000012"/>
    <n v="4000"/>
    <n v="1800.0000000000005"/>
    <n v="720.00000000000023"/>
    <n v="0.4"/>
  </r>
  <r>
    <m/>
    <x v="2"/>
    <n v="1128299"/>
    <x v="98"/>
    <x v="2"/>
    <x v="26"/>
    <s v="Albuquerque"/>
    <x v="4"/>
    <n v="0.55000000000000004"/>
    <n v="4000"/>
    <n v="2200"/>
    <n v="770"/>
    <n v="0.35"/>
  </r>
  <r>
    <m/>
    <x v="2"/>
    <n v="1128299"/>
    <x v="98"/>
    <x v="2"/>
    <x v="26"/>
    <s v="Albuquerque"/>
    <x v="5"/>
    <n v="0.60000000000000009"/>
    <n v="4500"/>
    <n v="2700.0000000000005"/>
    <n v="675.00000000000011"/>
    <n v="0.25"/>
  </r>
  <r>
    <m/>
    <x v="2"/>
    <n v="1128299"/>
    <x v="99"/>
    <x v="2"/>
    <x v="26"/>
    <s v="Albuquerque"/>
    <x v="0"/>
    <n v="0.45000000000000012"/>
    <n v="5250"/>
    <n v="2362.5000000000005"/>
    <n v="945.00000000000023"/>
    <n v="0.4"/>
  </r>
  <r>
    <m/>
    <x v="2"/>
    <n v="1128299"/>
    <x v="99"/>
    <x v="2"/>
    <x v="26"/>
    <s v="Albuquerque"/>
    <x v="1"/>
    <n v="0.50000000000000011"/>
    <n v="5250"/>
    <n v="2625.0000000000005"/>
    <n v="1050.0000000000002"/>
    <n v="0.4"/>
  </r>
  <r>
    <m/>
    <x v="2"/>
    <n v="1128299"/>
    <x v="99"/>
    <x v="2"/>
    <x v="26"/>
    <s v="Albuquerque"/>
    <x v="2"/>
    <n v="0.45000000000000012"/>
    <n v="3500"/>
    <n v="1575.0000000000005"/>
    <n v="551.25000000000011"/>
    <n v="0.35"/>
  </r>
  <r>
    <m/>
    <x v="2"/>
    <n v="1128299"/>
    <x v="99"/>
    <x v="2"/>
    <x v="26"/>
    <s v="Albuquerque"/>
    <x v="3"/>
    <n v="0.45000000000000012"/>
    <n v="3250"/>
    <n v="1462.5000000000005"/>
    <n v="585.00000000000023"/>
    <n v="0.4"/>
  </r>
  <r>
    <m/>
    <x v="2"/>
    <n v="1128299"/>
    <x v="99"/>
    <x v="2"/>
    <x v="26"/>
    <s v="Albuquerque"/>
    <x v="4"/>
    <n v="0.55000000000000004"/>
    <n v="3000"/>
    <n v="1650.0000000000002"/>
    <n v="577.5"/>
    <n v="0.35"/>
  </r>
  <r>
    <m/>
    <x v="2"/>
    <n v="1128299"/>
    <x v="99"/>
    <x v="2"/>
    <x v="26"/>
    <s v="Albuquerque"/>
    <x v="5"/>
    <n v="0.70000000000000007"/>
    <n v="3500"/>
    <n v="2450.0000000000005"/>
    <n v="612.50000000000011"/>
    <n v="0.25"/>
  </r>
  <r>
    <m/>
    <x v="2"/>
    <n v="1128299"/>
    <x v="100"/>
    <x v="2"/>
    <x v="26"/>
    <s v="Albuquerque"/>
    <x v="0"/>
    <n v="0.55000000000000004"/>
    <n v="5250"/>
    <n v="2887.5000000000005"/>
    <n v="1155.0000000000002"/>
    <n v="0.4"/>
  </r>
  <r>
    <m/>
    <x v="2"/>
    <n v="1128299"/>
    <x v="100"/>
    <x v="2"/>
    <x v="26"/>
    <s v="Albuquerque"/>
    <x v="1"/>
    <n v="0.60000000000000009"/>
    <n v="5750"/>
    <n v="3450.0000000000005"/>
    <n v="1380.0000000000002"/>
    <n v="0.4"/>
  </r>
  <r>
    <m/>
    <x v="2"/>
    <n v="1128299"/>
    <x v="100"/>
    <x v="2"/>
    <x v="26"/>
    <s v="Albuquerque"/>
    <x v="2"/>
    <n v="0.55000000000000004"/>
    <n v="4250"/>
    <n v="2337.5"/>
    <n v="818.125"/>
    <n v="0.35"/>
  </r>
  <r>
    <m/>
    <x v="2"/>
    <n v="1128299"/>
    <x v="100"/>
    <x v="2"/>
    <x v="26"/>
    <s v="Albuquerque"/>
    <x v="3"/>
    <n v="0.55000000000000004"/>
    <n v="4000"/>
    <n v="2200"/>
    <n v="880"/>
    <n v="0.4"/>
  </r>
  <r>
    <m/>
    <x v="2"/>
    <n v="1128299"/>
    <x v="100"/>
    <x v="2"/>
    <x v="26"/>
    <s v="Albuquerque"/>
    <x v="4"/>
    <n v="0.65"/>
    <n v="3500"/>
    <n v="2275"/>
    <n v="796.25"/>
    <n v="0.35"/>
  </r>
  <r>
    <m/>
    <x v="2"/>
    <n v="1128299"/>
    <x v="100"/>
    <x v="2"/>
    <x v="26"/>
    <s v="Albuquerque"/>
    <x v="5"/>
    <n v="0.70000000000000007"/>
    <n v="4750"/>
    <n v="3325.0000000000005"/>
    <n v="831.25000000000011"/>
    <n v="0.25"/>
  </r>
  <r>
    <m/>
    <x v="2"/>
    <n v="1128299"/>
    <x v="101"/>
    <x v="2"/>
    <x v="26"/>
    <s v="Albuquerque"/>
    <x v="0"/>
    <n v="0.55000000000000004"/>
    <n v="6750"/>
    <n v="3712.5000000000005"/>
    <n v="1485.0000000000002"/>
    <n v="0.4"/>
  </r>
  <r>
    <m/>
    <x v="2"/>
    <n v="1128299"/>
    <x v="101"/>
    <x v="2"/>
    <x v="26"/>
    <s v="Albuquerque"/>
    <x v="1"/>
    <n v="0.60000000000000009"/>
    <n v="6750"/>
    <n v="4050.0000000000005"/>
    <n v="1620.0000000000002"/>
    <n v="0.4"/>
  </r>
  <r>
    <m/>
    <x v="2"/>
    <n v="1128299"/>
    <x v="101"/>
    <x v="2"/>
    <x v="26"/>
    <s v="Albuquerque"/>
    <x v="2"/>
    <n v="0.55000000000000004"/>
    <n v="4750"/>
    <n v="2612.5"/>
    <n v="914.37499999999989"/>
    <n v="0.35"/>
  </r>
  <r>
    <m/>
    <x v="2"/>
    <n v="1128299"/>
    <x v="101"/>
    <x v="2"/>
    <x v="26"/>
    <s v="Albuquerque"/>
    <x v="3"/>
    <n v="0.55000000000000004"/>
    <n v="4750"/>
    <n v="2612.5"/>
    <n v="1045"/>
    <n v="0.4"/>
  </r>
  <r>
    <m/>
    <x v="2"/>
    <n v="1128299"/>
    <x v="101"/>
    <x v="2"/>
    <x v="26"/>
    <s v="Albuquerque"/>
    <x v="4"/>
    <n v="0.65"/>
    <n v="4000"/>
    <n v="2600"/>
    <n v="909.99999999999989"/>
    <n v="0.35"/>
  </r>
  <r>
    <m/>
    <x v="2"/>
    <n v="1128299"/>
    <x v="101"/>
    <x v="2"/>
    <x v="26"/>
    <s v="Albuquerque"/>
    <x v="5"/>
    <n v="0.70000000000000007"/>
    <n v="5000"/>
    <n v="3500.0000000000005"/>
    <n v="875.00000000000011"/>
    <n v="0.25"/>
  </r>
  <r>
    <s v="x"/>
    <x v="0"/>
    <n v="1185732"/>
    <x v="204"/>
    <x v="4"/>
    <x v="27"/>
    <s v="Atlanta"/>
    <x v="0"/>
    <n v="0.4"/>
    <n v="10250"/>
    <n v="4100"/>
    <n v="1845"/>
    <n v="0.45"/>
  </r>
  <r>
    <m/>
    <x v="0"/>
    <n v="1185732"/>
    <x v="204"/>
    <x v="4"/>
    <x v="27"/>
    <s v="Atlanta"/>
    <x v="1"/>
    <n v="0.4"/>
    <n v="8250"/>
    <n v="3300"/>
    <n v="1155"/>
    <n v="0.35"/>
  </r>
  <r>
    <m/>
    <x v="0"/>
    <n v="1185732"/>
    <x v="204"/>
    <x v="4"/>
    <x v="27"/>
    <s v="Atlanta"/>
    <x v="2"/>
    <n v="0.30000000000000004"/>
    <n v="8250"/>
    <n v="2475.0000000000005"/>
    <n v="618.75000000000011"/>
    <n v="0.25"/>
  </r>
  <r>
    <m/>
    <x v="0"/>
    <n v="1185732"/>
    <x v="204"/>
    <x v="4"/>
    <x v="27"/>
    <s v="Atlanta"/>
    <x v="3"/>
    <n v="0.35"/>
    <n v="6750"/>
    <n v="2362.5"/>
    <n v="708.75"/>
    <n v="0.3"/>
  </r>
  <r>
    <m/>
    <x v="0"/>
    <n v="1185732"/>
    <x v="204"/>
    <x v="4"/>
    <x v="27"/>
    <s v="Atlanta"/>
    <x v="4"/>
    <n v="0.5"/>
    <n v="7250"/>
    <n v="3625"/>
    <n v="1268.75"/>
    <n v="0.35"/>
  </r>
  <r>
    <m/>
    <x v="0"/>
    <n v="1185732"/>
    <x v="204"/>
    <x v="4"/>
    <x v="27"/>
    <s v="Atlanta"/>
    <x v="5"/>
    <n v="0.4"/>
    <n v="8250"/>
    <n v="3300"/>
    <n v="1650"/>
    <n v="0.5"/>
  </r>
  <r>
    <m/>
    <x v="0"/>
    <n v="1185732"/>
    <x v="205"/>
    <x v="4"/>
    <x v="27"/>
    <s v="Atlanta"/>
    <x v="0"/>
    <n v="0.4"/>
    <n v="10750"/>
    <n v="4300"/>
    <n v="1935"/>
    <n v="0.45"/>
  </r>
  <r>
    <m/>
    <x v="0"/>
    <n v="1185732"/>
    <x v="205"/>
    <x v="4"/>
    <x v="27"/>
    <s v="Atlanta"/>
    <x v="1"/>
    <n v="0.4"/>
    <n v="7250"/>
    <n v="2900"/>
    <n v="1014.9999999999999"/>
    <n v="0.35"/>
  </r>
  <r>
    <m/>
    <x v="0"/>
    <n v="1185732"/>
    <x v="205"/>
    <x v="4"/>
    <x v="27"/>
    <s v="Atlanta"/>
    <x v="2"/>
    <n v="0.30000000000000004"/>
    <n v="7750"/>
    <n v="2325.0000000000005"/>
    <n v="581.25000000000011"/>
    <n v="0.25"/>
  </r>
  <r>
    <m/>
    <x v="0"/>
    <n v="1185732"/>
    <x v="205"/>
    <x v="4"/>
    <x v="27"/>
    <s v="Atlanta"/>
    <x v="3"/>
    <n v="0.35"/>
    <n v="6250"/>
    <n v="2187.5"/>
    <n v="656.25"/>
    <n v="0.3"/>
  </r>
  <r>
    <m/>
    <x v="0"/>
    <n v="1185732"/>
    <x v="205"/>
    <x v="4"/>
    <x v="27"/>
    <s v="Atlanta"/>
    <x v="4"/>
    <n v="0.5"/>
    <n v="7000"/>
    <n v="3500"/>
    <n v="1225"/>
    <n v="0.35"/>
  </r>
  <r>
    <m/>
    <x v="0"/>
    <n v="1185732"/>
    <x v="205"/>
    <x v="4"/>
    <x v="27"/>
    <s v="Atlanta"/>
    <x v="5"/>
    <n v="0.35"/>
    <n v="8000"/>
    <n v="2800"/>
    <n v="1400"/>
    <n v="0.5"/>
  </r>
  <r>
    <m/>
    <x v="0"/>
    <n v="1185732"/>
    <x v="115"/>
    <x v="4"/>
    <x v="27"/>
    <s v="Atlanta"/>
    <x v="0"/>
    <n v="0.35"/>
    <n v="10200"/>
    <n v="3570"/>
    <n v="1606.5"/>
    <n v="0.45"/>
  </r>
  <r>
    <m/>
    <x v="0"/>
    <n v="1185732"/>
    <x v="115"/>
    <x v="4"/>
    <x v="27"/>
    <s v="Atlanta"/>
    <x v="1"/>
    <n v="0.35"/>
    <n v="7000"/>
    <n v="2450"/>
    <n v="857.5"/>
    <n v="0.35"/>
  </r>
  <r>
    <m/>
    <x v="0"/>
    <n v="1185732"/>
    <x v="115"/>
    <x v="4"/>
    <x v="27"/>
    <s v="Atlanta"/>
    <x v="2"/>
    <n v="0.25"/>
    <n v="7250"/>
    <n v="1812.5"/>
    <n v="453.125"/>
    <n v="0.25"/>
  </r>
  <r>
    <m/>
    <x v="0"/>
    <n v="1185732"/>
    <x v="115"/>
    <x v="4"/>
    <x v="27"/>
    <s v="Atlanta"/>
    <x v="3"/>
    <n v="0.29999999999999993"/>
    <n v="5750"/>
    <n v="1724.9999999999995"/>
    <n v="517.49999999999989"/>
    <n v="0.3"/>
  </r>
  <r>
    <m/>
    <x v="0"/>
    <n v="1185732"/>
    <x v="115"/>
    <x v="4"/>
    <x v="27"/>
    <s v="Atlanta"/>
    <x v="4"/>
    <n v="0.45000000000000007"/>
    <n v="6250"/>
    <n v="2812.5000000000005"/>
    <n v="984.37500000000011"/>
    <n v="0.35"/>
  </r>
  <r>
    <m/>
    <x v="0"/>
    <n v="1185732"/>
    <x v="115"/>
    <x v="4"/>
    <x v="27"/>
    <s v="Atlanta"/>
    <x v="5"/>
    <n v="0.35"/>
    <n v="7250"/>
    <n v="2537.5"/>
    <n v="1268.75"/>
    <n v="0.5"/>
  </r>
  <r>
    <m/>
    <x v="0"/>
    <n v="1185732"/>
    <x v="206"/>
    <x v="4"/>
    <x v="27"/>
    <s v="Atlanta"/>
    <x v="0"/>
    <n v="0.35"/>
    <n v="9750"/>
    <n v="3412.5"/>
    <n v="1535.625"/>
    <n v="0.45"/>
  </r>
  <r>
    <m/>
    <x v="0"/>
    <n v="1185732"/>
    <x v="206"/>
    <x v="4"/>
    <x v="27"/>
    <s v="Atlanta"/>
    <x v="1"/>
    <n v="0.35"/>
    <n v="6750"/>
    <n v="2362.5"/>
    <n v="826.875"/>
    <n v="0.35"/>
  </r>
  <r>
    <m/>
    <x v="0"/>
    <n v="1185732"/>
    <x v="206"/>
    <x v="4"/>
    <x v="27"/>
    <s v="Atlanta"/>
    <x v="2"/>
    <n v="0.25"/>
    <n v="6750"/>
    <n v="1687.5"/>
    <n v="421.875"/>
    <n v="0.25"/>
  </r>
  <r>
    <m/>
    <x v="0"/>
    <n v="1185732"/>
    <x v="206"/>
    <x v="4"/>
    <x v="27"/>
    <s v="Atlanta"/>
    <x v="3"/>
    <n v="0.29999999999999993"/>
    <n v="6000"/>
    <n v="1799.9999999999995"/>
    <n v="539.99999999999989"/>
    <n v="0.3"/>
  </r>
  <r>
    <m/>
    <x v="0"/>
    <n v="1185732"/>
    <x v="206"/>
    <x v="4"/>
    <x v="27"/>
    <s v="Atlanta"/>
    <x v="4"/>
    <n v="0.5"/>
    <n v="6250"/>
    <n v="3125"/>
    <n v="1093.75"/>
    <n v="0.35"/>
  </r>
  <r>
    <m/>
    <x v="0"/>
    <n v="1185732"/>
    <x v="206"/>
    <x v="4"/>
    <x v="27"/>
    <s v="Atlanta"/>
    <x v="5"/>
    <n v="0.4"/>
    <n v="7750"/>
    <n v="3100"/>
    <n v="1550"/>
    <n v="0.5"/>
  </r>
  <r>
    <m/>
    <x v="0"/>
    <n v="1185732"/>
    <x v="174"/>
    <x v="4"/>
    <x v="27"/>
    <s v="Atlanta"/>
    <x v="0"/>
    <n v="0.5"/>
    <n v="10450"/>
    <n v="5225"/>
    <n v="2351.25"/>
    <n v="0.45"/>
  </r>
  <r>
    <m/>
    <x v="0"/>
    <n v="1185732"/>
    <x v="174"/>
    <x v="4"/>
    <x v="27"/>
    <s v="Atlanta"/>
    <x v="1"/>
    <n v="0.5"/>
    <n v="7500"/>
    <n v="3750"/>
    <n v="1312.5"/>
    <n v="0.35"/>
  </r>
  <r>
    <m/>
    <x v="0"/>
    <n v="1185732"/>
    <x v="174"/>
    <x v="4"/>
    <x v="27"/>
    <s v="Atlanta"/>
    <x v="2"/>
    <n v="0.45"/>
    <n v="7250"/>
    <n v="3262.5"/>
    <n v="815.625"/>
    <n v="0.25"/>
  </r>
  <r>
    <m/>
    <x v="0"/>
    <n v="1185732"/>
    <x v="174"/>
    <x v="4"/>
    <x v="27"/>
    <s v="Atlanta"/>
    <x v="3"/>
    <n v="0.45"/>
    <n v="6750"/>
    <n v="3037.5"/>
    <n v="911.25"/>
    <n v="0.3"/>
  </r>
  <r>
    <m/>
    <x v="0"/>
    <n v="1185732"/>
    <x v="174"/>
    <x v="4"/>
    <x v="27"/>
    <s v="Atlanta"/>
    <x v="4"/>
    <n v="0.54999999999999993"/>
    <n v="7000"/>
    <n v="3849.9999999999995"/>
    <n v="1347.4999999999998"/>
    <n v="0.35"/>
  </r>
  <r>
    <m/>
    <x v="0"/>
    <n v="1185732"/>
    <x v="174"/>
    <x v="4"/>
    <x v="27"/>
    <s v="Atlanta"/>
    <x v="5"/>
    <n v="0.6"/>
    <n v="8000"/>
    <n v="4800"/>
    <n v="2400"/>
    <n v="0.5"/>
  </r>
  <r>
    <m/>
    <x v="0"/>
    <n v="1185732"/>
    <x v="207"/>
    <x v="4"/>
    <x v="27"/>
    <s v="Atlanta"/>
    <x v="0"/>
    <n v="0.54999999999999993"/>
    <n v="10500"/>
    <n v="5774.9999999999991"/>
    <n v="2598.7499999999995"/>
    <n v="0.45"/>
  </r>
  <r>
    <m/>
    <x v="0"/>
    <n v="1185732"/>
    <x v="207"/>
    <x v="4"/>
    <x v="27"/>
    <s v="Atlanta"/>
    <x v="1"/>
    <n v="0.5"/>
    <n v="8000"/>
    <n v="4000"/>
    <n v="1400"/>
    <n v="0.35"/>
  </r>
  <r>
    <m/>
    <x v="0"/>
    <n v="1185732"/>
    <x v="207"/>
    <x v="4"/>
    <x v="27"/>
    <s v="Atlanta"/>
    <x v="2"/>
    <n v="0.5"/>
    <n v="7750"/>
    <n v="3875"/>
    <n v="968.75"/>
    <n v="0.25"/>
  </r>
  <r>
    <m/>
    <x v="0"/>
    <n v="1185732"/>
    <x v="207"/>
    <x v="4"/>
    <x v="27"/>
    <s v="Atlanta"/>
    <x v="3"/>
    <n v="0.5"/>
    <n v="7500"/>
    <n v="3750"/>
    <n v="1125"/>
    <n v="0.3"/>
  </r>
  <r>
    <m/>
    <x v="0"/>
    <n v="1185732"/>
    <x v="207"/>
    <x v="4"/>
    <x v="27"/>
    <s v="Atlanta"/>
    <x v="4"/>
    <n v="0.65"/>
    <n v="7500"/>
    <n v="4875"/>
    <n v="1706.25"/>
    <n v="0.35"/>
  </r>
  <r>
    <m/>
    <x v="0"/>
    <n v="1185732"/>
    <x v="207"/>
    <x v="4"/>
    <x v="27"/>
    <s v="Atlanta"/>
    <x v="5"/>
    <n v="0.70000000000000007"/>
    <n v="9250"/>
    <n v="6475.0000000000009"/>
    <n v="3237.5000000000005"/>
    <n v="0.5"/>
  </r>
  <r>
    <m/>
    <x v="0"/>
    <n v="1185732"/>
    <x v="116"/>
    <x v="4"/>
    <x v="27"/>
    <s v="Atlanta"/>
    <x v="0"/>
    <n v="0.65"/>
    <n v="11500"/>
    <n v="7475"/>
    <n v="3363.75"/>
    <n v="0.45"/>
  </r>
  <r>
    <m/>
    <x v="0"/>
    <n v="1185732"/>
    <x v="116"/>
    <x v="4"/>
    <x v="27"/>
    <s v="Atlanta"/>
    <x v="1"/>
    <n v="0.60000000000000009"/>
    <n v="9000"/>
    <n v="5400.0000000000009"/>
    <n v="1890.0000000000002"/>
    <n v="0.35"/>
  </r>
  <r>
    <m/>
    <x v="0"/>
    <n v="1185732"/>
    <x v="116"/>
    <x v="4"/>
    <x v="27"/>
    <s v="Atlanta"/>
    <x v="2"/>
    <n v="0.55000000000000004"/>
    <n v="8250"/>
    <n v="4537.5"/>
    <n v="1134.375"/>
    <n v="0.25"/>
  </r>
  <r>
    <m/>
    <x v="0"/>
    <n v="1185732"/>
    <x v="116"/>
    <x v="4"/>
    <x v="27"/>
    <s v="Atlanta"/>
    <x v="3"/>
    <n v="0.55000000000000004"/>
    <n v="7750"/>
    <n v="4262.5"/>
    <n v="1278.75"/>
    <n v="0.3"/>
  </r>
  <r>
    <m/>
    <x v="0"/>
    <n v="1185732"/>
    <x v="116"/>
    <x v="4"/>
    <x v="27"/>
    <s v="Atlanta"/>
    <x v="4"/>
    <n v="0.65"/>
    <n v="8000"/>
    <n v="5200"/>
    <n v="1819.9999999999998"/>
    <n v="0.35"/>
  </r>
  <r>
    <m/>
    <x v="0"/>
    <n v="1185732"/>
    <x v="116"/>
    <x v="4"/>
    <x v="27"/>
    <s v="Atlanta"/>
    <x v="5"/>
    <n v="0.70000000000000007"/>
    <n v="9750"/>
    <n v="6825.0000000000009"/>
    <n v="3412.5000000000005"/>
    <n v="0.5"/>
  </r>
  <r>
    <m/>
    <x v="0"/>
    <n v="1185732"/>
    <x v="208"/>
    <x v="4"/>
    <x v="27"/>
    <s v="Atlanta"/>
    <x v="0"/>
    <n v="0.65"/>
    <n v="11250"/>
    <n v="7312.5"/>
    <n v="3290.625"/>
    <n v="0.45"/>
  </r>
  <r>
    <m/>
    <x v="0"/>
    <n v="1185732"/>
    <x v="208"/>
    <x v="4"/>
    <x v="27"/>
    <s v="Atlanta"/>
    <x v="1"/>
    <n v="0.60000000000000009"/>
    <n v="9000"/>
    <n v="5400.0000000000009"/>
    <n v="1890.0000000000002"/>
    <n v="0.35"/>
  </r>
  <r>
    <m/>
    <x v="0"/>
    <n v="1185732"/>
    <x v="208"/>
    <x v="4"/>
    <x v="27"/>
    <s v="Atlanta"/>
    <x v="2"/>
    <n v="0.55000000000000004"/>
    <n v="8250"/>
    <n v="4537.5"/>
    <n v="1134.375"/>
    <n v="0.25"/>
  </r>
  <r>
    <m/>
    <x v="0"/>
    <n v="1185732"/>
    <x v="208"/>
    <x v="4"/>
    <x v="27"/>
    <s v="Atlanta"/>
    <x v="3"/>
    <n v="0.45"/>
    <n v="7750"/>
    <n v="3487.5"/>
    <n v="1046.25"/>
    <n v="0.3"/>
  </r>
  <r>
    <m/>
    <x v="0"/>
    <n v="1185732"/>
    <x v="208"/>
    <x v="4"/>
    <x v="27"/>
    <s v="Atlanta"/>
    <x v="4"/>
    <n v="0.55000000000000004"/>
    <n v="7500"/>
    <n v="4125"/>
    <n v="1443.75"/>
    <n v="0.35"/>
  </r>
  <r>
    <m/>
    <x v="0"/>
    <n v="1185732"/>
    <x v="208"/>
    <x v="4"/>
    <x v="27"/>
    <s v="Atlanta"/>
    <x v="5"/>
    <n v="0.60000000000000009"/>
    <n v="9250"/>
    <n v="5550.0000000000009"/>
    <n v="2775.0000000000005"/>
    <n v="0.5"/>
  </r>
  <r>
    <m/>
    <x v="0"/>
    <n v="1185732"/>
    <x v="178"/>
    <x v="4"/>
    <x v="27"/>
    <s v="Atlanta"/>
    <x v="0"/>
    <n v="0.55000000000000004"/>
    <n v="10250"/>
    <n v="5637.5000000000009"/>
    <n v="2536.8750000000005"/>
    <n v="0.45"/>
  </r>
  <r>
    <m/>
    <x v="0"/>
    <n v="1185732"/>
    <x v="178"/>
    <x v="4"/>
    <x v="27"/>
    <s v="Atlanta"/>
    <x v="1"/>
    <n v="0.50000000000000011"/>
    <n v="8250"/>
    <n v="4125.0000000000009"/>
    <n v="1443.7500000000002"/>
    <n v="0.35"/>
  </r>
  <r>
    <m/>
    <x v="0"/>
    <n v="1185732"/>
    <x v="178"/>
    <x v="4"/>
    <x v="27"/>
    <s v="Atlanta"/>
    <x v="2"/>
    <n v="0.4"/>
    <n v="7250"/>
    <n v="2900"/>
    <n v="725"/>
    <n v="0.25"/>
  </r>
  <r>
    <m/>
    <x v="0"/>
    <n v="1185732"/>
    <x v="178"/>
    <x v="4"/>
    <x v="27"/>
    <s v="Atlanta"/>
    <x v="3"/>
    <n v="0.4"/>
    <n v="7000"/>
    <n v="2800"/>
    <n v="840"/>
    <n v="0.3"/>
  </r>
  <r>
    <m/>
    <x v="0"/>
    <n v="1185732"/>
    <x v="178"/>
    <x v="4"/>
    <x v="27"/>
    <s v="Atlanta"/>
    <x v="4"/>
    <n v="0.5"/>
    <n v="7000"/>
    <n v="3500"/>
    <n v="1225"/>
    <n v="0.35"/>
  </r>
  <r>
    <m/>
    <x v="0"/>
    <n v="1185732"/>
    <x v="178"/>
    <x v="4"/>
    <x v="27"/>
    <s v="Atlanta"/>
    <x v="5"/>
    <n v="0.55000000000000004"/>
    <n v="8000"/>
    <n v="4400"/>
    <n v="2200"/>
    <n v="0.5"/>
  </r>
  <r>
    <m/>
    <x v="0"/>
    <n v="1185732"/>
    <x v="209"/>
    <x v="4"/>
    <x v="27"/>
    <s v="Atlanta"/>
    <x v="0"/>
    <n v="0.55000000000000004"/>
    <n v="9750"/>
    <n v="5362.5"/>
    <n v="2413.125"/>
    <n v="0.45"/>
  </r>
  <r>
    <m/>
    <x v="0"/>
    <n v="1185732"/>
    <x v="209"/>
    <x v="4"/>
    <x v="27"/>
    <s v="Atlanta"/>
    <x v="1"/>
    <n v="0.45000000000000012"/>
    <n v="8000"/>
    <n v="3600.0000000000009"/>
    <n v="1260.0000000000002"/>
    <n v="0.35"/>
  </r>
  <r>
    <m/>
    <x v="0"/>
    <n v="1185732"/>
    <x v="209"/>
    <x v="4"/>
    <x v="27"/>
    <s v="Atlanta"/>
    <x v="2"/>
    <n v="0.45000000000000012"/>
    <n v="6750"/>
    <n v="3037.5000000000009"/>
    <n v="759.37500000000023"/>
    <n v="0.25"/>
  </r>
  <r>
    <m/>
    <x v="0"/>
    <n v="1185732"/>
    <x v="209"/>
    <x v="4"/>
    <x v="27"/>
    <s v="Atlanta"/>
    <x v="3"/>
    <n v="0.45000000000000012"/>
    <n v="6500"/>
    <n v="2925.0000000000009"/>
    <n v="877.50000000000023"/>
    <n v="0.3"/>
  </r>
  <r>
    <m/>
    <x v="0"/>
    <n v="1185732"/>
    <x v="209"/>
    <x v="4"/>
    <x v="27"/>
    <s v="Atlanta"/>
    <x v="4"/>
    <n v="0.55000000000000004"/>
    <n v="6500"/>
    <n v="3575.0000000000005"/>
    <n v="1251.25"/>
    <n v="0.35"/>
  </r>
  <r>
    <m/>
    <x v="0"/>
    <n v="1185732"/>
    <x v="209"/>
    <x v="4"/>
    <x v="27"/>
    <s v="Atlanta"/>
    <x v="5"/>
    <n v="0.6"/>
    <n v="7750"/>
    <n v="4650"/>
    <n v="2325"/>
    <n v="0.5"/>
  </r>
  <r>
    <m/>
    <x v="0"/>
    <n v="1185732"/>
    <x v="210"/>
    <x v="4"/>
    <x v="27"/>
    <s v="Atlanta"/>
    <x v="0"/>
    <n v="0.55000000000000004"/>
    <n v="9250"/>
    <n v="5087.5"/>
    <n v="2289.375"/>
    <n v="0.45"/>
  </r>
  <r>
    <m/>
    <x v="0"/>
    <n v="1185732"/>
    <x v="210"/>
    <x v="4"/>
    <x v="27"/>
    <s v="Atlanta"/>
    <x v="1"/>
    <n v="0.45000000000000012"/>
    <n v="7500"/>
    <n v="3375.0000000000009"/>
    <n v="1181.2500000000002"/>
    <n v="0.35"/>
  </r>
  <r>
    <m/>
    <x v="0"/>
    <n v="1185732"/>
    <x v="210"/>
    <x v="4"/>
    <x v="27"/>
    <s v="Atlanta"/>
    <x v="2"/>
    <n v="0.45000000000000012"/>
    <n v="6950"/>
    <n v="3127.5000000000009"/>
    <n v="781.87500000000023"/>
    <n v="0.25"/>
  </r>
  <r>
    <m/>
    <x v="0"/>
    <n v="1185732"/>
    <x v="210"/>
    <x v="4"/>
    <x v="27"/>
    <s v="Atlanta"/>
    <x v="3"/>
    <n v="0.55000000000000016"/>
    <n v="7500"/>
    <n v="4125.0000000000009"/>
    <n v="1237.5000000000002"/>
    <n v="0.3"/>
  </r>
  <r>
    <m/>
    <x v="0"/>
    <n v="1185732"/>
    <x v="210"/>
    <x v="4"/>
    <x v="27"/>
    <s v="Atlanta"/>
    <x v="4"/>
    <n v="0.70000000000000007"/>
    <n v="7250"/>
    <n v="5075.0000000000009"/>
    <n v="1776.2500000000002"/>
    <n v="0.35"/>
  </r>
  <r>
    <m/>
    <x v="0"/>
    <n v="1185732"/>
    <x v="210"/>
    <x v="4"/>
    <x v="27"/>
    <s v="Atlanta"/>
    <x v="5"/>
    <n v="0.75"/>
    <n v="8250"/>
    <n v="6187.5"/>
    <n v="3093.75"/>
    <n v="0.5"/>
  </r>
  <r>
    <m/>
    <x v="0"/>
    <n v="1185732"/>
    <x v="211"/>
    <x v="4"/>
    <x v="27"/>
    <s v="Atlanta"/>
    <x v="0"/>
    <n v="0.70000000000000007"/>
    <n v="10750"/>
    <n v="7525.0000000000009"/>
    <n v="3386.2500000000005"/>
    <n v="0.45"/>
  </r>
  <r>
    <m/>
    <x v="0"/>
    <n v="1185732"/>
    <x v="211"/>
    <x v="4"/>
    <x v="27"/>
    <s v="Atlanta"/>
    <x v="1"/>
    <n v="0.60000000000000009"/>
    <n v="8750"/>
    <n v="5250.0000000000009"/>
    <n v="1837.5000000000002"/>
    <n v="0.35"/>
  </r>
  <r>
    <m/>
    <x v="0"/>
    <n v="1185732"/>
    <x v="211"/>
    <x v="4"/>
    <x v="27"/>
    <s v="Atlanta"/>
    <x v="2"/>
    <n v="0.60000000000000009"/>
    <n v="8250"/>
    <n v="4950.0000000000009"/>
    <n v="1237.5000000000002"/>
    <n v="0.25"/>
  </r>
  <r>
    <m/>
    <x v="0"/>
    <n v="1185732"/>
    <x v="211"/>
    <x v="4"/>
    <x v="27"/>
    <s v="Atlanta"/>
    <x v="3"/>
    <n v="0.60000000000000009"/>
    <n v="7750"/>
    <n v="4650.0000000000009"/>
    <n v="1395.0000000000002"/>
    <n v="0.3"/>
  </r>
  <r>
    <m/>
    <x v="0"/>
    <n v="1185732"/>
    <x v="211"/>
    <x v="4"/>
    <x v="27"/>
    <s v="Atlanta"/>
    <x v="4"/>
    <n v="0.70000000000000007"/>
    <n v="7750"/>
    <n v="5425.0000000000009"/>
    <n v="1898.7500000000002"/>
    <n v="0.35"/>
  </r>
  <r>
    <m/>
    <x v="0"/>
    <n v="1185732"/>
    <x v="211"/>
    <x v="4"/>
    <x v="27"/>
    <s v="Atlanta"/>
    <x v="5"/>
    <n v="0.75"/>
    <n v="8750"/>
    <n v="6562.5"/>
    <n v="3281.25"/>
    <n v="0.5"/>
  </r>
  <r>
    <s v="x"/>
    <x v="0"/>
    <n v="1185732"/>
    <x v="212"/>
    <x v="4"/>
    <x v="28"/>
    <s v="Charleston"/>
    <x v="0"/>
    <n v="0.35000000000000003"/>
    <n v="9250"/>
    <n v="3237.5000000000005"/>
    <n v="1295.0000000000002"/>
    <n v="0.4"/>
  </r>
  <r>
    <m/>
    <x v="0"/>
    <n v="1185732"/>
    <x v="212"/>
    <x v="4"/>
    <x v="28"/>
    <s v="Charleston"/>
    <x v="1"/>
    <n v="0.35000000000000003"/>
    <n v="7250"/>
    <n v="2537.5000000000005"/>
    <n v="888.12500000000011"/>
    <n v="0.35"/>
  </r>
  <r>
    <m/>
    <x v="0"/>
    <n v="1185732"/>
    <x v="212"/>
    <x v="4"/>
    <x v="28"/>
    <s v="Charleston"/>
    <x v="2"/>
    <n v="0.25000000000000006"/>
    <n v="7250"/>
    <n v="1812.5000000000005"/>
    <n v="725.00000000000023"/>
    <n v="0.4"/>
  </r>
  <r>
    <m/>
    <x v="0"/>
    <n v="1185732"/>
    <x v="212"/>
    <x v="4"/>
    <x v="28"/>
    <s v="Charleston"/>
    <x v="3"/>
    <n v="0.3"/>
    <n v="5750"/>
    <n v="1725"/>
    <n v="690"/>
    <n v="0.4"/>
  </r>
  <r>
    <m/>
    <x v="0"/>
    <n v="1185732"/>
    <x v="212"/>
    <x v="4"/>
    <x v="28"/>
    <s v="Charleston"/>
    <x v="4"/>
    <n v="0.45"/>
    <n v="6250"/>
    <n v="2812.5"/>
    <n v="984.37499999999989"/>
    <n v="0.35"/>
  </r>
  <r>
    <m/>
    <x v="0"/>
    <n v="1185732"/>
    <x v="212"/>
    <x v="4"/>
    <x v="28"/>
    <s v="Charleston"/>
    <x v="5"/>
    <n v="0.35000000000000003"/>
    <n v="7250"/>
    <n v="2537.5000000000005"/>
    <n v="1268.7500000000002"/>
    <n v="0.5"/>
  </r>
  <r>
    <m/>
    <x v="0"/>
    <n v="1185732"/>
    <x v="172"/>
    <x v="4"/>
    <x v="28"/>
    <s v="Charleston"/>
    <x v="0"/>
    <n v="0.35000000000000003"/>
    <n v="9750"/>
    <n v="3412.5000000000005"/>
    <n v="1365.0000000000002"/>
    <n v="0.4"/>
  </r>
  <r>
    <m/>
    <x v="0"/>
    <n v="1185732"/>
    <x v="172"/>
    <x v="4"/>
    <x v="28"/>
    <s v="Charleston"/>
    <x v="1"/>
    <n v="0.35000000000000003"/>
    <n v="6250"/>
    <n v="2187.5"/>
    <n v="765.625"/>
    <n v="0.35"/>
  </r>
  <r>
    <m/>
    <x v="0"/>
    <n v="1185732"/>
    <x v="172"/>
    <x v="4"/>
    <x v="28"/>
    <s v="Charleston"/>
    <x v="2"/>
    <n v="0.25000000000000006"/>
    <n v="6750"/>
    <n v="1687.5000000000005"/>
    <n v="675.00000000000023"/>
    <n v="0.4"/>
  </r>
  <r>
    <m/>
    <x v="0"/>
    <n v="1185732"/>
    <x v="172"/>
    <x v="4"/>
    <x v="28"/>
    <s v="Charleston"/>
    <x v="3"/>
    <n v="0.3"/>
    <n v="5250"/>
    <n v="1575"/>
    <n v="630"/>
    <n v="0.4"/>
  </r>
  <r>
    <m/>
    <x v="0"/>
    <n v="1185732"/>
    <x v="172"/>
    <x v="4"/>
    <x v="28"/>
    <s v="Charleston"/>
    <x v="4"/>
    <n v="0.45"/>
    <n v="6000"/>
    <n v="2700"/>
    <n v="944.99999999999989"/>
    <n v="0.35"/>
  </r>
  <r>
    <m/>
    <x v="0"/>
    <n v="1185732"/>
    <x v="172"/>
    <x v="4"/>
    <x v="28"/>
    <s v="Charleston"/>
    <x v="5"/>
    <n v="0.3"/>
    <n v="7000"/>
    <n v="2100"/>
    <n v="1050"/>
    <n v="0.5"/>
  </r>
  <r>
    <m/>
    <x v="0"/>
    <n v="1185732"/>
    <x v="68"/>
    <x v="4"/>
    <x v="28"/>
    <s v="Charleston"/>
    <x v="0"/>
    <n v="0.3"/>
    <n v="9200"/>
    <n v="2760"/>
    <n v="1104"/>
    <n v="0.4"/>
  </r>
  <r>
    <m/>
    <x v="0"/>
    <n v="1185732"/>
    <x v="68"/>
    <x v="4"/>
    <x v="28"/>
    <s v="Charleston"/>
    <x v="1"/>
    <n v="0.3"/>
    <n v="6000"/>
    <n v="1800"/>
    <n v="630"/>
    <n v="0.35"/>
  </r>
  <r>
    <m/>
    <x v="0"/>
    <n v="1185732"/>
    <x v="68"/>
    <x v="4"/>
    <x v="28"/>
    <s v="Charleston"/>
    <x v="2"/>
    <n v="0.2"/>
    <n v="6250"/>
    <n v="1250"/>
    <n v="500"/>
    <n v="0.4"/>
  </r>
  <r>
    <m/>
    <x v="0"/>
    <n v="1185732"/>
    <x v="68"/>
    <x v="4"/>
    <x v="28"/>
    <s v="Charleston"/>
    <x v="3"/>
    <n v="0.24999999999999994"/>
    <n v="4750"/>
    <n v="1187.4999999999998"/>
    <n v="474.99999999999994"/>
    <n v="0.4"/>
  </r>
  <r>
    <m/>
    <x v="0"/>
    <n v="1185732"/>
    <x v="68"/>
    <x v="4"/>
    <x v="28"/>
    <s v="Charleston"/>
    <x v="4"/>
    <n v="0.40000000000000008"/>
    <n v="5250"/>
    <n v="2100.0000000000005"/>
    <n v="735.00000000000011"/>
    <n v="0.35"/>
  </r>
  <r>
    <m/>
    <x v="0"/>
    <n v="1185732"/>
    <x v="68"/>
    <x v="4"/>
    <x v="28"/>
    <s v="Charleston"/>
    <x v="5"/>
    <n v="0.3"/>
    <n v="6250"/>
    <n v="1875"/>
    <n v="937.5"/>
    <n v="0.5"/>
  </r>
  <r>
    <m/>
    <x v="0"/>
    <n v="1185732"/>
    <x v="69"/>
    <x v="4"/>
    <x v="28"/>
    <s v="Charleston"/>
    <x v="0"/>
    <n v="0.3"/>
    <n v="8750"/>
    <n v="2625"/>
    <n v="1050"/>
    <n v="0.4"/>
  </r>
  <r>
    <m/>
    <x v="0"/>
    <n v="1185732"/>
    <x v="69"/>
    <x v="4"/>
    <x v="28"/>
    <s v="Charleston"/>
    <x v="1"/>
    <n v="0.3"/>
    <n v="5750"/>
    <n v="1725"/>
    <n v="603.75"/>
    <n v="0.35"/>
  </r>
  <r>
    <m/>
    <x v="0"/>
    <n v="1185732"/>
    <x v="69"/>
    <x v="4"/>
    <x v="28"/>
    <s v="Charleston"/>
    <x v="2"/>
    <n v="0.2"/>
    <n v="5750"/>
    <n v="1150"/>
    <n v="460"/>
    <n v="0.4"/>
  </r>
  <r>
    <m/>
    <x v="0"/>
    <n v="1185732"/>
    <x v="69"/>
    <x v="4"/>
    <x v="28"/>
    <s v="Charleston"/>
    <x v="3"/>
    <n v="0.24999999999999994"/>
    <n v="5000"/>
    <n v="1249.9999999999998"/>
    <n v="499.99999999999994"/>
    <n v="0.4"/>
  </r>
  <r>
    <m/>
    <x v="0"/>
    <n v="1185732"/>
    <x v="69"/>
    <x v="4"/>
    <x v="28"/>
    <s v="Charleston"/>
    <x v="4"/>
    <n v="0.45"/>
    <n v="5250"/>
    <n v="2362.5"/>
    <n v="826.875"/>
    <n v="0.35"/>
  </r>
  <r>
    <m/>
    <x v="0"/>
    <n v="1185732"/>
    <x v="69"/>
    <x v="4"/>
    <x v="28"/>
    <s v="Charleston"/>
    <x v="5"/>
    <n v="0.35000000000000003"/>
    <n v="6750"/>
    <n v="2362.5"/>
    <n v="1181.25"/>
    <n v="0.5"/>
  </r>
  <r>
    <m/>
    <x v="0"/>
    <n v="1185732"/>
    <x v="16"/>
    <x v="4"/>
    <x v="28"/>
    <s v="Charleston"/>
    <x v="0"/>
    <n v="0.45"/>
    <n v="9450"/>
    <n v="4252.5"/>
    <n v="1701"/>
    <n v="0.4"/>
  </r>
  <r>
    <m/>
    <x v="0"/>
    <n v="1185732"/>
    <x v="16"/>
    <x v="4"/>
    <x v="28"/>
    <s v="Charleston"/>
    <x v="1"/>
    <n v="0.45"/>
    <n v="6500"/>
    <n v="2925"/>
    <n v="1023.7499999999999"/>
    <n v="0.35"/>
  </r>
  <r>
    <m/>
    <x v="0"/>
    <n v="1185732"/>
    <x v="16"/>
    <x v="4"/>
    <x v="28"/>
    <s v="Charleston"/>
    <x v="2"/>
    <n v="0.4"/>
    <n v="6250"/>
    <n v="2500"/>
    <n v="1000"/>
    <n v="0.4"/>
  </r>
  <r>
    <m/>
    <x v="0"/>
    <n v="1185732"/>
    <x v="16"/>
    <x v="4"/>
    <x v="28"/>
    <s v="Charleston"/>
    <x v="3"/>
    <n v="0.4"/>
    <n v="5750"/>
    <n v="2300"/>
    <n v="920"/>
    <n v="0.4"/>
  </r>
  <r>
    <m/>
    <x v="0"/>
    <n v="1185732"/>
    <x v="16"/>
    <x v="4"/>
    <x v="28"/>
    <s v="Charleston"/>
    <x v="4"/>
    <n v="0.49999999999999994"/>
    <n v="6000"/>
    <n v="2999.9999999999995"/>
    <n v="1049.9999999999998"/>
    <n v="0.35"/>
  </r>
  <r>
    <m/>
    <x v="0"/>
    <n v="1185732"/>
    <x v="16"/>
    <x v="4"/>
    <x v="28"/>
    <s v="Charleston"/>
    <x v="5"/>
    <n v="0.54999999999999993"/>
    <n v="7000"/>
    <n v="3849.9999999999995"/>
    <n v="1924.9999999999998"/>
    <n v="0.5"/>
  </r>
  <r>
    <m/>
    <x v="0"/>
    <n v="1185732"/>
    <x v="175"/>
    <x v="4"/>
    <x v="28"/>
    <s v="Charleston"/>
    <x v="0"/>
    <n v="0.49999999999999994"/>
    <n v="9500"/>
    <n v="4749.9999999999991"/>
    <n v="1899.9999999999998"/>
    <n v="0.4"/>
  </r>
  <r>
    <m/>
    <x v="0"/>
    <n v="1185732"/>
    <x v="175"/>
    <x v="4"/>
    <x v="28"/>
    <s v="Charleston"/>
    <x v="1"/>
    <n v="0.45"/>
    <n v="7000"/>
    <n v="3150"/>
    <n v="1102.5"/>
    <n v="0.35"/>
  </r>
  <r>
    <m/>
    <x v="0"/>
    <n v="1185732"/>
    <x v="175"/>
    <x v="4"/>
    <x v="28"/>
    <s v="Charleston"/>
    <x v="2"/>
    <n v="0.5"/>
    <n v="6750"/>
    <n v="3375"/>
    <n v="1350"/>
    <n v="0.4"/>
  </r>
  <r>
    <m/>
    <x v="0"/>
    <n v="1185732"/>
    <x v="175"/>
    <x v="4"/>
    <x v="28"/>
    <s v="Charleston"/>
    <x v="3"/>
    <n v="0.5"/>
    <n v="6500"/>
    <n v="3250"/>
    <n v="1300"/>
    <n v="0.4"/>
  </r>
  <r>
    <m/>
    <x v="0"/>
    <n v="1185732"/>
    <x v="175"/>
    <x v="4"/>
    <x v="28"/>
    <s v="Charleston"/>
    <x v="4"/>
    <n v="0.65"/>
    <n v="6500"/>
    <n v="4225"/>
    <n v="1478.75"/>
    <n v="0.35"/>
  </r>
  <r>
    <m/>
    <x v="0"/>
    <n v="1185732"/>
    <x v="175"/>
    <x v="4"/>
    <x v="28"/>
    <s v="Charleston"/>
    <x v="5"/>
    <n v="0.70000000000000007"/>
    <n v="8250"/>
    <n v="5775.0000000000009"/>
    <n v="2887.5000000000005"/>
    <n v="0.5"/>
  </r>
  <r>
    <m/>
    <x v="0"/>
    <n v="1185732"/>
    <x v="72"/>
    <x v="4"/>
    <x v="28"/>
    <s v="Charleston"/>
    <x v="0"/>
    <n v="0.65"/>
    <n v="10500"/>
    <n v="6825"/>
    <n v="2730"/>
    <n v="0.4"/>
  </r>
  <r>
    <m/>
    <x v="0"/>
    <n v="1185732"/>
    <x v="72"/>
    <x v="4"/>
    <x v="28"/>
    <s v="Charleston"/>
    <x v="1"/>
    <n v="0.60000000000000009"/>
    <n v="8000"/>
    <n v="4800.0000000000009"/>
    <n v="1680.0000000000002"/>
    <n v="0.35"/>
  </r>
  <r>
    <m/>
    <x v="0"/>
    <n v="1185732"/>
    <x v="72"/>
    <x v="4"/>
    <x v="28"/>
    <s v="Charleston"/>
    <x v="2"/>
    <n v="0.55000000000000004"/>
    <n v="7250"/>
    <n v="3987.5000000000005"/>
    <n v="1595.0000000000002"/>
    <n v="0.4"/>
  </r>
  <r>
    <m/>
    <x v="0"/>
    <n v="1185732"/>
    <x v="72"/>
    <x v="4"/>
    <x v="28"/>
    <s v="Charleston"/>
    <x v="3"/>
    <n v="0.55000000000000004"/>
    <n v="6750"/>
    <n v="3712.5000000000005"/>
    <n v="1485.0000000000002"/>
    <n v="0.4"/>
  </r>
  <r>
    <m/>
    <x v="0"/>
    <n v="1185732"/>
    <x v="72"/>
    <x v="4"/>
    <x v="28"/>
    <s v="Charleston"/>
    <x v="4"/>
    <n v="0.65"/>
    <n v="7000"/>
    <n v="4550"/>
    <n v="1592.5"/>
    <n v="0.35"/>
  </r>
  <r>
    <m/>
    <x v="0"/>
    <n v="1185732"/>
    <x v="72"/>
    <x v="4"/>
    <x v="28"/>
    <s v="Charleston"/>
    <x v="5"/>
    <n v="0.70000000000000007"/>
    <n v="8750"/>
    <n v="6125.0000000000009"/>
    <n v="3062.5000000000005"/>
    <n v="0.5"/>
  </r>
  <r>
    <m/>
    <x v="0"/>
    <n v="1185732"/>
    <x v="73"/>
    <x v="4"/>
    <x v="28"/>
    <s v="Charleston"/>
    <x v="0"/>
    <n v="0.65"/>
    <n v="10250"/>
    <n v="6662.5"/>
    <n v="2665"/>
    <n v="0.4"/>
  </r>
  <r>
    <m/>
    <x v="0"/>
    <n v="1185732"/>
    <x v="73"/>
    <x v="4"/>
    <x v="28"/>
    <s v="Charleston"/>
    <x v="1"/>
    <n v="0.60000000000000009"/>
    <n v="8000"/>
    <n v="4800.0000000000009"/>
    <n v="1680.0000000000002"/>
    <n v="0.35"/>
  </r>
  <r>
    <m/>
    <x v="0"/>
    <n v="1185732"/>
    <x v="73"/>
    <x v="4"/>
    <x v="28"/>
    <s v="Charleston"/>
    <x v="2"/>
    <n v="0.55000000000000004"/>
    <n v="7250"/>
    <n v="3987.5000000000005"/>
    <n v="1595.0000000000002"/>
    <n v="0.4"/>
  </r>
  <r>
    <m/>
    <x v="0"/>
    <n v="1185732"/>
    <x v="73"/>
    <x v="4"/>
    <x v="28"/>
    <s v="Charleston"/>
    <x v="3"/>
    <n v="0.45"/>
    <n v="6750"/>
    <n v="3037.5"/>
    <n v="1215"/>
    <n v="0.4"/>
  </r>
  <r>
    <m/>
    <x v="0"/>
    <n v="1185732"/>
    <x v="73"/>
    <x v="4"/>
    <x v="28"/>
    <s v="Charleston"/>
    <x v="4"/>
    <n v="0.55000000000000004"/>
    <n v="6500"/>
    <n v="3575.0000000000005"/>
    <n v="1251.25"/>
    <n v="0.35"/>
  </r>
  <r>
    <m/>
    <x v="0"/>
    <n v="1185732"/>
    <x v="73"/>
    <x v="4"/>
    <x v="28"/>
    <s v="Charleston"/>
    <x v="5"/>
    <n v="0.60000000000000009"/>
    <n v="8250"/>
    <n v="4950.0000000000009"/>
    <n v="2475.0000000000005"/>
    <n v="0.5"/>
  </r>
  <r>
    <m/>
    <x v="0"/>
    <n v="1185732"/>
    <x v="20"/>
    <x v="4"/>
    <x v="28"/>
    <s v="Charleston"/>
    <x v="0"/>
    <n v="0.55000000000000004"/>
    <n v="9250"/>
    <n v="5087.5"/>
    <n v="2035"/>
    <n v="0.4"/>
  </r>
  <r>
    <m/>
    <x v="0"/>
    <n v="1185732"/>
    <x v="20"/>
    <x v="4"/>
    <x v="28"/>
    <s v="Charleston"/>
    <x v="1"/>
    <n v="0.50000000000000011"/>
    <n v="7250"/>
    <n v="3625.0000000000009"/>
    <n v="1268.7500000000002"/>
    <n v="0.35"/>
  </r>
  <r>
    <m/>
    <x v="0"/>
    <n v="1185732"/>
    <x v="20"/>
    <x v="4"/>
    <x v="28"/>
    <s v="Charleston"/>
    <x v="2"/>
    <n v="0.30000000000000004"/>
    <n v="6250"/>
    <n v="1875.0000000000002"/>
    <n v="750.00000000000011"/>
    <n v="0.4"/>
  </r>
  <r>
    <m/>
    <x v="0"/>
    <n v="1185732"/>
    <x v="20"/>
    <x v="4"/>
    <x v="28"/>
    <s v="Charleston"/>
    <x v="3"/>
    <n v="0.30000000000000004"/>
    <n v="6000"/>
    <n v="1800.0000000000002"/>
    <n v="720.00000000000011"/>
    <n v="0.4"/>
  </r>
  <r>
    <m/>
    <x v="0"/>
    <n v="1185732"/>
    <x v="20"/>
    <x v="4"/>
    <x v="28"/>
    <s v="Charleston"/>
    <x v="4"/>
    <n v="0.4"/>
    <n v="6000"/>
    <n v="2400"/>
    <n v="840"/>
    <n v="0.35"/>
  </r>
  <r>
    <m/>
    <x v="0"/>
    <n v="1185732"/>
    <x v="20"/>
    <x v="4"/>
    <x v="28"/>
    <s v="Charleston"/>
    <x v="5"/>
    <n v="0.45000000000000007"/>
    <n v="7000"/>
    <n v="3150.0000000000005"/>
    <n v="1575.0000000000002"/>
    <n v="0.5"/>
  </r>
  <r>
    <m/>
    <x v="0"/>
    <n v="1185732"/>
    <x v="179"/>
    <x v="4"/>
    <x v="28"/>
    <s v="Charleston"/>
    <x v="0"/>
    <n v="0.45000000000000007"/>
    <n v="8750"/>
    <n v="3937.5000000000005"/>
    <n v="1575.0000000000002"/>
    <n v="0.4"/>
  </r>
  <r>
    <m/>
    <x v="0"/>
    <n v="1185732"/>
    <x v="179"/>
    <x v="4"/>
    <x v="28"/>
    <s v="Charleston"/>
    <x v="1"/>
    <n v="0.35000000000000009"/>
    <n v="7000"/>
    <n v="2450.0000000000005"/>
    <n v="857.50000000000011"/>
    <n v="0.35"/>
  </r>
  <r>
    <m/>
    <x v="0"/>
    <n v="1185732"/>
    <x v="179"/>
    <x v="4"/>
    <x v="28"/>
    <s v="Charleston"/>
    <x v="2"/>
    <n v="0.35000000000000009"/>
    <n v="5750"/>
    <n v="2012.5000000000005"/>
    <n v="805.00000000000023"/>
    <n v="0.4"/>
  </r>
  <r>
    <m/>
    <x v="0"/>
    <n v="1185732"/>
    <x v="179"/>
    <x v="4"/>
    <x v="28"/>
    <s v="Charleston"/>
    <x v="3"/>
    <n v="0.35000000000000009"/>
    <n v="5500"/>
    <n v="1925.0000000000005"/>
    <n v="770.00000000000023"/>
    <n v="0.4"/>
  </r>
  <r>
    <m/>
    <x v="0"/>
    <n v="1185732"/>
    <x v="179"/>
    <x v="4"/>
    <x v="28"/>
    <s v="Charleston"/>
    <x v="4"/>
    <n v="0.45000000000000007"/>
    <n v="5500"/>
    <n v="2475.0000000000005"/>
    <n v="866.25000000000011"/>
    <n v="0.35"/>
  </r>
  <r>
    <m/>
    <x v="0"/>
    <n v="1185732"/>
    <x v="179"/>
    <x v="4"/>
    <x v="28"/>
    <s v="Charleston"/>
    <x v="5"/>
    <n v="0.5"/>
    <n v="6750"/>
    <n v="3375"/>
    <n v="1687.5"/>
    <n v="0.5"/>
  </r>
  <r>
    <m/>
    <x v="0"/>
    <n v="1185732"/>
    <x v="76"/>
    <x v="4"/>
    <x v="28"/>
    <s v="Charleston"/>
    <x v="0"/>
    <n v="0.45000000000000007"/>
    <n v="8250"/>
    <n v="3712.5000000000005"/>
    <n v="1485.0000000000002"/>
    <n v="0.4"/>
  </r>
  <r>
    <m/>
    <x v="0"/>
    <n v="1185732"/>
    <x v="76"/>
    <x v="4"/>
    <x v="28"/>
    <s v="Charleston"/>
    <x v="1"/>
    <n v="0.35000000000000009"/>
    <n v="6500"/>
    <n v="2275.0000000000005"/>
    <n v="796.25000000000011"/>
    <n v="0.35"/>
  </r>
  <r>
    <m/>
    <x v="0"/>
    <n v="1185732"/>
    <x v="76"/>
    <x v="4"/>
    <x v="28"/>
    <s v="Charleston"/>
    <x v="2"/>
    <n v="0.40000000000000013"/>
    <n v="5950"/>
    <n v="2380.0000000000009"/>
    <n v="952.00000000000045"/>
    <n v="0.4"/>
  </r>
  <r>
    <m/>
    <x v="0"/>
    <n v="1185732"/>
    <x v="76"/>
    <x v="4"/>
    <x v="28"/>
    <s v="Charleston"/>
    <x v="3"/>
    <n v="0.6000000000000002"/>
    <n v="6500"/>
    <n v="3900.0000000000014"/>
    <n v="1560.0000000000007"/>
    <n v="0.4"/>
  </r>
  <r>
    <m/>
    <x v="0"/>
    <n v="1185732"/>
    <x v="76"/>
    <x v="4"/>
    <x v="28"/>
    <s v="Charleston"/>
    <x v="4"/>
    <n v="0.75000000000000011"/>
    <n v="6250"/>
    <n v="4687.5000000000009"/>
    <n v="1640.6250000000002"/>
    <n v="0.35"/>
  </r>
  <r>
    <m/>
    <x v="0"/>
    <n v="1185732"/>
    <x v="76"/>
    <x v="4"/>
    <x v="28"/>
    <s v="Charleston"/>
    <x v="5"/>
    <n v="0.75"/>
    <n v="7250"/>
    <n v="5437.5"/>
    <n v="2718.75"/>
    <n v="0.5"/>
  </r>
  <r>
    <m/>
    <x v="0"/>
    <n v="1185732"/>
    <x v="77"/>
    <x v="4"/>
    <x v="28"/>
    <s v="Charleston"/>
    <x v="0"/>
    <n v="0.70000000000000007"/>
    <n v="9750"/>
    <n v="6825.0000000000009"/>
    <n v="2730.0000000000005"/>
    <n v="0.4"/>
  </r>
  <r>
    <m/>
    <x v="0"/>
    <n v="1185732"/>
    <x v="77"/>
    <x v="4"/>
    <x v="28"/>
    <s v="Charleston"/>
    <x v="1"/>
    <n v="0.60000000000000009"/>
    <n v="7750"/>
    <n v="4650.0000000000009"/>
    <n v="1627.5000000000002"/>
    <n v="0.35"/>
  </r>
  <r>
    <m/>
    <x v="0"/>
    <n v="1185732"/>
    <x v="77"/>
    <x v="4"/>
    <x v="28"/>
    <s v="Charleston"/>
    <x v="2"/>
    <n v="0.60000000000000009"/>
    <n v="7250"/>
    <n v="4350.0000000000009"/>
    <n v="1740.0000000000005"/>
    <n v="0.4"/>
  </r>
  <r>
    <m/>
    <x v="0"/>
    <n v="1185732"/>
    <x v="77"/>
    <x v="4"/>
    <x v="28"/>
    <s v="Charleston"/>
    <x v="3"/>
    <n v="0.60000000000000009"/>
    <n v="6750"/>
    <n v="4050.0000000000005"/>
    <n v="1620.0000000000002"/>
    <n v="0.4"/>
  </r>
  <r>
    <m/>
    <x v="0"/>
    <n v="1185732"/>
    <x v="77"/>
    <x v="4"/>
    <x v="28"/>
    <s v="Charleston"/>
    <x v="4"/>
    <n v="0.70000000000000007"/>
    <n v="6750"/>
    <n v="4725"/>
    <n v="1653.75"/>
    <n v="0.35"/>
  </r>
  <r>
    <m/>
    <x v="0"/>
    <n v="1185732"/>
    <x v="77"/>
    <x v="4"/>
    <x v="28"/>
    <s v="Charleston"/>
    <x v="5"/>
    <n v="0.75"/>
    <n v="7750"/>
    <n v="5812.5"/>
    <n v="2906.25"/>
    <n v="0.5"/>
  </r>
  <r>
    <s v="x"/>
    <x v="0"/>
    <n v="1185732"/>
    <x v="90"/>
    <x v="4"/>
    <x v="29"/>
    <s v="Charlotte"/>
    <x v="0"/>
    <n v="0.35000000000000003"/>
    <n v="7750"/>
    <n v="2712.5000000000005"/>
    <n v="1085.0000000000002"/>
    <n v="0.4"/>
  </r>
  <r>
    <m/>
    <x v="0"/>
    <n v="1185732"/>
    <x v="90"/>
    <x v="4"/>
    <x v="29"/>
    <s v="Charlotte"/>
    <x v="1"/>
    <n v="0.35000000000000003"/>
    <n v="5750"/>
    <n v="2012.5000000000002"/>
    <n v="704.375"/>
    <n v="0.35"/>
  </r>
  <r>
    <m/>
    <x v="0"/>
    <n v="1185732"/>
    <x v="90"/>
    <x v="4"/>
    <x v="29"/>
    <s v="Charlotte"/>
    <x v="2"/>
    <n v="0.25000000000000006"/>
    <n v="5750"/>
    <n v="1437.5000000000002"/>
    <n v="575.00000000000011"/>
    <n v="0.4"/>
  </r>
  <r>
    <m/>
    <x v="0"/>
    <n v="1185732"/>
    <x v="90"/>
    <x v="4"/>
    <x v="29"/>
    <s v="Charlotte"/>
    <x v="3"/>
    <n v="0.3"/>
    <n v="4250"/>
    <n v="1275"/>
    <n v="510"/>
    <n v="0.4"/>
  </r>
  <r>
    <m/>
    <x v="0"/>
    <n v="1185732"/>
    <x v="90"/>
    <x v="4"/>
    <x v="29"/>
    <s v="Charlotte"/>
    <x v="4"/>
    <n v="0.45"/>
    <n v="4750"/>
    <n v="2137.5"/>
    <n v="748.125"/>
    <n v="0.35"/>
  </r>
  <r>
    <m/>
    <x v="0"/>
    <n v="1185732"/>
    <x v="90"/>
    <x v="4"/>
    <x v="29"/>
    <s v="Charlotte"/>
    <x v="5"/>
    <n v="0.35000000000000003"/>
    <n v="5750"/>
    <n v="2012.5000000000002"/>
    <n v="1006.2500000000001"/>
    <n v="0.5"/>
  </r>
  <r>
    <m/>
    <x v="0"/>
    <n v="1185732"/>
    <x v="119"/>
    <x v="4"/>
    <x v="29"/>
    <s v="Charlotte"/>
    <x v="0"/>
    <n v="0.35000000000000003"/>
    <n v="8250"/>
    <n v="2887.5000000000005"/>
    <n v="1155.0000000000002"/>
    <n v="0.4"/>
  </r>
  <r>
    <m/>
    <x v="0"/>
    <n v="1185732"/>
    <x v="119"/>
    <x v="4"/>
    <x v="29"/>
    <s v="Charlotte"/>
    <x v="1"/>
    <n v="0.35000000000000003"/>
    <n v="4750"/>
    <n v="1662.5000000000002"/>
    <n v="581.875"/>
    <n v="0.35"/>
  </r>
  <r>
    <m/>
    <x v="0"/>
    <n v="1185732"/>
    <x v="119"/>
    <x v="4"/>
    <x v="29"/>
    <s v="Charlotte"/>
    <x v="2"/>
    <n v="0.25000000000000006"/>
    <n v="5250"/>
    <n v="1312.5000000000002"/>
    <n v="525.00000000000011"/>
    <n v="0.4"/>
  </r>
  <r>
    <m/>
    <x v="0"/>
    <n v="1185732"/>
    <x v="119"/>
    <x v="4"/>
    <x v="29"/>
    <s v="Charlotte"/>
    <x v="3"/>
    <n v="0.3"/>
    <n v="3750"/>
    <n v="1125"/>
    <n v="450"/>
    <n v="0.4"/>
  </r>
  <r>
    <m/>
    <x v="0"/>
    <n v="1185732"/>
    <x v="119"/>
    <x v="4"/>
    <x v="29"/>
    <s v="Charlotte"/>
    <x v="4"/>
    <n v="0.45"/>
    <n v="4500"/>
    <n v="2025"/>
    <n v="708.75"/>
    <n v="0.35"/>
  </r>
  <r>
    <m/>
    <x v="0"/>
    <n v="1185732"/>
    <x v="119"/>
    <x v="4"/>
    <x v="29"/>
    <s v="Charlotte"/>
    <x v="5"/>
    <n v="0.3"/>
    <n v="5500"/>
    <n v="1650"/>
    <n v="825"/>
    <n v="0.5"/>
  </r>
  <r>
    <m/>
    <x v="0"/>
    <n v="1185732"/>
    <x v="137"/>
    <x v="4"/>
    <x v="29"/>
    <s v="Charlotte"/>
    <x v="0"/>
    <n v="0.3"/>
    <n v="7700"/>
    <n v="2310"/>
    <n v="924"/>
    <n v="0.4"/>
  </r>
  <r>
    <m/>
    <x v="0"/>
    <n v="1185732"/>
    <x v="137"/>
    <x v="4"/>
    <x v="29"/>
    <s v="Charlotte"/>
    <x v="1"/>
    <n v="0.3"/>
    <n v="4500"/>
    <n v="1350"/>
    <n v="472.49999999999994"/>
    <n v="0.35"/>
  </r>
  <r>
    <m/>
    <x v="0"/>
    <n v="1185732"/>
    <x v="137"/>
    <x v="4"/>
    <x v="29"/>
    <s v="Charlotte"/>
    <x v="2"/>
    <n v="0.2"/>
    <n v="4750"/>
    <n v="950"/>
    <n v="380"/>
    <n v="0.4"/>
  </r>
  <r>
    <m/>
    <x v="0"/>
    <n v="1185732"/>
    <x v="137"/>
    <x v="4"/>
    <x v="29"/>
    <s v="Charlotte"/>
    <x v="3"/>
    <n v="0.24999999999999994"/>
    <n v="3250"/>
    <n v="812.49999999999977"/>
    <n v="324.99999999999994"/>
    <n v="0.4"/>
  </r>
  <r>
    <m/>
    <x v="0"/>
    <n v="1185732"/>
    <x v="137"/>
    <x v="4"/>
    <x v="29"/>
    <s v="Charlotte"/>
    <x v="4"/>
    <n v="0.40000000000000008"/>
    <n v="3750"/>
    <n v="1500.0000000000002"/>
    <n v="525"/>
    <n v="0.35"/>
  </r>
  <r>
    <m/>
    <x v="0"/>
    <n v="1185732"/>
    <x v="137"/>
    <x v="4"/>
    <x v="29"/>
    <s v="Charlotte"/>
    <x v="5"/>
    <n v="0.3"/>
    <n v="4750"/>
    <n v="1425"/>
    <n v="712.5"/>
    <n v="0.5"/>
  </r>
  <r>
    <m/>
    <x v="0"/>
    <n v="1185732"/>
    <x v="138"/>
    <x v="4"/>
    <x v="29"/>
    <s v="Charlotte"/>
    <x v="0"/>
    <n v="0.3"/>
    <n v="7250"/>
    <n v="2175"/>
    <n v="870"/>
    <n v="0.4"/>
  </r>
  <r>
    <m/>
    <x v="0"/>
    <n v="1185732"/>
    <x v="138"/>
    <x v="4"/>
    <x v="29"/>
    <s v="Charlotte"/>
    <x v="1"/>
    <n v="0.3"/>
    <n v="4250"/>
    <n v="1275"/>
    <n v="446.25"/>
    <n v="0.35"/>
  </r>
  <r>
    <m/>
    <x v="0"/>
    <n v="1185732"/>
    <x v="138"/>
    <x v="4"/>
    <x v="29"/>
    <s v="Charlotte"/>
    <x v="2"/>
    <n v="0.2"/>
    <n v="4250"/>
    <n v="850"/>
    <n v="340"/>
    <n v="0.4"/>
  </r>
  <r>
    <m/>
    <x v="0"/>
    <n v="1185732"/>
    <x v="138"/>
    <x v="4"/>
    <x v="29"/>
    <s v="Charlotte"/>
    <x v="3"/>
    <n v="0.24999999999999994"/>
    <n v="3500"/>
    <n v="874.99999999999977"/>
    <n v="349.99999999999994"/>
    <n v="0.4"/>
  </r>
  <r>
    <m/>
    <x v="0"/>
    <n v="1185732"/>
    <x v="138"/>
    <x v="4"/>
    <x v="29"/>
    <s v="Charlotte"/>
    <x v="4"/>
    <n v="0.45"/>
    <n v="3750"/>
    <n v="1687.5"/>
    <n v="590.625"/>
    <n v="0.35"/>
  </r>
  <r>
    <m/>
    <x v="0"/>
    <n v="1185732"/>
    <x v="138"/>
    <x v="4"/>
    <x v="29"/>
    <s v="Charlotte"/>
    <x v="5"/>
    <n v="0.35000000000000003"/>
    <n v="5250"/>
    <n v="1837.5000000000002"/>
    <n v="918.75000000000011"/>
    <n v="0.5"/>
  </r>
  <r>
    <m/>
    <x v="0"/>
    <n v="1185732"/>
    <x v="213"/>
    <x v="4"/>
    <x v="29"/>
    <s v="Charlotte"/>
    <x v="0"/>
    <n v="0.45"/>
    <n v="7950"/>
    <n v="3577.5"/>
    <n v="1431"/>
    <n v="0.4"/>
  </r>
  <r>
    <m/>
    <x v="0"/>
    <n v="1185732"/>
    <x v="213"/>
    <x v="4"/>
    <x v="29"/>
    <s v="Charlotte"/>
    <x v="1"/>
    <n v="0.45"/>
    <n v="5000"/>
    <n v="2250"/>
    <n v="787.5"/>
    <n v="0.35"/>
  </r>
  <r>
    <m/>
    <x v="0"/>
    <n v="1185732"/>
    <x v="213"/>
    <x v="4"/>
    <x v="29"/>
    <s v="Charlotte"/>
    <x v="2"/>
    <n v="0.4"/>
    <n v="4750"/>
    <n v="1900"/>
    <n v="760"/>
    <n v="0.4"/>
  </r>
  <r>
    <m/>
    <x v="0"/>
    <n v="1185732"/>
    <x v="213"/>
    <x v="4"/>
    <x v="29"/>
    <s v="Charlotte"/>
    <x v="3"/>
    <n v="0.4"/>
    <n v="4250"/>
    <n v="1700"/>
    <n v="680"/>
    <n v="0.4"/>
  </r>
  <r>
    <m/>
    <x v="0"/>
    <n v="1185732"/>
    <x v="213"/>
    <x v="4"/>
    <x v="29"/>
    <s v="Charlotte"/>
    <x v="4"/>
    <n v="0.49999999999999994"/>
    <n v="4500"/>
    <n v="2249.9999999999995"/>
    <n v="787.49999999999977"/>
    <n v="0.35"/>
  </r>
  <r>
    <m/>
    <x v="0"/>
    <n v="1185732"/>
    <x v="213"/>
    <x v="4"/>
    <x v="29"/>
    <s v="Charlotte"/>
    <x v="5"/>
    <n v="0.54999999999999993"/>
    <n v="5500"/>
    <n v="3024.9999999999995"/>
    <n v="1512.4999999999998"/>
    <n v="0.5"/>
  </r>
  <r>
    <m/>
    <x v="0"/>
    <n v="1185732"/>
    <x v="121"/>
    <x v="4"/>
    <x v="29"/>
    <s v="Charlotte"/>
    <x v="0"/>
    <n v="0.49999999999999994"/>
    <n v="8000"/>
    <n v="3999.9999999999995"/>
    <n v="1600"/>
    <n v="0.4"/>
  </r>
  <r>
    <m/>
    <x v="0"/>
    <n v="1185732"/>
    <x v="121"/>
    <x v="4"/>
    <x v="29"/>
    <s v="Charlotte"/>
    <x v="1"/>
    <n v="0.45"/>
    <n v="5500"/>
    <n v="2475"/>
    <n v="866.25"/>
    <n v="0.35"/>
  </r>
  <r>
    <m/>
    <x v="0"/>
    <n v="1185732"/>
    <x v="121"/>
    <x v="4"/>
    <x v="29"/>
    <s v="Charlotte"/>
    <x v="2"/>
    <n v="0.5"/>
    <n v="5250"/>
    <n v="2625"/>
    <n v="1050"/>
    <n v="0.4"/>
  </r>
  <r>
    <m/>
    <x v="0"/>
    <n v="1185732"/>
    <x v="121"/>
    <x v="4"/>
    <x v="29"/>
    <s v="Charlotte"/>
    <x v="3"/>
    <n v="0.5"/>
    <n v="5000"/>
    <n v="2500"/>
    <n v="1000"/>
    <n v="0.4"/>
  </r>
  <r>
    <m/>
    <x v="0"/>
    <n v="1185732"/>
    <x v="121"/>
    <x v="4"/>
    <x v="29"/>
    <s v="Charlotte"/>
    <x v="4"/>
    <n v="0.65"/>
    <n v="5000"/>
    <n v="3250"/>
    <n v="1137.5"/>
    <n v="0.35"/>
  </r>
  <r>
    <m/>
    <x v="0"/>
    <n v="1185732"/>
    <x v="121"/>
    <x v="4"/>
    <x v="29"/>
    <s v="Charlotte"/>
    <x v="5"/>
    <n v="0.70000000000000007"/>
    <n v="6750"/>
    <n v="4725"/>
    <n v="2362.5"/>
    <n v="0.5"/>
  </r>
  <r>
    <m/>
    <x v="0"/>
    <n v="1185732"/>
    <x v="140"/>
    <x v="4"/>
    <x v="29"/>
    <s v="Charlotte"/>
    <x v="0"/>
    <n v="0.65"/>
    <n v="9000"/>
    <n v="5850"/>
    <n v="2340"/>
    <n v="0.4"/>
  </r>
  <r>
    <m/>
    <x v="0"/>
    <n v="1185732"/>
    <x v="140"/>
    <x v="4"/>
    <x v="29"/>
    <s v="Charlotte"/>
    <x v="1"/>
    <n v="0.60000000000000009"/>
    <n v="6500"/>
    <n v="3900.0000000000005"/>
    <n v="1365"/>
    <n v="0.35"/>
  </r>
  <r>
    <m/>
    <x v="0"/>
    <n v="1185732"/>
    <x v="140"/>
    <x v="4"/>
    <x v="29"/>
    <s v="Charlotte"/>
    <x v="2"/>
    <n v="0.55000000000000004"/>
    <n v="5750"/>
    <n v="3162.5000000000005"/>
    <n v="1265.0000000000002"/>
    <n v="0.4"/>
  </r>
  <r>
    <m/>
    <x v="0"/>
    <n v="1185732"/>
    <x v="140"/>
    <x v="4"/>
    <x v="29"/>
    <s v="Charlotte"/>
    <x v="3"/>
    <n v="0.55000000000000004"/>
    <n v="5250"/>
    <n v="2887.5000000000005"/>
    <n v="1155.0000000000002"/>
    <n v="0.4"/>
  </r>
  <r>
    <m/>
    <x v="0"/>
    <n v="1185732"/>
    <x v="140"/>
    <x v="4"/>
    <x v="29"/>
    <s v="Charlotte"/>
    <x v="4"/>
    <n v="0.65"/>
    <n v="5500"/>
    <n v="3575"/>
    <n v="1251.25"/>
    <n v="0.35"/>
  </r>
  <r>
    <m/>
    <x v="0"/>
    <n v="1185732"/>
    <x v="140"/>
    <x v="4"/>
    <x v="29"/>
    <s v="Charlotte"/>
    <x v="5"/>
    <n v="0.70000000000000007"/>
    <n v="7250"/>
    <n v="5075.0000000000009"/>
    <n v="2537.5000000000005"/>
    <n v="0.5"/>
  </r>
  <r>
    <m/>
    <x v="0"/>
    <n v="1185732"/>
    <x v="141"/>
    <x v="4"/>
    <x v="29"/>
    <s v="Charlotte"/>
    <x v="0"/>
    <n v="0.65"/>
    <n v="8750"/>
    <n v="5687.5"/>
    <n v="2275"/>
    <n v="0.4"/>
  </r>
  <r>
    <m/>
    <x v="0"/>
    <n v="1185732"/>
    <x v="141"/>
    <x v="4"/>
    <x v="29"/>
    <s v="Charlotte"/>
    <x v="1"/>
    <n v="0.60000000000000009"/>
    <n v="6500"/>
    <n v="3900.0000000000005"/>
    <n v="1365"/>
    <n v="0.35"/>
  </r>
  <r>
    <m/>
    <x v="0"/>
    <n v="1185732"/>
    <x v="141"/>
    <x v="4"/>
    <x v="29"/>
    <s v="Charlotte"/>
    <x v="2"/>
    <n v="0.55000000000000004"/>
    <n v="5750"/>
    <n v="3162.5000000000005"/>
    <n v="1265.0000000000002"/>
    <n v="0.4"/>
  </r>
  <r>
    <m/>
    <x v="0"/>
    <n v="1185732"/>
    <x v="141"/>
    <x v="4"/>
    <x v="29"/>
    <s v="Charlotte"/>
    <x v="3"/>
    <n v="0.45"/>
    <n v="5250"/>
    <n v="2362.5"/>
    <n v="945"/>
    <n v="0.4"/>
  </r>
  <r>
    <m/>
    <x v="0"/>
    <n v="1185732"/>
    <x v="141"/>
    <x v="4"/>
    <x v="29"/>
    <s v="Charlotte"/>
    <x v="4"/>
    <n v="0.55000000000000004"/>
    <n v="5000"/>
    <n v="2750"/>
    <n v="962.49999999999989"/>
    <n v="0.35"/>
  </r>
  <r>
    <m/>
    <x v="0"/>
    <n v="1185732"/>
    <x v="141"/>
    <x v="4"/>
    <x v="29"/>
    <s v="Charlotte"/>
    <x v="5"/>
    <n v="0.60000000000000009"/>
    <n v="6750"/>
    <n v="4050.0000000000005"/>
    <n v="2025.0000000000002"/>
    <n v="0.5"/>
  </r>
  <r>
    <m/>
    <x v="0"/>
    <n v="1185732"/>
    <x v="214"/>
    <x v="4"/>
    <x v="29"/>
    <s v="Charlotte"/>
    <x v="0"/>
    <n v="0.55000000000000004"/>
    <n v="7750"/>
    <n v="4262.5"/>
    <n v="1705"/>
    <n v="0.4"/>
  </r>
  <r>
    <m/>
    <x v="0"/>
    <n v="1185732"/>
    <x v="214"/>
    <x v="4"/>
    <x v="29"/>
    <s v="Charlotte"/>
    <x v="1"/>
    <n v="0.50000000000000011"/>
    <n v="5750"/>
    <n v="2875.0000000000005"/>
    <n v="1006.2500000000001"/>
    <n v="0.35"/>
  </r>
  <r>
    <m/>
    <x v="0"/>
    <n v="1185732"/>
    <x v="214"/>
    <x v="4"/>
    <x v="29"/>
    <s v="Charlotte"/>
    <x v="2"/>
    <n v="0.25000000000000006"/>
    <n v="4750"/>
    <n v="1187.5000000000002"/>
    <n v="475.00000000000011"/>
    <n v="0.4"/>
  </r>
  <r>
    <m/>
    <x v="0"/>
    <n v="1185732"/>
    <x v="214"/>
    <x v="4"/>
    <x v="29"/>
    <s v="Charlotte"/>
    <x v="3"/>
    <n v="0.25000000000000006"/>
    <n v="4500"/>
    <n v="1125.0000000000002"/>
    <n v="450.00000000000011"/>
    <n v="0.4"/>
  </r>
  <r>
    <m/>
    <x v="0"/>
    <n v="1185732"/>
    <x v="214"/>
    <x v="4"/>
    <x v="29"/>
    <s v="Charlotte"/>
    <x v="4"/>
    <n v="0.35000000000000003"/>
    <n v="4500"/>
    <n v="1575.0000000000002"/>
    <n v="551.25"/>
    <n v="0.35"/>
  </r>
  <r>
    <m/>
    <x v="0"/>
    <n v="1185732"/>
    <x v="214"/>
    <x v="4"/>
    <x v="29"/>
    <s v="Charlotte"/>
    <x v="5"/>
    <n v="0.40000000000000008"/>
    <n v="5500"/>
    <n v="2200.0000000000005"/>
    <n v="1100.0000000000002"/>
    <n v="0.5"/>
  </r>
  <r>
    <m/>
    <x v="0"/>
    <n v="1185732"/>
    <x v="123"/>
    <x v="4"/>
    <x v="29"/>
    <s v="Charlotte"/>
    <x v="0"/>
    <n v="0.40000000000000008"/>
    <n v="7250"/>
    <n v="2900.0000000000005"/>
    <n v="1160.0000000000002"/>
    <n v="0.4"/>
  </r>
  <r>
    <m/>
    <x v="0"/>
    <n v="1185732"/>
    <x v="123"/>
    <x v="4"/>
    <x v="29"/>
    <s v="Charlotte"/>
    <x v="1"/>
    <n v="0.3000000000000001"/>
    <n v="5500"/>
    <n v="1650.0000000000005"/>
    <n v="577.50000000000011"/>
    <n v="0.35"/>
  </r>
  <r>
    <m/>
    <x v="0"/>
    <n v="1185732"/>
    <x v="123"/>
    <x v="4"/>
    <x v="29"/>
    <s v="Charlotte"/>
    <x v="2"/>
    <n v="0.3000000000000001"/>
    <n v="4250"/>
    <n v="1275.0000000000005"/>
    <n v="510.00000000000023"/>
    <n v="0.4"/>
  </r>
  <r>
    <m/>
    <x v="0"/>
    <n v="1185732"/>
    <x v="123"/>
    <x v="4"/>
    <x v="29"/>
    <s v="Charlotte"/>
    <x v="3"/>
    <n v="0.3000000000000001"/>
    <n v="4000"/>
    <n v="1200.0000000000005"/>
    <n v="480.00000000000023"/>
    <n v="0.4"/>
  </r>
  <r>
    <m/>
    <x v="0"/>
    <n v="1185732"/>
    <x v="123"/>
    <x v="4"/>
    <x v="29"/>
    <s v="Charlotte"/>
    <x v="4"/>
    <n v="0.40000000000000008"/>
    <n v="4000"/>
    <n v="1600.0000000000002"/>
    <n v="560"/>
    <n v="0.35"/>
  </r>
  <r>
    <m/>
    <x v="0"/>
    <n v="1185732"/>
    <x v="123"/>
    <x v="4"/>
    <x v="29"/>
    <s v="Charlotte"/>
    <x v="5"/>
    <n v="0.4"/>
    <n v="5250"/>
    <n v="2100"/>
    <n v="1050"/>
    <n v="0.5"/>
  </r>
  <r>
    <m/>
    <x v="0"/>
    <n v="1185732"/>
    <x v="143"/>
    <x v="4"/>
    <x v="29"/>
    <s v="Charlotte"/>
    <x v="0"/>
    <n v="0.35000000000000009"/>
    <n v="6750"/>
    <n v="2362.5000000000005"/>
    <n v="945.00000000000023"/>
    <n v="0.4"/>
  </r>
  <r>
    <m/>
    <x v="0"/>
    <n v="1185732"/>
    <x v="143"/>
    <x v="4"/>
    <x v="29"/>
    <s v="Charlotte"/>
    <x v="1"/>
    <n v="0.25000000000000011"/>
    <n v="5000"/>
    <n v="1250.0000000000005"/>
    <n v="437.50000000000011"/>
    <n v="0.35"/>
  </r>
  <r>
    <m/>
    <x v="0"/>
    <n v="1185732"/>
    <x v="143"/>
    <x v="4"/>
    <x v="29"/>
    <s v="Charlotte"/>
    <x v="2"/>
    <n v="0.35000000000000014"/>
    <n v="4450"/>
    <n v="1557.5000000000007"/>
    <n v="623.00000000000034"/>
    <n v="0.4"/>
  </r>
  <r>
    <m/>
    <x v="0"/>
    <n v="1185732"/>
    <x v="143"/>
    <x v="4"/>
    <x v="29"/>
    <s v="Charlotte"/>
    <x v="3"/>
    <n v="0.65000000000000024"/>
    <n v="5000"/>
    <n v="3250.0000000000014"/>
    <n v="1300.0000000000007"/>
    <n v="0.4"/>
  </r>
  <r>
    <m/>
    <x v="0"/>
    <n v="1185732"/>
    <x v="143"/>
    <x v="4"/>
    <x v="29"/>
    <s v="Charlotte"/>
    <x v="4"/>
    <n v="0.80000000000000016"/>
    <n v="4750"/>
    <n v="3800.0000000000009"/>
    <n v="1330.0000000000002"/>
    <n v="0.35"/>
  </r>
  <r>
    <m/>
    <x v="0"/>
    <n v="1185732"/>
    <x v="143"/>
    <x v="4"/>
    <x v="29"/>
    <s v="Charlotte"/>
    <x v="5"/>
    <n v="0.8"/>
    <n v="5750"/>
    <n v="4600"/>
    <n v="2300"/>
    <n v="0.5"/>
  </r>
  <r>
    <m/>
    <x v="0"/>
    <n v="1185732"/>
    <x v="144"/>
    <x v="4"/>
    <x v="29"/>
    <s v="Charlotte"/>
    <x v="0"/>
    <n v="0.75000000000000011"/>
    <n v="8250"/>
    <n v="6187.5000000000009"/>
    <n v="2475.0000000000005"/>
    <n v="0.4"/>
  </r>
  <r>
    <m/>
    <x v="0"/>
    <n v="1185732"/>
    <x v="144"/>
    <x v="4"/>
    <x v="29"/>
    <s v="Charlotte"/>
    <x v="1"/>
    <n v="0.65000000000000013"/>
    <n v="6250"/>
    <n v="4062.5000000000009"/>
    <n v="1421.8750000000002"/>
    <n v="0.35"/>
  </r>
  <r>
    <m/>
    <x v="0"/>
    <n v="1185732"/>
    <x v="144"/>
    <x v="4"/>
    <x v="29"/>
    <s v="Charlotte"/>
    <x v="2"/>
    <n v="0.65000000000000013"/>
    <n v="5750"/>
    <n v="3737.5000000000009"/>
    <n v="1495.0000000000005"/>
    <n v="0.4"/>
  </r>
  <r>
    <m/>
    <x v="0"/>
    <n v="1185732"/>
    <x v="144"/>
    <x v="4"/>
    <x v="29"/>
    <s v="Charlotte"/>
    <x v="3"/>
    <n v="0.65000000000000013"/>
    <n v="5250"/>
    <n v="3412.5000000000009"/>
    <n v="1365.0000000000005"/>
    <n v="0.4"/>
  </r>
  <r>
    <m/>
    <x v="0"/>
    <n v="1185732"/>
    <x v="144"/>
    <x v="4"/>
    <x v="29"/>
    <s v="Charlotte"/>
    <x v="4"/>
    <n v="0.75000000000000011"/>
    <n v="5250"/>
    <n v="3937.5000000000005"/>
    <n v="1378.125"/>
    <n v="0.35"/>
  </r>
  <r>
    <m/>
    <x v="0"/>
    <n v="1185732"/>
    <x v="144"/>
    <x v="4"/>
    <x v="29"/>
    <s v="Charlotte"/>
    <x v="5"/>
    <n v="0.8"/>
    <n v="6250"/>
    <n v="5000"/>
    <n v="2500"/>
    <n v="0.5"/>
  </r>
  <r>
    <s v="x"/>
    <x v="0"/>
    <n v="1185732"/>
    <x v="215"/>
    <x v="3"/>
    <x v="30"/>
    <s v="Columbus"/>
    <x v="0"/>
    <n v="0.4"/>
    <n v="5000"/>
    <n v="2000"/>
    <n v="800"/>
    <n v="0.4"/>
  </r>
  <r>
    <m/>
    <x v="0"/>
    <n v="1185732"/>
    <x v="215"/>
    <x v="3"/>
    <x v="30"/>
    <s v="Columbus"/>
    <x v="1"/>
    <n v="0.4"/>
    <n v="3000"/>
    <n v="1200"/>
    <n v="420"/>
    <n v="0.35"/>
  </r>
  <r>
    <m/>
    <x v="0"/>
    <n v="1185732"/>
    <x v="215"/>
    <x v="3"/>
    <x v="30"/>
    <s v="Columbus"/>
    <x v="2"/>
    <n v="0.30000000000000004"/>
    <n v="3000"/>
    <n v="900.00000000000011"/>
    <n v="360.00000000000006"/>
    <n v="0.4"/>
  </r>
  <r>
    <m/>
    <x v="0"/>
    <n v="1185732"/>
    <x v="215"/>
    <x v="3"/>
    <x v="30"/>
    <s v="Columbus"/>
    <x v="3"/>
    <n v="0.35000000000000003"/>
    <n v="1500"/>
    <n v="525"/>
    <n v="210"/>
    <n v="0.4"/>
  </r>
  <r>
    <m/>
    <x v="0"/>
    <n v="1185732"/>
    <x v="215"/>
    <x v="3"/>
    <x v="30"/>
    <s v="Columbus"/>
    <x v="4"/>
    <n v="0.49999999999999994"/>
    <n v="2000"/>
    <n v="999.99999999999989"/>
    <n v="349.99999999999994"/>
    <n v="0.35"/>
  </r>
  <r>
    <m/>
    <x v="0"/>
    <n v="1185732"/>
    <x v="215"/>
    <x v="3"/>
    <x v="30"/>
    <s v="Columbus"/>
    <x v="5"/>
    <n v="0.4"/>
    <n v="3000"/>
    <n v="1200"/>
    <n v="480"/>
    <n v="0.4"/>
  </r>
  <r>
    <m/>
    <x v="0"/>
    <n v="1185732"/>
    <x v="216"/>
    <x v="3"/>
    <x v="30"/>
    <s v="Columbus"/>
    <x v="0"/>
    <n v="0.4"/>
    <n v="5500"/>
    <n v="2200"/>
    <n v="880"/>
    <n v="0.4"/>
  </r>
  <r>
    <m/>
    <x v="0"/>
    <n v="1185732"/>
    <x v="216"/>
    <x v="3"/>
    <x v="30"/>
    <s v="Columbus"/>
    <x v="1"/>
    <n v="0.4"/>
    <n v="2000"/>
    <n v="800"/>
    <n v="280"/>
    <n v="0.35"/>
  </r>
  <r>
    <m/>
    <x v="0"/>
    <n v="1185732"/>
    <x v="216"/>
    <x v="3"/>
    <x v="30"/>
    <s v="Columbus"/>
    <x v="2"/>
    <n v="0.30000000000000004"/>
    <n v="2500"/>
    <n v="750.00000000000011"/>
    <n v="300.00000000000006"/>
    <n v="0.4"/>
  </r>
  <r>
    <m/>
    <x v="0"/>
    <n v="1185732"/>
    <x v="216"/>
    <x v="3"/>
    <x v="30"/>
    <s v="Columbus"/>
    <x v="3"/>
    <n v="0.35000000000000003"/>
    <n v="1250"/>
    <n v="437.50000000000006"/>
    <n v="175.00000000000003"/>
    <n v="0.4"/>
  </r>
  <r>
    <m/>
    <x v="0"/>
    <n v="1185732"/>
    <x v="216"/>
    <x v="3"/>
    <x v="30"/>
    <s v="Columbus"/>
    <x v="4"/>
    <n v="0.49999999999999994"/>
    <n v="2000"/>
    <n v="999.99999999999989"/>
    <n v="349.99999999999994"/>
    <n v="0.35"/>
  </r>
  <r>
    <m/>
    <x v="0"/>
    <n v="1185732"/>
    <x v="216"/>
    <x v="3"/>
    <x v="30"/>
    <s v="Columbus"/>
    <x v="5"/>
    <n v="0.4"/>
    <n v="3000"/>
    <n v="1200"/>
    <n v="480"/>
    <n v="0.4"/>
  </r>
  <r>
    <m/>
    <x v="0"/>
    <n v="1185732"/>
    <x v="217"/>
    <x v="3"/>
    <x v="30"/>
    <s v="Columbus"/>
    <x v="0"/>
    <n v="0.45"/>
    <n v="5200"/>
    <n v="2340"/>
    <n v="936"/>
    <n v="0.4"/>
  </r>
  <r>
    <m/>
    <x v="0"/>
    <n v="1185732"/>
    <x v="217"/>
    <x v="3"/>
    <x v="30"/>
    <s v="Columbus"/>
    <x v="1"/>
    <n v="0.45"/>
    <n v="2250"/>
    <n v="1012.5"/>
    <n v="354.375"/>
    <n v="0.35"/>
  </r>
  <r>
    <m/>
    <x v="0"/>
    <n v="1185732"/>
    <x v="217"/>
    <x v="3"/>
    <x v="30"/>
    <s v="Columbus"/>
    <x v="2"/>
    <n v="0.35000000000000003"/>
    <n v="2500"/>
    <n v="875.00000000000011"/>
    <n v="350.00000000000006"/>
    <n v="0.4"/>
  </r>
  <r>
    <m/>
    <x v="0"/>
    <n v="1185732"/>
    <x v="217"/>
    <x v="3"/>
    <x v="30"/>
    <s v="Columbus"/>
    <x v="3"/>
    <n v="0.4"/>
    <n v="1000"/>
    <n v="400"/>
    <n v="160"/>
    <n v="0.4"/>
  </r>
  <r>
    <m/>
    <x v="0"/>
    <n v="1185732"/>
    <x v="217"/>
    <x v="3"/>
    <x v="30"/>
    <s v="Columbus"/>
    <x v="4"/>
    <n v="0.54999999999999993"/>
    <n v="1500"/>
    <n v="824.99999999999989"/>
    <n v="288.74999999999994"/>
    <n v="0.35"/>
  </r>
  <r>
    <m/>
    <x v="0"/>
    <n v="1185732"/>
    <x v="217"/>
    <x v="3"/>
    <x v="30"/>
    <s v="Columbus"/>
    <x v="5"/>
    <n v="0.45"/>
    <n v="2500"/>
    <n v="1125"/>
    <n v="450"/>
    <n v="0.4"/>
  </r>
  <r>
    <m/>
    <x v="0"/>
    <n v="1185732"/>
    <x v="218"/>
    <x v="3"/>
    <x v="30"/>
    <s v="Columbus"/>
    <x v="0"/>
    <n v="0.45"/>
    <n v="4750"/>
    <n v="2137.5"/>
    <n v="855"/>
    <n v="0.4"/>
  </r>
  <r>
    <m/>
    <x v="0"/>
    <n v="1185732"/>
    <x v="218"/>
    <x v="3"/>
    <x v="30"/>
    <s v="Columbus"/>
    <x v="1"/>
    <n v="0.45"/>
    <n v="1750"/>
    <n v="787.5"/>
    <n v="275.625"/>
    <n v="0.35"/>
  </r>
  <r>
    <m/>
    <x v="0"/>
    <n v="1185732"/>
    <x v="218"/>
    <x v="3"/>
    <x v="30"/>
    <s v="Columbus"/>
    <x v="2"/>
    <n v="0.4"/>
    <n v="1750"/>
    <n v="700"/>
    <n v="280"/>
    <n v="0.4"/>
  </r>
  <r>
    <m/>
    <x v="0"/>
    <n v="1185732"/>
    <x v="218"/>
    <x v="3"/>
    <x v="30"/>
    <s v="Columbus"/>
    <x v="3"/>
    <n v="0.45"/>
    <n v="1000"/>
    <n v="450"/>
    <n v="180"/>
    <n v="0.4"/>
  </r>
  <r>
    <m/>
    <x v="0"/>
    <n v="1185732"/>
    <x v="218"/>
    <x v="3"/>
    <x v="30"/>
    <s v="Columbus"/>
    <x v="4"/>
    <n v="0.5"/>
    <n v="1250"/>
    <n v="625"/>
    <n v="218.75"/>
    <n v="0.35"/>
  </r>
  <r>
    <m/>
    <x v="0"/>
    <n v="1185732"/>
    <x v="218"/>
    <x v="3"/>
    <x v="30"/>
    <s v="Columbus"/>
    <x v="5"/>
    <n v="0.4"/>
    <n v="2500"/>
    <n v="1000"/>
    <n v="400"/>
    <n v="0.4"/>
  </r>
  <r>
    <m/>
    <x v="0"/>
    <n v="1185732"/>
    <x v="219"/>
    <x v="3"/>
    <x v="30"/>
    <s v="Columbus"/>
    <x v="0"/>
    <n v="0.5"/>
    <n v="5200"/>
    <n v="2600"/>
    <n v="1040"/>
    <n v="0.4"/>
  </r>
  <r>
    <m/>
    <x v="0"/>
    <n v="1185732"/>
    <x v="219"/>
    <x v="3"/>
    <x v="30"/>
    <s v="Columbus"/>
    <x v="1"/>
    <n v="0.45000000000000007"/>
    <n v="2250"/>
    <n v="1012.5000000000001"/>
    <n v="354.375"/>
    <n v="0.35"/>
  </r>
  <r>
    <m/>
    <x v="0"/>
    <n v="1185732"/>
    <x v="219"/>
    <x v="3"/>
    <x v="30"/>
    <s v="Columbus"/>
    <x v="2"/>
    <n v="0.4"/>
    <n v="2000"/>
    <n v="800"/>
    <n v="320"/>
    <n v="0.4"/>
  </r>
  <r>
    <m/>
    <x v="0"/>
    <n v="1185732"/>
    <x v="219"/>
    <x v="3"/>
    <x v="30"/>
    <s v="Columbus"/>
    <x v="3"/>
    <n v="0.4"/>
    <n v="1250"/>
    <n v="500"/>
    <n v="200"/>
    <n v="0.4"/>
  </r>
  <r>
    <m/>
    <x v="0"/>
    <n v="1185732"/>
    <x v="219"/>
    <x v="3"/>
    <x v="30"/>
    <s v="Columbus"/>
    <x v="4"/>
    <n v="0.5"/>
    <n v="1500"/>
    <n v="750"/>
    <n v="262.5"/>
    <n v="0.35"/>
  </r>
  <r>
    <m/>
    <x v="0"/>
    <n v="1185732"/>
    <x v="219"/>
    <x v="3"/>
    <x v="30"/>
    <s v="Columbus"/>
    <x v="5"/>
    <n v="0.55000000000000004"/>
    <n v="2750"/>
    <n v="1512.5000000000002"/>
    <n v="605.00000000000011"/>
    <n v="0.4"/>
  </r>
  <r>
    <m/>
    <x v="0"/>
    <n v="1185732"/>
    <x v="220"/>
    <x v="3"/>
    <x v="30"/>
    <s v="Columbus"/>
    <x v="0"/>
    <n v="0.4"/>
    <n v="5250"/>
    <n v="2100"/>
    <n v="840"/>
    <n v="0.4"/>
  </r>
  <r>
    <m/>
    <x v="0"/>
    <n v="1185732"/>
    <x v="220"/>
    <x v="3"/>
    <x v="30"/>
    <s v="Columbus"/>
    <x v="1"/>
    <n v="0.35000000000000009"/>
    <n v="2750"/>
    <n v="962.50000000000023"/>
    <n v="336.87500000000006"/>
    <n v="0.35"/>
  </r>
  <r>
    <m/>
    <x v="0"/>
    <n v="1185732"/>
    <x v="220"/>
    <x v="3"/>
    <x v="30"/>
    <s v="Columbus"/>
    <x v="2"/>
    <n v="0.30000000000000004"/>
    <n v="2250"/>
    <n v="675.00000000000011"/>
    <n v="270.00000000000006"/>
    <n v="0.4"/>
  </r>
  <r>
    <m/>
    <x v="0"/>
    <n v="1185732"/>
    <x v="220"/>
    <x v="3"/>
    <x v="30"/>
    <s v="Columbus"/>
    <x v="3"/>
    <n v="0.30000000000000004"/>
    <n v="2000"/>
    <n v="600.00000000000011"/>
    <n v="240.00000000000006"/>
    <n v="0.4"/>
  </r>
  <r>
    <m/>
    <x v="0"/>
    <n v="1185732"/>
    <x v="220"/>
    <x v="3"/>
    <x v="30"/>
    <s v="Columbus"/>
    <x v="4"/>
    <n v="0.5"/>
    <n v="2000"/>
    <n v="1000"/>
    <n v="350"/>
    <n v="0.35"/>
  </r>
  <r>
    <m/>
    <x v="0"/>
    <n v="1185732"/>
    <x v="220"/>
    <x v="3"/>
    <x v="30"/>
    <s v="Columbus"/>
    <x v="5"/>
    <n v="0.55000000000000004"/>
    <n v="3750"/>
    <n v="2062.5"/>
    <n v="825"/>
    <n v="0.4"/>
  </r>
  <r>
    <m/>
    <x v="0"/>
    <n v="1185732"/>
    <x v="221"/>
    <x v="3"/>
    <x v="30"/>
    <s v="Columbus"/>
    <x v="0"/>
    <n v="0.5"/>
    <n v="6000"/>
    <n v="3000"/>
    <n v="1200"/>
    <n v="0.4"/>
  </r>
  <r>
    <m/>
    <x v="0"/>
    <n v="1185732"/>
    <x v="221"/>
    <x v="3"/>
    <x v="30"/>
    <s v="Columbus"/>
    <x v="1"/>
    <n v="0.45000000000000007"/>
    <n v="3500"/>
    <n v="1575.0000000000002"/>
    <n v="551.25"/>
    <n v="0.35"/>
  </r>
  <r>
    <m/>
    <x v="0"/>
    <n v="1185732"/>
    <x v="221"/>
    <x v="3"/>
    <x v="30"/>
    <s v="Columbus"/>
    <x v="2"/>
    <n v="0.4"/>
    <n v="2750"/>
    <n v="1100"/>
    <n v="440"/>
    <n v="0.4"/>
  </r>
  <r>
    <m/>
    <x v="0"/>
    <n v="1185732"/>
    <x v="221"/>
    <x v="3"/>
    <x v="30"/>
    <s v="Columbus"/>
    <x v="3"/>
    <n v="0.4"/>
    <n v="2250"/>
    <n v="900"/>
    <n v="360"/>
    <n v="0.4"/>
  </r>
  <r>
    <m/>
    <x v="0"/>
    <n v="1185732"/>
    <x v="221"/>
    <x v="3"/>
    <x v="30"/>
    <s v="Columbus"/>
    <x v="4"/>
    <n v="0.5"/>
    <n v="2500"/>
    <n v="1250"/>
    <n v="437.5"/>
    <n v="0.35"/>
  </r>
  <r>
    <m/>
    <x v="0"/>
    <n v="1185732"/>
    <x v="221"/>
    <x v="3"/>
    <x v="30"/>
    <s v="Columbus"/>
    <x v="5"/>
    <n v="0.55000000000000004"/>
    <n v="4250"/>
    <n v="2337.5"/>
    <n v="935"/>
    <n v="0.4"/>
  </r>
  <r>
    <m/>
    <x v="0"/>
    <n v="1185732"/>
    <x v="222"/>
    <x v="3"/>
    <x v="30"/>
    <s v="Columbus"/>
    <x v="0"/>
    <n v="0.5"/>
    <n v="5750"/>
    <n v="2875"/>
    <n v="1150"/>
    <n v="0.4"/>
  </r>
  <r>
    <m/>
    <x v="0"/>
    <n v="1185732"/>
    <x v="222"/>
    <x v="3"/>
    <x v="30"/>
    <s v="Columbus"/>
    <x v="1"/>
    <n v="0.45000000000000007"/>
    <n v="3500"/>
    <n v="1575.0000000000002"/>
    <n v="551.25"/>
    <n v="0.35"/>
  </r>
  <r>
    <m/>
    <x v="0"/>
    <n v="1185732"/>
    <x v="222"/>
    <x v="3"/>
    <x v="30"/>
    <s v="Columbus"/>
    <x v="2"/>
    <n v="0.4"/>
    <n v="2750"/>
    <n v="1100"/>
    <n v="440"/>
    <n v="0.4"/>
  </r>
  <r>
    <m/>
    <x v="0"/>
    <n v="1185732"/>
    <x v="222"/>
    <x v="3"/>
    <x v="30"/>
    <s v="Columbus"/>
    <x v="3"/>
    <n v="0.4"/>
    <n v="2500"/>
    <n v="1000"/>
    <n v="400"/>
    <n v="0.4"/>
  </r>
  <r>
    <m/>
    <x v="0"/>
    <n v="1185732"/>
    <x v="222"/>
    <x v="3"/>
    <x v="30"/>
    <s v="Columbus"/>
    <x v="4"/>
    <n v="0.5"/>
    <n v="2250"/>
    <n v="1125"/>
    <n v="393.75"/>
    <n v="0.35"/>
  </r>
  <r>
    <m/>
    <x v="0"/>
    <n v="1185732"/>
    <x v="222"/>
    <x v="3"/>
    <x v="30"/>
    <s v="Columbus"/>
    <x v="5"/>
    <n v="0.55000000000000004"/>
    <n v="4000"/>
    <n v="2200"/>
    <n v="880"/>
    <n v="0.4"/>
  </r>
  <r>
    <m/>
    <x v="0"/>
    <n v="1185732"/>
    <x v="223"/>
    <x v="3"/>
    <x v="30"/>
    <s v="Columbus"/>
    <x v="0"/>
    <n v="0.5"/>
    <n v="5250"/>
    <n v="2625"/>
    <n v="1050"/>
    <n v="0.4"/>
  </r>
  <r>
    <m/>
    <x v="0"/>
    <n v="1185732"/>
    <x v="223"/>
    <x v="3"/>
    <x v="30"/>
    <s v="Columbus"/>
    <x v="1"/>
    <n v="0.45000000000000007"/>
    <n v="3250"/>
    <n v="1462.5000000000002"/>
    <n v="511.87500000000006"/>
    <n v="0.35"/>
  </r>
  <r>
    <m/>
    <x v="0"/>
    <n v="1185732"/>
    <x v="223"/>
    <x v="3"/>
    <x v="30"/>
    <s v="Columbus"/>
    <x v="2"/>
    <n v="0.35000000000000003"/>
    <n v="2250"/>
    <n v="787.50000000000011"/>
    <n v="315.00000000000006"/>
    <n v="0.4"/>
  </r>
  <r>
    <m/>
    <x v="0"/>
    <n v="1185732"/>
    <x v="223"/>
    <x v="3"/>
    <x v="30"/>
    <s v="Columbus"/>
    <x v="3"/>
    <n v="0.35000000000000003"/>
    <n v="2000"/>
    <n v="700.00000000000011"/>
    <n v="280.00000000000006"/>
    <n v="0.4"/>
  </r>
  <r>
    <m/>
    <x v="0"/>
    <n v="1185732"/>
    <x v="223"/>
    <x v="3"/>
    <x v="30"/>
    <s v="Columbus"/>
    <x v="4"/>
    <n v="0.45"/>
    <n v="2000"/>
    <n v="900"/>
    <n v="315"/>
    <n v="0.35"/>
  </r>
  <r>
    <m/>
    <x v="0"/>
    <n v="1185732"/>
    <x v="223"/>
    <x v="3"/>
    <x v="30"/>
    <s v="Columbus"/>
    <x v="5"/>
    <n v="0.5"/>
    <n v="2750"/>
    <n v="1375"/>
    <n v="550"/>
    <n v="0.4"/>
  </r>
  <r>
    <m/>
    <x v="0"/>
    <n v="1185732"/>
    <x v="224"/>
    <x v="3"/>
    <x v="30"/>
    <s v="Columbus"/>
    <x v="0"/>
    <n v="0.54999999999999993"/>
    <n v="4500"/>
    <n v="2474.9999999999995"/>
    <n v="989.99999999999989"/>
    <n v="0.4"/>
  </r>
  <r>
    <m/>
    <x v="0"/>
    <n v="1185732"/>
    <x v="224"/>
    <x v="3"/>
    <x v="30"/>
    <s v="Columbus"/>
    <x v="1"/>
    <n v="0.45"/>
    <n v="2750"/>
    <n v="1237.5"/>
    <n v="433.125"/>
    <n v="0.35"/>
  </r>
  <r>
    <m/>
    <x v="0"/>
    <n v="1185732"/>
    <x v="224"/>
    <x v="3"/>
    <x v="30"/>
    <s v="Columbus"/>
    <x v="2"/>
    <n v="0.45"/>
    <n v="1750"/>
    <n v="787.5"/>
    <n v="315"/>
    <n v="0.4"/>
  </r>
  <r>
    <m/>
    <x v="0"/>
    <n v="1185732"/>
    <x v="224"/>
    <x v="3"/>
    <x v="30"/>
    <s v="Columbus"/>
    <x v="3"/>
    <n v="0.45"/>
    <n v="1500"/>
    <n v="675"/>
    <n v="270"/>
    <n v="0.4"/>
  </r>
  <r>
    <m/>
    <x v="0"/>
    <n v="1185732"/>
    <x v="224"/>
    <x v="3"/>
    <x v="30"/>
    <s v="Columbus"/>
    <x v="4"/>
    <n v="0.54999999999999993"/>
    <n v="1500"/>
    <n v="824.99999999999989"/>
    <n v="288.74999999999994"/>
    <n v="0.35"/>
  </r>
  <r>
    <m/>
    <x v="0"/>
    <n v="1185732"/>
    <x v="224"/>
    <x v="3"/>
    <x v="30"/>
    <s v="Columbus"/>
    <x v="5"/>
    <n v="0.54999999999999993"/>
    <n v="2750"/>
    <n v="1512.4999999999998"/>
    <n v="604.99999999999989"/>
    <n v="0.4"/>
  </r>
  <r>
    <m/>
    <x v="0"/>
    <n v="1185732"/>
    <x v="225"/>
    <x v="3"/>
    <x v="30"/>
    <s v="Columbus"/>
    <x v="0"/>
    <n v="0.5"/>
    <n v="4250"/>
    <n v="2125"/>
    <n v="850"/>
    <n v="0.4"/>
  </r>
  <r>
    <m/>
    <x v="0"/>
    <n v="1185732"/>
    <x v="225"/>
    <x v="3"/>
    <x v="30"/>
    <s v="Columbus"/>
    <x v="1"/>
    <n v="0.4"/>
    <n v="2750"/>
    <n v="1100"/>
    <n v="385"/>
    <n v="0.35"/>
  </r>
  <r>
    <m/>
    <x v="0"/>
    <n v="1185732"/>
    <x v="225"/>
    <x v="3"/>
    <x v="30"/>
    <s v="Columbus"/>
    <x v="2"/>
    <n v="0.45"/>
    <n v="2200"/>
    <n v="990"/>
    <n v="396"/>
    <n v="0.4"/>
  </r>
  <r>
    <m/>
    <x v="0"/>
    <n v="1185732"/>
    <x v="225"/>
    <x v="3"/>
    <x v="30"/>
    <s v="Columbus"/>
    <x v="3"/>
    <n v="0.55000000000000004"/>
    <n v="2000"/>
    <n v="1100"/>
    <n v="440"/>
    <n v="0.4"/>
  </r>
  <r>
    <m/>
    <x v="0"/>
    <n v="1185732"/>
    <x v="225"/>
    <x v="3"/>
    <x v="30"/>
    <s v="Columbus"/>
    <x v="4"/>
    <n v="0.65"/>
    <n v="1750"/>
    <n v="1137.5"/>
    <n v="398.125"/>
    <n v="0.35"/>
  </r>
  <r>
    <m/>
    <x v="0"/>
    <n v="1185732"/>
    <x v="225"/>
    <x v="3"/>
    <x v="30"/>
    <s v="Columbus"/>
    <x v="5"/>
    <n v="0.7"/>
    <n v="2750"/>
    <n v="1924.9999999999998"/>
    <n v="770"/>
    <n v="0.4"/>
  </r>
  <r>
    <m/>
    <x v="0"/>
    <n v="1185732"/>
    <x v="226"/>
    <x v="3"/>
    <x v="30"/>
    <s v="Columbus"/>
    <x v="0"/>
    <n v="0.65"/>
    <n v="5250"/>
    <n v="3412.5"/>
    <n v="1365"/>
    <n v="0.4"/>
  </r>
  <r>
    <m/>
    <x v="0"/>
    <n v="1185732"/>
    <x v="226"/>
    <x v="3"/>
    <x v="30"/>
    <s v="Columbus"/>
    <x v="1"/>
    <n v="0.55000000000000004"/>
    <n v="3250"/>
    <n v="1787.5000000000002"/>
    <n v="625.625"/>
    <n v="0.35"/>
  </r>
  <r>
    <m/>
    <x v="0"/>
    <n v="1185732"/>
    <x v="226"/>
    <x v="3"/>
    <x v="30"/>
    <s v="Columbus"/>
    <x v="2"/>
    <n v="0.55000000000000004"/>
    <n v="2750"/>
    <n v="1512.5000000000002"/>
    <n v="605.00000000000011"/>
    <n v="0.4"/>
  </r>
  <r>
    <m/>
    <x v="0"/>
    <n v="1185732"/>
    <x v="226"/>
    <x v="3"/>
    <x v="30"/>
    <s v="Columbus"/>
    <x v="3"/>
    <n v="0.5"/>
    <n v="2250"/>
    <n v="1125"/>
    <n v="450"/>
    <n v="0.4"/>
  </r>
  <r>
    <m/>
    <x v="0"/>
    <n v="1185732"/>
    <x v="226"/>
    <x v="3"/>
    <x v="30"/>
    <s v="Columbus"/>
    <x v="4"/>
    <n v="0.6"/>
    <n v="2250"/>
    <n v="1350"/>
    <n v="472.49999999999994"/>
    <n v="0.35"/>
  </r>
  <r>
    <m/>
    <x v="0"/>
    <n v="1185732"/>
    <x v="226"/>
    <x v="3"/>
    <x v="30"/>
    <s v="Columbus"/>
    <x v="5"/>
    <n v="0.64999999999999991"/>
    <n v="3250"/>
    <n v="2112.4999999999995"/>
    <n v="844.99999999999989"/>
    <n v="0.4"/>
  </r>
  <r>
    <s v="x"/>
    <x v="0"/>
    <n v="1185732"/>
    <x v="24"/>
    <x v="4"/>
    <x v="31"/>
    <s v="Louisville"/>
    <x v="0"/>
    <n v="0.30000000000000004"/>
    <n v="7250"/>
    <n v="2175.0000000000005"/>
    <n v="870.00000000000023"/>
    <n v="0.4"/>
  </r>
  <r>
    <m/>
    <x v="0"/>
    <n v="1185732"/>
    <x v="24"/>
    <x v="4"/>
    <x v="31"/>
    <s v="Louisville"/>
    <x v="1"/>
    <n v="0.30000000000000004"/>
    <n v="5250"/>
    <n v="1575.0000000000002"/>
    <n v="551.25"/>
    <n v="0.35"/>
  </r>
  <r>
    <m/>
    <x v="0"/>
    <n v="1185732"/>
    <x v="24"/>
    <x v="4"/>
    <x v="31"/>
    <s v="Louisville"/>
    <x v="2"/>
    <n v="0.20000000000000007"/>
    <n v="5250"/>
    <n v="1050.0000000000005"/>
    <n v="420.00000000000023"/>
    <n v="0.4"/>
  </r>
  <r>
    <m/>
    <x v="0"/>
    <n v="1185732"/>
    <x v="24"/>
    <x v="4"/>
    <x v="31"/>
    <s v="Louisville"/>
    <x v="3"/>
    <n v="0.25"/>
    <n v="3750"/>
    <n v="937.5"/>
    <n v="375"/>
    <n v="0.4"/>
  </r>
  <r>
    <m/>
    <x v="0"/>
    <n v="1185732"/>
    <x v="24"/>
    <x v="4"/>
    <x v="31"/>
    <s v="Louisville"/>
    <x v="4"/>
    <n v="0.4"/>
    <n v="4250"/>
    <n v="1700"/>
    <n v="595"/>
    <n v="0.35"/>
  </r>
  <r>
    <m/>
    <x v="0"/>
    <n v="1185732"/>
    <x v="24"/>
    <x v="4"/>
    <x v="31"/>
    <s v="Louisville"/>
    <x v="5"/>
    <n v="0.30000000000000004"/>
    <n v="5250"/>
    <n v="1575.0000000000002"/>
    <n v="787.50000000000011"/>
    <n v="0.5"/>
  </r>
  <r>
    <m/>
    <x v="0"/>
    <n v="1185732"/>
    <x v="167"/>
    <x v="4"/>
    <x v="31"/>
    <s v="Louisville"/>
    <x v="0"/>
    <n v="0.30000000000000004"/>
    <n v="7750"/>
    <n v="2325.0000000000005"/>
    <n v="930.00000000000023"/>
    <n v="0.4"/>
  </r>
  <r>
    <m/>
    <x v="0"/>
    <n v="1185732"/>
    <x v="167"/>
    <x v="4"/>
    <x v="31"/>
    <s v="Louisville"/>
    <x v="1"/>
    <n v="0.30000000000000004"/>
    <n v="4250"/>
    <n v="1275.0000000000002"/>
    <n v="446.25000000000006"/>
    <n v="0.35"/>
  </r>
  <r>
    <m/>
    <x v="0"/>
    <n v="1185732"/>
    <x v="167"/>
    <x v="4"/>
    <x v="31"/>
    <s v="Louisville"/>
    <x v="2"/>
    <n v="0.20000000000000007"/>
    <n v="4750"/>
    <n v="950.00000000000034"/>
    <n v="380.00000000000017"/>
    <n v="0.4"/>
  </r>
  <r>
    <m/>
    <x v="0"/>
    <n v="1185732"/>
    <x v="167"/>
    <x v="4"/>
    <x v="31"/>
    <s v="Louisville"/>
    <x v="3"/>
    <n v="0.25"/>
    <n v="3250"/>
    <n v="812.5"/>
    <n v="325"/>
    <n v="0.4"/>
  </r>
  <r>
    <m/>
    <x v="0"/>
    <n v="1185732"/>
    <x v="167"/>
    <x v="4"/>
    <x v="31"/>
    <s v="Louisville"/>
    <x v="4"/>
    <n v="0.4"/>
    <n v="4000"/>
    <n v="1600"/>
    <n v="560"/>
    <n v="0.35"/>
  </r>
  <r>
    <m/>
    <x v="0"/>
    <n v="1185732"/>
    <x v="167"/>
    <x v="4"/>
    <x v="31"/>
    <s v="Louisville"/>
    <x v="5"/>
    <n v="0.25"/>
    <n v="5000"/>
    <n v="1250"/>
    <n v="625"/>
    <n v="0.5"/>
  </r>
  <r>
    <m/>
    <x v="0"/>
    <n v="1185732"/>
    <x v="104"/>
    <x v="4"/>
    <x v="31"/>
    <s v="Louisville"/>
    <x v="0"/>
    <n v="0.25"/>
    <n v="7200"/>
    <n v="1800"/>
    <n v="720"/>
    <n v="0.4"/>
  </r>
  <r>
    <m/>
    <x v="0"/>
    <n v="1185732"/>
    <x v="104"/>
    <x v="4"/>
    <x v="31"/>
    <s v="Louisville"/>
    <x v="1"/>
    <n v="0.25"/>
    <n v="4000"/>
    <n v="1000"/>
    <n v="350"/>
    <n v="0.35"/>
  </r>
  <r>
    <m/>
    <x v="0"/>
    <n v="1185732"/>
    <x v="104"/>
    <x v="4"/>
    <x v="31"/>
    <s v="Louisville"/>
    <x v="2"/>
    <n v="0.15000000000000002"/>
    <n v="4250"/>
    <n v="637.50000000000011"/>
    <n v="255.00000000000006"/>
    <n v="0.4"/>
  </r>
  <r>
    <m/>
    <x v="0"/>
    <n v="1185732"/>
    <x v="104"/>
    <x v="4"/>
    <x v="31"/>
    <s v="Louisville"/>
    <x v="3"/>
    <n v="0.19999999999999996"/>
    <n v="2750"/>
    <n v="549.99999999999989"/>
    <n v="219.99999999999997"/>
    <n v="0.4"/>
  </r>
  <r>
    <m/>
    <x v="0"/>
    <n v="1185732"/>
    <x v="104"/>
    <x v="4"/>
    <x v="31"/>
    <s v="Louisville"/>
    <x v="4"/>
    <n v="0.35000000000000009"/>
    <n v="3250"/>
    <n v="1137.5000000000002"/>
    <n v="398.12500000000006"/>
    <n v="0.35"/>
  </r>
  <r>
    <m/>
    <x v="0"/>
    <n v="1185732"/>
    <x v="104"/>
    <x v="4"/>
    <x v="31"/>
    <s v="Louisville"/>
    <x v="5"/>
    <n v="0.25"/>
    <n v="4250"/>
    <n v="1062.5"/>
    <n v="531.25"/>
    <n v="0.5"/>
  </r>
  <r>
    <m/>
    <x v="0"/>
    <n v="1185732"/>
    <x v="105"/>
    <x v="4"/>
    <x v="31"/>
    <s v="Louisville"/>
    <x v="0"/>
    <n v="0.25"/>
    <n v="6750"/>
    <n v="1687.5"/>
    <n v="675"/>
    <n v="0.4"/>
  </r>
  <r>
    <m/>
    <x v="0"/>
    <n v="1185732"/>
    <x v="105"/>
    <x v="4"/>
    <x v="31"/>
    <s v="Louisville"/>
    <x v="1"/>
    <n v="0.25"/>
    <n v="3750"/>
    <n v="937.5"/>
    <n v="328.125"/>
    <n v="0.35"/>
  </r>
  <r>
    <m/>
    <x v="0"/>
    <n v="1185732"/>
    <x v="105"/>
    <x v="4"/>
    <x v="31"/>
    <s v="Louisville"/>
    <x v="2"/>
    <n v="0.15000000000000002"/>
    <n v="3750"/>
    <n v="562.50000000000011"/>
    <n v="225.00000000000006"/>
    <n v="0.4"/>
  </r>
  <r>
    <m/>
    <x v="0"/>
    <n v="1185732"/>
    <x v="105"/>
    <x v="4"/>
    <x v="31"/>
    <s v="Louisville"/>
    <x v="3"/>
    <n v="0.19999999999999996"/>
    <n v="3000"/>
    <n v="599.99999999999989"/>
    <n v="239.99999999999997"/>
    <n v="0.4"/>
  </r>
  <r>
    <m/>
    <x v="0"/>
    <n v="1185732"/>
    <x v="105"/>
    <x v="4"/>
    <x v="31"/>
    <s v="Louisville"/>
    <x v="4"/>
    <n v="0.4"/>
    <n v="3250"/>
    <n v="1300"/>
    <n v="454.99999999999994"/>
    <n v="0.35"/>
  </r>
  <r>
    <m/>
    <x v="0"/>
    <n v="1185732"/>
    <x v="105"/>
    <x v="4"/>
    <x v="31"/>
    <s v="Louisville"/>
    <x v="5"/>
    <n v="0.30000000000000004"/>
    <n v="4750"/>
    <n v="1425.0000000000002"/>
    <n v="712.50000000000011"/>
    <n v="0.5"/>
  </r>
  <r>
    <m/>
    <x v="0"/>
    <n v="1185732"/>
    <x v="40"/>
    <x v="4"/>
    <x v="31"/>
    <s v="Louisville"/>
    <x v="0"/>
    <n v="0.4"/>
    <n v="7450"/>
    <n v="2980"/>
    <n v="1192"/>
    <n v="0.4"/>
  </r>
  <r>
    <m/>
    <x v="0"/>
    <n v="1185732"/>
    <x v="40"/>
    <x v="4"/>
    <x v="31"/>
    <s v="Louisville"/>
    <x v="1"/>
    <n v="0.4"/>
    <n v="4500"/>
    <n v="1800"/>
    <n v="630"/>
    <n v="0.35"/>
  </r>
  <r>
    <m/>
    <x v="0"/>
    <n v="1185732"/>
    <x v="40"/>
    <x v="4"/>
    <x v="31"/>
    <s v="Louisville"/>
    <x v="2"/>
    <n v="0.35000000000000003"/>
    <n v="4250"/>
    <n v="1487.5000000000002"/>
    <n v="595.00000000000011"/>
    <n v="0.4"/>
  </r>
  <r>
    <m/>
    <x v="0"/>
    <n v="1185732"/>
    <x v="40"/>
    <x v="4"/>
    <x v="31"/>
    <s v="Louisville"/>
    <x v="3"/>
    <n v="0.35000000000000003"/>
    <n v="3750"/>
    <n v="1312.5000000000002"/>
    <n v="525.00000000000011"/>
    <n v="0.4"/>
  </r>
  <r>
    <m/>
    <x v="0"/>
    <n v="1185732"/>
    <x v="40"/>
    <x v="4"/>
    <x v="31"/>
    <s v="Louisville"/>
    <x v="4"/>
    <n v="0.44999999999999996"/>
    <n v="4000"/>
    <n v="1799.9999999999998"/>
    <n v="629.99999999999989"/>
    <n v="0.35"/>
  </r>
  <r>
    <m/>
    <x v="0"/>
    <n v="1185732"/>
    <x v="40"/>
    <x v="4"/>
    <x v="31"/>
    <s v="Louisville"/>
    <x v="5"/>
    <n v="0.49999999999999994"/>
    <n v="5000"/>
    <n v="2499.9999999999995"/>
    <n v="1249.9999999999998"/>
    <n v="0.5"/>
  </r>
  <r>
    <m/>
    <x v="0"/>
    <n v="1185732"/>
    <x v="169"/>
    <x v="4"/>
    <x v="31"/>
    <s v="Louisville"/>
    <x v="0"/>
    <n v="0.44999999999999996"/>
    <n v="7500"/>
    <n v="3374.9999999999995"/>
    <n v="1350"/>
    <n v="0.4"/>
  </r>
  <r>
    <m/>
    <x v="0"/>
    <n v="1185732"/>
    <x v="169"/>
    <x v="4"/>
    <x v="31"/>
    <s v="Louisville"/>
    <x v="1"/>
    <n v="0.4"/>
    <n v="5000"/>
    <n v="2000"/>
    <n v="700"/>
    <n v="0.35"/>
  </r>
  <r>
    <m/>
    <x v="0"/>
    <n v="1185732"/>
    <x v="169"/>
    <x v="4"/>
    <x v="31"/>
    <s v="Louisville"/>
    <x v="2"/>
    <n v="0.45"/>
    <n v="4750"/>
    <n v="2137.5"/>
    <n v="855"/>
    <n v="0.4"/>
  </r>
  <r>
    <m/>
    <x v="0"/>
    <n v="1185732"/>
    <x v="169"/>
    <x v="4"/>
    <x v="31"/>
    <s v="Louisville"/>
    <x v="3"/>
    <n v="0.45"/>
    <n v="4500"/>
    <n v="2025"/>
    <n v="810"/>
    <n v="0.4"/>
  </r>
  <r>
    <m/>
    <x v="0"/>
    <n v="1185732"/>
    <x v="169"/>
    <x v="4"/>
    <x v="31"/>
    <s v="Louisville"/>
    <x v="4"/>
    <n v="0.6"/>
    <n v="4500"/>
    <n v="2700"/>
    <n v="944.99999999999989"/>
    <n v="0.35"/>
  </r>
  <r>
    <m/>
    <x v="0"/>
    <n v="1185732"/>
    <x v="169"/>
    <x v="4"/>
    <x v="31"/>
    <s v="Louisville"/>
    <x v="5"/>
    <n v="0.65"/>
    <n v="6250"/>
    <n v="4062.5"/>
    <n v="2031.25"/>
    <n v="0.5"/>
  </r>
  <r>
    <m/>
    <x v="0"/>
    <n v="1185732"/>
    <x v="108"/>
    <x v="4"/>
    <x v="31"/>
    <s v="Louisville"/>
    <x v="0"/>
    <n v="0.6"/>
    <n v="8500"/>
    <n v="5100"/>
    <n v="2040"/>
    <n v="0.4"/>
  </r>
  <r>
    <m/>
    <x v="0"/>
    <n v="1185732"/>
    <x v="108"/>
    <x v="4"/>
    <x v="31"/>
    <s v="Louisville"/>
    <x v="1"/>
    <n v="0.55000000000000004"/>
    <n v="6000"/>
    <n v="3300.0000000000005"/>
    <n v="1155"/>
    <n v="0.35"/>
  </r>
  <r>
    <m/>
    <x v="0"/>
    <n v="1185732"/>
    <x v="108"/>
    <x v="4"/>
    <x v="31"/>
    <s v="Louisville"/>
    <x v="2"/>
    <n v="0.5"/>
    <n v="5250"/>
    <n v="2625"/>
    <n v="1050"/>
    <n v="0.4"/>
  </r>
  <r>
    <m/>
    <x v="0"/>
    <n v="1185732"/>
    <x v="108"/>
    <x v="4"/>
    <x v="31"/>
    <s v="Louisville"/>
    <x v="3"/>
    <n v="0.5"/>
    <n v="4750"/>
    <n v="2375"/>
    <n v="950"/>
    <n v="0.4"/>
  </r>
  <r>
    <m/>
    <x v="0"/>
    <n v="1185732"/>
    <x v="108"/>
    <x v="4"/>
    <x v="31"/>
    <s v="Louisville"/>
    <x v="4"/>
    <n v="0.6"/>
    <n v="5000"/>
    <n v="3000"/>
    <n v="1050"/>
    <n v="0.35"/>
  </r>
  <r>
    <m/>
    <x v="0"/>
    <n v="1185732"/>
    <x v="108"/>
    <x v="4"/>
    <x v="31"/>
    <s v="Louisville"/>
    <x v="5"/>
    <n v="0.65"/>
    <n v="6750"/>
    <n v="4387.5"/>
    <n v="2193.75"/>
    <n v="0.5"/>
  </r>
  <r>
    <m/>
    <x v="0"/>
    <n v="1185732"/>
    <x v="109"/>
    <x v="4"/>
    <x v="31"/>
    <s v="Louisville"/>
    <x v="0"/>
    <n v="0.6"/>
    <n v="8250"/>
    <n v="4950"/>
    <n v="1980"/>
    <n v="0.4"/>
  </r>
  <r>
    <m/>
    <x v="0"/>
    <n v="1185732"/>
    <x v="109"/>
    <x v="4"/>
    <x v="31"/>
    <s v="Louisville"/>
    <x v="1"/>
    <n v="0.55000000000000004"/>
    <n v="6000"/>
    <n v="3300.0000000000005"/>
    <n v="1155"/>
    <n v="0.35"/>
  </r>
  <r>
    <m/>
    <x v="0"/>
    <n v="1185732"/>
    <x v="109"/>
    <x v="4"/>
    <x v="31"/>
    <s v="Louisville"/>
    <x v="2"/>
    <n v="0.5"/>
    <n v="5250"/>
    <n v="2625"/>
    <n v="1050"/>
    <n v="0.4"/>
  </r>
  <r>
    <m/>
    <x v="0"/>
    <n v="1185732"/>
    <x v="109"/>
    <x v="4"/>
    <x v="31"/>
    <s v="Louisville"/>
    <x v="3"/>
    <n v="0.4"/>
    <n v="4750"/>
    <n v="1900"/>
    <n v="760"/>
    <n v="0.4"/>
  </r>
  <r>
    <m/>
    <x v="0"/>
    <n v="1185732"/>
    <x v="109"/>
    <x v="4"/>
    <x v="31"/>
    <s v="Louisville"/>
    <x v="4"/>
    <n v="0.5"/>
    <n v="4500"/>
    <n v="2250"/>
    <n v="787.5"/>
    <n v="0.35"/>
  </r>
  <r>
    <m/>
    <x v="0"/>
    <n v="1185732"/>
    <x v="109"/>
    <x v="4"/>
    <x v="31"/>
    <s v="Louisville"/>
    <x v="5"/>
    <n v="0.55000000000000004"/>
    <n v="6250"/>
    <n v="3437.5000000000005"/>
    <n v="1718.7500000000002"/>
    <n v="0.5"/>
  </r>
  <r>
    <m/>
    <x v="0"/>
    <n v="1185732"/>
    <x v="44"/>
    <x v="4"/>
    <x v="31"/>
    <s v="Louisville"/>
    <x v="0"/>
    <n v="0.5"/>
    <n v="7250"/>
    <n v="3625"/>
    <n v="1450"/>
    <n v="0.4"/>
  </r>
  <r>
    <m/>
    <x v="0"/>
    <n v="1185732"/>
    <x v="44"/>
    <x v="4"/>
    <x v="31"/>
    <s v="Louisville"/>
    <x v="1"/>
    <n v="0.45000000000000012"/>
    <n v="5250"/>
    <n v="2362.5000000000005"/>
    <n v="826.87500000000011"/>
    <n v="0.35"/>
  </r>
  <r>
    <m/>
    <x v="0"/>
    <n v="1185732"/>
    <x v="44"/>
    <x v="4"/>
    <x v="31"/>
    <s v="Louisville"/>
    <x v="2"/>
    <n v="0.20000000000000007"/>
    <n v="4250"/>
    <n v="850.00000000000023"/>
    <n v="340.00000000000011"/>
    <n v="0.4"/>
  </r>
  <r>
    <m/>
    <x v="0"/>
    <n v="1185732"/>
    <x v="44"/>
    <x v="4"/>
    <x v="31"/>
    <s v="Louisville"/>
    <x v="3"/>
    <n v="0.20000000000000007"/>
    <n v="4000"/>
    <n v="800.00000000000023"/>
    <n v="320.00000000000011"/>
    <n v="0.4"/>
  </r>
  <r>
    <m/>
    <x v="0"/>
    <n v="1185732"/>
    <x v="44"/>
    <x v="4"/>
    <x v="31"/>
    <s v="Louisville"/>
    <x v="4"/>
    <n v="0.30000000000000004"/>
    <n v="4000"/>
    <n v="1200.0000000000002"/>
    <n v="420.00000000000006"/>
    <n v="0.35"/>
  </r>
  <r>
    <m/>
    <x v="0"/>
    <n v="1185732"/>
    <x v="44"/>
    <x v="4"/>
    <x v="31"/>
    <s v="Louisville"/>
    <x v="5"/>
    <n v="0.35000000000000009"/>
    <n v="5000"/>
    <n v="1750.0000000000005"/>
    <n v="875.00000000000023"/>
    <n v="0.5"/>
  </r>
  <r>
    <m/>
    <x v="0"/>
    <n v="1185732"/>
    <x v="171"/>
    <x v="4"/>
    <x v="31"/>
    <s v="Louisville"/>
    <x v="0"/>
    <n v="0.35000000000000009"/>
    <n v="6750"/>
    <n v="2362.5000000000005"/>
    <n v="945.00000000000023"/>
    <n v="0.4"/>
  </r>
  <r>
    <m/>
    <x v="0"/>
    <n v="1185732"/>
    <x v="171"/>
    <x v="4"/>
    <x v="31"/>
    <s v="Louisville"/>
    <x v="1"/>
    <n v="0.25000000000000011"/>
    <n v="5000"/>
    <n v="1250.0000000000005"/>
    <n v="437.50000000000011"/>
    <n v="0.35"/>
  </r>
  <r>
    <m/>
    <x v="0"/>
    <n v="1185732"/>
    <x v="171"/>
    <x v="4"/>
    <x v="31"/>
    <s v="Louisville"/>
    <x v="2"/>
    <n v="0.25000000000000011"/>
    <n v="3750"/>
    <n v="937.50000000000045"/>
    <n v="375.00000000000023"/>
    <n v="0.4"/>
  </r>
  <r>
    <m/>
    <x v="0"/>
    <n v="1185732"/>
    <x v="171"/>
    <x v="4"/>
    <x v="31"/>
    <s v="Louisville"/>
    <x v="3"/>
    <n v="0.25000000000000011"/>
    <n v="3500"/>
    <n v="875.00000000000034"/>
    <n v="350.00000000000017"/>
    <n v="0.4"/>
  </r>
  <r>
    <m/>
    <x v="0"/>
    <n v="1185732"/>
    <x v="171"/>
    <x v="4"/>
    <x v="31"/>
    <s v="Louisville"/>
    <x v="4"/>
    <n v="0.35000000000000009"/>
    <n v="3500"/>
    <n v="1225.0000000000002"/>
    <n v="428.75000000000006"/>
    <n v="0.35"/>
  </r>
  <r>
    <m/>
    <x v="0"/>
    <n v="1185732"/>
    <x v="171"/>
    <x v="4"/>
    <x v="31"/>
    <s v="Louisville"/>
    <x v="5"/>
    <n v="0.35000000000000003"/>
    <n v="4750"/>
    <n v="1662.5000000000002"/>
    <n v="831.25000000000011"/>
    <n v="0.5"/>
  </r>
  <r>
    <m/>
    <x v="0"/>
    <n v="1185732"/>
    <x v="112"/>
    <x v="4"/>
    <x v="31"/>
    <s v="Louisville"/>
    <x v="0"/>
    <n v="0.3000000000000001"/>
    <n v="6250"/>
    <n v="1875.0000000000007"/>
    <n v="750.00000000000034"/>
    <n v="0.4"/>
  </r>
  <r>
    <m/>
    <x v="0"/>
    <n v="1185732"/>
    <x v="112"/>
    <x v="4"/>
    <x v="31"/>
    <s v="Louisville"/>
    <x v="1"/>
    <n v="0.20000000000000012"/>
    <n v="4500"/>
    <n v="900.00000000000057"/>
    <n v="315.00000000000017"/>
    <n v="0.35"/>
  </r>
  <r>
    <m/>
    <x v="0"/>
    <n v="1185732"/>
    <x v="112"/>
    <x v="4"/>
    <x v="31"/>
    <s v="Louisville"/>
    <x v="2"/>
    <n v="0.30000000000000016"/>
    <n v="3950"/>
    <n v="1185.0000000000007"/>
    <n v="474.00000000000028"/>
    <n v="0.4"/>
  </r>
  <r>
    <m/>
    <x v="0"/>
    <n v="1185732"/>
    <x v="112"/>
    <x v="4"/>
    <x v="31"/>
    <s v="Louisville"/>
    <x v="3"/>
    <n v="0.6000000000000002"/>
    <n v="4500"/>
    <n v="2700.0000000000009"/>
    <n v="1080.0000000000005"/>
    <n v="0.4"/>
  </r>
  <r>
    <m/>
    <x v="0"/>
    <n v="1185732"/>
    <x v="112"/>
    <x v="4"/>
    <x v="31"/>
    <s v="Louisville"/>
    <x v="4"/>
    <n v="0.75000000000000011"/>
    <n v="4250"/>
    <n v="3187.5000000000005"/>
    <n v="1115.625"/>
    <n v="0.35"/>
  </r>
  <r>
    <m/>
    <x v="0"/>
    <n v="1185732"/>
    <x v="112"/>
    <x v="4"/>
    <x v="31"/>
    <s v="Louisville"/>
    <x v="5"/>
    <n v="0.75"/>
    <n v="5250"/>
    <n v="3937.5"/>
    <n v="1968.75"/>
    <n v="0.5"/>
  </r>
  <r>
    <m/>
    <x v="0"/>
    <n v="1185732"/>
    <x v="113"/>
    <x v="4"/>
    <x v="31"/>
    <s v="Louisville"/>
    <x v="0"/>
    <n v="0.70000000000000007"/>
    <n v="7750"/>
    <n v="5425.0000000000009"/>
    <n v="2170.0000000000005"/>
    <n v="0.4"/>
  </r>
  <r>
    <m/>
    <x v="0"/>
    <n v="1185732"/>
    <x v="113"/>
    <x v="4"/>
    <x v="31"/>
    <s v="Louisville"/>
    <x v="1"/>
    <n v="0.60000000000000009"/>
    <n v="5750"/>
    <n v="3450.0000000000005"/>
    <n v="1207.5"/>
    <n v="0.35"/>
  </r>
  <r>
    <m/>
    <x v="0"/>
    <n v="1185732"/>
    <x v="113"/>
    <x v="4"/>
    <x v="31"/>
    <s v="Louisville"/>
    <x v="2"/>
    <n v="0.60000000000000009"/>
    <n v="5250"/>
    <n v="3150.0000000000005"/>
    <n v="1260.0000000000002"/>
    <n v="0.4"/>
  </r>
  <r>
    <m/>
    <x v="0"/>
    <n v="1185732"/>
    <x v="113"/>
    <x v="4"/>
    <x v="31"/>
    <s v="Louisville"/>
    <x v="3"/>
    <n v="0.60000000000000009"/>
    <n v="4750"/>
    <n v="2850.0000000000005"/>
    <n v="1140.0000000000002"/>
    <n v="0.4"/>
  </r>
  <r>
    <m/>
    <x v="0"/>
    <n v="1185732"/>
    <x v="113"/>
    <x v="4"/>
    <x v="31"/>
    <s v="Louisville"/>
    <x v="4"/>
    <n v="0.70000000000000007"/>
    <n v="4750"/>
    <n v="3325.0000000000005"/>
    <n v="1163.75"/>
    <n v="0.35"/>
  </r>
  <r>
    <m/>
    <x v="0"/>
    <n v="1185732"/>
    <x v="113"/>
    <x v="4"/>
    <x v="31"/>
    <s v="Louisville"/>
    <x v="5"/>
    <n v="0.75"/>
    <n v="5750"/>
    <n v="4312.5"/>
    <n v="2156.25"/>
    <n v="0.5"/>
  </r>
  <r>
    <s v="x"/>
    <x v="1"/>
    <n v="1197831"/>
    <x v="180"/>
    <x v="1"/>
    <x v="32"/>
    <s v="Jackson"/>
    <x v="0"/>
    <n v="0.25000000000000006"/>
    <n v="6500"/>
    <n v="1625.0000000000005"/>
    <n v="650.00000000000023"/>
    <n v="0.4"/>
  </r>
  <r>
    <m/>
    <x v="1"/>
    <n v="1197831"/>
    <x v="180"/>
    <x v="1"/>
    <x v="32"/>
    <s v="Jackson"/>
    <x v="1"/>
    <n v="0.25000000000000006"/>
    <n v="4500"/>
    <n v="1125.0000000000002"/>
    <n v="393.75000000000006"/>
    <n v="0.35"/>
  </r>
  <r>
    <m/>
    <x v="1"/>
    <n v="1197831"/>
    <x v="180"/>
    <x v="1"/>
    <x v="32"/>
    <s v="Jackson"/>
    <x v="2"/>
    <n v="0.15000000000000008"/>
    <n v="4500"/>
    <n v="675.00000000000034"/>
    <n v="270.00000000000017"/>
    <n v="0.4"/>
  </r>
  <r>
    <m/>
    <x v="1"/>
    <n v="1197831"/>
    <x v="180"/>
    <x v="1"/>
    <x v="32"/>
    <s v="Jackson"/>
    <x v="3"/>
    <n v="0.2"/>
    <n v="3000"/>
    <n v="600"/>
    <n v="240"/>
    <n v="0.4"/>
  </r>
  <r>
    <m/>
    <x v="1"/>
    <n v="1197831"/>
    <x v="180"/>
    <x v="1"/>
    <x v="32"/>
    <s v="Jackson"/>
    <x v="4"/>
    <n v="0.35000000000000003"/>
    <n v="3500"/>
    <n v="1225.0000000000002"/>
    <n v="428.75000000000006"/>
    <n v="0.35"/>
  </r>
  <r>
    <m/>
    <x v="1"/>
    <n v="1197831"/>
    <x v="180"/>
    <x v="1"/>
    <x v="32"/>
    <s v="Jackson"/>
    <x v="5"/>
    <n v="0.25000000000000006"/>
    <n v="4500"/>
    <n v="1125.0000000000002"/>
    <n v="450.00000000000011"/>
    <n v="0.4"/>
  </r>
  <r>
    <m/>
    <x v="1"/>
    <n v="1197831"/>
    <x v="227"/>
    <x v="1"/>
    <x v="32"/>
    <s v="Jackson"/>
    <x v="0"/>
    <n v="0.25000000000000006"/>
    <n v="7000"/>
    <n v="1750.0000000000005"/>
    <n v="700.00000000000023"/>
    <n v="0.4"/>
  </r>
  <r>
    <m/>
    <x v="1"/>
    <n v="1197831"/>
    <x v="227"/>
    <x v="1"/>
    <x v="32"/>
    <s v="Jackson"/>
    <x v="1"/>
    <n v="0.25000000000000006"/>
    <n v="3500"/>
    <n v="875.00000000000023"/>
    <n v="306.25000000000006"/>
    <n v="0.35"/>
  </r>
  <r>
    <m/>
    <x v="1"/>
    <n v="1197831"/>
    <x v="227"/>
    <x v="1"/>
    <x v="32"/>
    <s v="Jackson"/>
    <x v="2"/>
    <n v="0.15000000000000008"/>
    <n v="4000"/>
    <n v="600.00000000000034"/>
    <n v="240.00000000000014"/>
    <n v="0.4"/>
  </r>
  <r>
    <m/>
    <x v="1"/>
    <n v="1197831"/>
    <x v="227"/>
    <x v="1"/>
    <x v="32"/>
    <s v="Jackson"/>
    <x v="3"/>
    <n v="0.2"/>
    <n v="2500"/>
    <n v="500"/>
    <n v="200"/>
    <n v="0.4"/>
  </r>
  <r>
    <m/>
    <x v="1"/>
    <n v="1197831"/>
    <x v="227"/>
    <x v="1"/>
    <x v="32"/>
    <s v="Jackson"/>
    <x v="4"/>
    <n v="0.35000000000000003"/>
    <n v="3250"/>
    <n v="1137.5"/>
    <n v="398.125"/>
    <n v="0.35"/>
  </r>
  <r>
    <m/>
    <x v="1"/>
    <n v="1197831"/>
    <x v="227"/>
    <x v="1"/>
    <x v="32"/>
    <s v="Jackson"/>
    <x v="5"/>
    <n v="0.2"/>
    <n v="4250"/>
    <n v="850"/>
    <n v="340"/>
    <n v="0.4"/>
  </r>
  <r>
    <m/>
    <x v="1"/>
    <n v="1197831"/>
    <x v="26"/>
    <x v="1"/>
    <x v="32"/>
    <s v="Jackson"/>
    <x v="0"/>
    <n v="0.2"/>
    <n v="6450"/>
    <n v="1290"/>
    <n v="516"/>
    <n v="0.4"/>
  </r>
  <r>
    <m/>
    <x v="1"/>
    <n v="1197831"/>
    <x v="26"/>
    <x v="1"/>
    <x v="32"/>
    <s v="Jackson"/>
    <x v="1"/>
    <n v="0.2"/>
    <n v="3250"/>
    <n v="650"/>
    <n v="227.49999999999997"/>
    <n v="0.35"/>
  </r>
  <r>
    <m/>
    <x v="1"/>
    <n v="1197831"/>
    <x v="26"/>
    <x v="1"/>
    <x v="32"/>
    <s v="Jackson"/>
    <x v="2"/>
    <n v="0.10000000000000002"/>
    <n v="3500"/>
    <n v="350.00000000000006"/>
    <n v="140.00000000000003"/>
    <n v="0.4"/>
  </r>
  <r>
    <m/>
    <x v="1"/>
    <n v="1197831"/>
    <x v="26"/>
    <x v="1"/>
    <x v="32"/>
    <s v="Jackson"/>
    <x v="3"/>
    <n v="0.19999999999999996"/>
    <n v="2000"/>
    <n v="399.99999999999989"/>
    <n v="159.99999999999997"/>
    <n v="0.4"/>
  </r>
  <r>
    <m/>
    <x v="1"/>
    <n v="1197831"/>
    <x v="26"/>
    <x v="1"/>
    <x v="32"/>
    <s v="Jackson"/>
    <x v="4"/>
    <n v="0.35000000000000009"/>
    <n v="2500"/>
    <n v="875.00000000000023"/>
    <n v="306.25000000000006"/>
    <n v="0.35"/>
  </r>
  <r>
    <m/>
    <x v="1"/>
    <n v="1197831"/>
    <x v="26"/>
    <x v="1"/>
    <x v="32"/>
    <s v="Jackson"/>
    <x v="5"/>
    <n v="0.25"/>
    <n v="3500"/>
    <n v="875"/>
    <n v="350"/>
    <n v="0.4"/>
  </r>
  <r>
    <m/>
    <x v="1"/>
    <n v="1197831"/>
    <x v="27"/>
    <x v="1"/>
    <x v="32"/>
    <s v="Jackson"/>
    <x v="0"/>
    <n v="0.25"/>
    <n v="6000"/>
    <n v="1500"/>
    <n v="600"/>
    <n v="0.4"/>
  </r>
  <r>
    <m/>
    <x v="1"/>
    <n v="1197831"/>
    <x v="27"/>
    <x v="1"/>
    <x v="32"/>
    <s v="Jackson"/>
    <x v="1"/>
    <n v="0.25"/>
    <n v="3000"/>
    <n v="750"/>
    <n v="262.5"/>
    <n v="0.35"/>
  </r>
  <r>
    <m/>
    <x v="1"/>
    <n v="1197831"/>
    <x v="27"/>
    <x v="1"/>
    <x v="32"/>
    <s v="Jackson"/>
    <x v="2"/>
    <n v="0.15000000000000002"/>
    <n v="3000"/>
    <n v="450.00000000000006"/>
    <n v="180.00000000000003"/>
    <n v="0.4"/>
  </r>
  <r>
    <m/>
    <x v="1"/>
    <n v="1197831"/>
    <x v="27"/>
    <x v="1"/>
    <x v="32"/>
    <s v="Jackson"/>
    <x v="3"/>
    <n v="0.19999999999999996"/>
    <n v="2250"/>
    <n v="449.99999999999989"/>
    <n v="179.99999999999997"/>
    <n v="0.4"/>
  </r>
  <r>
    <m/>
    <x v="1"/>
    <n v="1197831"/>
    <x v="27"/>
    <x v="1"/>
    <x v="32"/>
    <s v="Jackson"/>
    <x v="4"/>
    <n v="0.4"/>
    <n v="2500"/>
    <n v="1000"/>
    <n v="350"/>
    <n v="0.35"/>
  </r>
  <r>
    <m/>
    <x v="1"/>
    <n v="1197831"/>
    <x v="27"/>
    <x v="1"/>
    <x v="32"/>
    <s v="Jackson"/>
    <x v="5"/>
    <n v="0.30000000000000004"/>
    <n v="4000"/>
    <n v="1200.0000000000002"/>
    <n v="480.00000000000011"/>
    <n v="0.4"/>
  </r>
  <r>
    <m/>
    <x v="1"/>
    <n v="1197831"/>
    <x v="168"/>
    <x v="1"/>
    <x v="32"/>
    <s v="Jackson"/>
    <x v="0"/>
    <n v="0.4"/>
    <n v="6700"/>
    <n v="2680"/>
    <n v="1072"/>
    <n v="0.4"/>
  </r>
  <r>
    <m/>
    <x v="1"/>
    <n v="1197831"/>
    <x v="168"/>
    <x v="1"/>
    <x v="32"/>
    <s v="Jackson"/>
    <x v="1"/>
    <n v="0.4"/>
    <n v="3750"/>
    <n v="1500"/>
    <n v="525"/>
    <n v="0.35"/>
  </r>
  <r>
    <m/>
    <x v="1"/>
    <n v="1197831"/>
    <x v="168"/>
    <x v="1"/>
    <x v="32"/>
    <s v="Jackson"/>
    <x v="2"/>
    <n v="0.35000000000000003"/>
    <n v="3500"/>
    <n v="1225.0000000000002"/>
    <n v="490.00000000000011"/>
    <n v="0.4"/>
  </r>
  <r>
    <m/>
    <x v="1"/>
    <n v="1197831"/>
    <x v="168"/>
    <x v="1"/>
    <x v="32"/>
    <s v="Jackson"/>
    <x v="3"/>
    <n v="0.35000000000000003"/>
    <n v="3000"/>
    <n v="1050"/>
    <n v="420"/>
    <n v="0.4"/>
  </r>
  <r>
    <m/>
    <x v="1"/>
    <n v="1197831"/>
    <x v="168"/>
    <x v="1"/>
    <x v="32"/>
    <s v="Jackson"/>
    <x v="4"/>
    <n v="0.44999999999999996"/>
    <n v="3250"/>
    <n v="1462.4999999999998"/>
    <n v="511.87499999999989"/>
    <n v="0.35"/>
  </r>
  <r>
    <m/>
    <x v="1"/>
    <n v="1197831"/>
    <x v="168"/>
    <x v="1"/>
    <x v="32"/>
    <s v="Jackson"/>
    <x v="5"/>
    <n v="0.44999999999999996"/>
    <n v="4250"/>
    <n v="1912.4999999999998"/>
    <n v="765"/>
    <n v="0.4"/>
  </r>
  <r>
    <m/>
    <x v="1"/>
    <n v="1197831"/>
    <x v="228"/>
    <x v="1"/>
    <x v="32"/>
    <s v="Jackson"/>
    <x v="0"/>
    <n v="0.39999999999999997"/>
    <n v="6750"/>
    <n v="2700"/>
    <n v="1080"/>
    <n v="0.4"/>
  </r>
  <r>
    <m/>
    <x v="1"/>
    <n v="1197831"/>
    <x v="228"/>
    <x v="1"/>
    <x v="32"/>
    <s v="Jackson"/>
    <x v="1"/>
    <n v="0.35000000000000003"/>
    <n v="4250"/>
    <n v="1487.5000000000002"/>
    <n v="520.625"/>
    <n v="0.35"/>
  </r>
  <r>
    <m/>
    <x v="1"/>
    <n v="1197831"/>
    <x v="228"/>
    <x v="1"/>
    <x v="32"/>
    <s v="Jackson"/>
    <x v="2"/>
    <n v="0.4"/>
    <n v="4000"/>
    <n v="1600"/>
    <n v="640"/>
    <n v="0.4"/>
  </r>
  <r>
    <m/>
    <x v="1"/>
    <n v="1197831"/>
    <x v="228"/>
    <x v="1"/>
    <x v="32"/>
    <s v="Jackson"/>
    <x v="3"/>
    <n v="0.4"/>
    <n v="3750"/>
    <n v="1500"/>
    <n v="600"/>
    <n v="0.4"/>
  </r>
  <r>
    <m/>
    <x v="1"/>
    <n v="1197831"/>
    <x v="228"/>
    <x v="1"/>
    <x v="32"/>
    <s v="Jackson"/>
    <x v="4"/>
    <n v="0.54999999999999993"/>
    <n v="3750"/>
    <n v="2062.4999999999995"/>
    <n v="721.87499999999977"/>
    <n v="0.35"/>
  </r>
  <r>
    <m/>
    <x v="1"/>
    <n v="1197831"/>
    <x v="228"/>
    <x v="1"/>
    <x v="32"/>
    <s v="Jackson"/>
    <x v="5"/>
    <n v="0.6"/>
    <n v="5500"/>
    <n v="3300"/>
    <n v="1320"/>
    <n v="0.4"/>
  </r>
  <r>
    <m/>
    <x v="1"/>
    <n v="1197831"/>
    <x v="30"/>
    <x v="1"/>
    <x v="32"/>
    <s v="Jackson"/>
    <x v="0"/>
    <n v="0.54999999999999993"/>
    <n v="7750"/>
    <n v="4262.4999999999991"/>
    <n v="1704.9999999999998"/>
    <n v="0.4"/>
  </r>
  <r>
    <m/>
    <x v="1"/>
    <n v="1197831"/>
    <x v="30"/>
    <x v="1"/>
    <x v="32"/>
    <s v="Jackson"/>
    <x v="1"/>
    <n v="0.5"/>
    <n v="5250"/>
    <n v="2625"/>
    <n v="918.74999999999989"/>
    <n v="0.35"/>
  </r>
  <r>
    <m/>
    <x v="1"/>
    <n v="1197831"/>
    <x v="30"/>
    <x v="1"/>
    <x v="32"/>
    <s v="Jackson"/>
    <x v="2"/>
    <n v="0.45"/>
    <n v="4500"/>
    <n v="2025"/>
    <n v="810"/>
    <n v="0.4"/>
  </r>
  <r>
    <m/>
    <x v="1"/>
    <n v="1197831"/>
    <x v="30"/>
    <x v="1"/>
    <x v="32"/>
    <s v="Jackson"/>
    <x v="3"/>
    <n v="0.45"/>
    <n v="4000"/>
    <n v="1800"/>
    <n v="720"/>
    <n v="0.4"/>
  </r>
  <r>
    <m/>
    <x v="1"/>
    <n v="1197831"/>
    <x v="30"/>
    <x v="1"/>
    <x v="32"/>
    <s v="Jackson"/>
    <x v="4"/>
    <n v="0.6"/>
    <n v="4250"/>
    <n v="2550"/>
    <n v="892.5"/>
    <n v="0.35"/>
  </r>
  <r>
    <m/>
    <x v="1"/>
    <n v="1197831"/>
    <x v="30"/>
    <x v="1"/>
    <x v="32"/>
    <s v="Jackson"/>
    <x v="5"/>
    <n v="0.65"/>
    <n v="6000"/>
    <n v="3900"/>
    <n v="1560"/>
    <n v="0.4"/>
  </r>
  <r>
    <m/>
    <x v="1"/>
    <n v="1197831"/>
    <x v="31"/>
    <x v="1"/>
    <x v="32"/>
    <s v="Jackson"/>
    <x v="0"/>
    <n v="0.6"/>
    <n v="7500"/>
    <n v="4500"/>
    <n v="1800"/>
    <n v="0.4"/>
  </r>
  <r>
    <m/>
    <x v="1"/>
    <n v="1197831"/>
    <x v="31"/>
    <x v="1"/>
    <x v="32"/>
    <s v="Jackson"/>
    <x v="1"/>
    <n v="0.55000000000000004"/>
    <n v="5250"/>
    <n v="2887.5000000000005"/>
    <n v="1010.6250000000001"/>
    <n v="0.35"/>
  </r>
  <r>
    <m/>
    <x v="1"/>
    <n v="1197831"/>
    <x v="31"/>
    <x v="1"/>
    <x v="32"/>
    <s v="Jackson"/>
    <x v="2"/>
    <n v="0.5"/>
    <n v="4500"/>
    <n v="2250"/>
    <n v="900"/>
    <n v="0.4"/>
  </r>
  <r>
    <m/>
    <x v="1"/>
    <n v="1197831"/>
    <x v="31"/>
    <x v="1"/>
    <x v="32"/>
    <s v="Jackson"/>
    <x v="3"/>
    <n v="0.4"/>
    <n v="4000"/>
    <n v="1600"/>
    <n v="640"/>
    <n v="0.4"/>
  </r>
  <r>
    <m/>
    <x v="1"/>
    <n v="1197831"/>
    <x v="31"/>
    <x v="1"/>
    <x v="32"/>
    <s v="Jackson"/>
    <x v="4"/>
    <n v="0.5"/>
    <n v="3750"/>
    <n v="1875"/>
    <n v="656.25"/>
    <n v="0.35"/>
  </r>
  <r>
    <m/>
    <x v="1"/>
    <n v="1197831"/>
    <x v="31"/>
    <x v="1"/>
    <x v="32"/>
    <s v="Jackson"/>
    <x v="5"/>
    <n v="0.55000000000000004"/>
    <n v="5500"/>
    <n v="3025.0000000000005"/>
    <n v="1210.0000000000002"/>
    <n v="0.4"/>
  </r>
  <r>
    <m/>
    <x v="1"/>
    <n v="1197831"/>
    <x v="170"/>
    <x v="1"/>
    <x v="32"/>
    <s v="Jackson"/>
    <x v="0"/>
    <n v="0.5"/>
    <n v="6500"/>
    <n v="3250"/>
    <n v="1300"/>
    <n v="0.4"/>
  </r>
  <r>
    <m/>
    <x v="1"/>
    <n v="1197831"/>
    <x v="170"/>
    <x v="1"/>
    <x v="32"/>
    <s v="Jackson"/>
    <x v="1"/>
    <n v="0.40000000000000013"/>
    <n v="4500"/>
    <n v="1800.0000000000007"/>
    <n v="630.00000000000023"/>
    <n v="0.35"/>
  </r>
  <r>
    <m/>
    <x v="1"/>
    <n v="1197831"/>
    <x v="170"/>
    <x v="1"/>
    <x v="32"/>
    <s v="Jackson"/>
    <x v="2"/>
    <n v="0.15000000000000008"/>
    <n v="3500"/>
    <n v="525.00000000000023"/>
    <n v="210.00000000000011"/>
    <n v="0.4"/>
  </r>
  <r>
    <m/>
    <x v="1"/>
    <n v="1197831"/>
    <x v="170"/>
    <x v="1"/>
    <x v="32"/>
    <s v="Jackson"/>
    <x v="3"/>
    <n v="0.15000000000000008"/>
    <n v="3250"/>
    <n v="487.50000000000023"/>
    <n v="195.00000000000011"/>
    <n v="0.4"/>
  </r>
  <r>
    <m/>
    <x v="1"/>
    <n v="1197831"/>
    <x v="170"/>
    <x v="1"/>
    <x v="32"/>
    <s v="Jackson"/>
    <x v="4"/>
    <n v="0.25000000000000006"/>
    <n v="3250"/>
    <n v="812.50000000000023"/>
    <n v="284.37500000000006"/>
    <n v="0.35"/>
  </r>
  <r>
    <m/>
    <x v="1"/>
    <n v="1197831"/>
    <x v="170"/>
    <x v="1"/>
    <x v="32"/>
    <s v="Jackson"/>
    <x v="5"/>
    <n v="0.3000000000000001"/>
    <n v="4250"/>
    <n v="1275.0000000000005"/>
    <n v="510.00000000000023"/>
    <n v="0.4"/>
  </r>
  <r>
    <m/>
    <x v="1"/>
    <n v="1197831"/>
    <x v="229"/>
    <x v="1"/>
    <x v="32"/>
    <s v="Jackson"/>
    <x v="0"/>
    <n v="0.3000000000000001"/>
    <n v="6000"/>
    <n v="1800.0000000000007"/>
    <n v="720.00000000000034"/>
    <n v="0.4"/>
  </r>
  <r>
    <m/>
    <x v="1"/>
    <n v="1197831"/>
    <x v="229"/>
    <x v="1"/>
    <x v="32"/>
    <s v="Jackson"/>
    <x v="1"/>
    <n v="0.20000000000000012"/>
    <n v="4250"/>
    <n v="850.00000000000057"/>
    <n v="297.50000000000017"/>
    <n v="0.35"/>
  </r>
  <r>
    <m/>
    <x v="1"/>
    <n v="1197831"/>
    <x v="229"/>
    <x v="1"/>
    <x v="32"/>
    <s v="Jackson"/>
    <x v="2"/>
    <n v="0.20000000000000012"/>
    <n v="3000"/>
    <n v="600.00000000000034"/>
    <n v="240.00000000000014"/>
    <n v="0.4"/>
  </r>
  <r>
    <m/>
    <x v="1"/>
    <n v="1197831"/>
    <x v="229"/>
    <x v="1"/>
    <x v="32"/>
    <s v="Jackson"/>
    <x v="3"/>
    <n v="0.20000000000000012"/>
    <n v="2750"/>
    <n v="550.00000000000034"/>
    <n v="220.00000000000014"/>
    <n v="0.4"/>
  </r>
  <r>
    <m/>
    <x v="1"/>
    <n v="1197831"/>
    <x v="229"/>
    <x v="1"/>
    <x v="32"/>
    <s v="Jackson"/>
    <x v="4"/>
    <n v="0.3000000000000001"/>
    <n v="2750"/>
    <n v="825.00000000000023"/>
    <n v="288.75000000000006"/>
    <n v="0.35"/>
  </r>
  <r>
    <m/>
    <x v="1"/>
    <n v="1197831"/>
    <x v="229"/>
    <x v="1"/>
    <x v="32"/>
    <s v="Jackson"/>
    <x v="5"/>
    <n v="0.30000000000000004"/>
    <n v="4000"/>
    <n v="1200.0000000000002"/>
    <n v="480.00000000000011"/>
    <n v="0.4"/>
  </r>
  <r>
    <m/>
    <x v="1"/>
    <n v="1197831"/>
    <x v="34"/>
    <x v="1"/>
    <x v="32"/>
    <s v="Jackson"/>
    <x v="0"/>
    <n v="0.25000000000000011"/>
    <n v="5500"/>
    <n v="1375.0000000000007"/>
    <n v="550.00000000000034"/>
    <n v="0.4"/>
  </r>
  <r>
    <m/>
    <x v="1"/>
    <n v="1197831"/>
    <x v="34"/>
    <x v="1"/>
    <x v="32"/>
    <s v="Jackson"/>
    <x v="1"/>
    <n v="0.15000000000000013"/>
    <n v="3750"/>
    <n v="562.50000000000045"/>
    <n v="196.87500000000014"/>
    <n v="0.35"/>
  </r>
  <r>
    <m/>
    <x v="1"/>
    <n v="1197831"/>
    <x v="34"/>
    <x v="1"/>
    <x v="32"/>
    <s v="Jackson"/>
    <x v="2"/>
    <n v="0.25000000000000017"/>
    <n v="3200"/>
    <n v="800.00000000000057"/>
    <n v="320.00000000000023"/>
    <n v="0.4"/>
  </r>
  <r>
    <m/>
    <x v="1"/>
    <n v="1197831"/>
    <x v="34"/>
    <x v="1"/>
    <x v="32"/>
    <s v="Jackson"/>
    <x v="3"/>
    <n v="0.55000000000000016"/>
    <n v="3750"/>
    <n v="2062.5000000000005"/>
    <n v="825.00000000000023"/>
    <n v="0.4"/>
  </r>
  <r>
    <m/>
    <x v="1"/>
    <n v="1197831"/>
    <x v="34"/>
    <x v="1"/>
    <x v="32"/>
    <s v="Jackson"/>
    <x v="4"/>
    <n v="0.75000000000000011"/>
    <n v="3500"/>
    <n v="2625.0000000000005"/>
    <n v="918.75000000000011"/>
    <n v="0.35"/>
  </r>
  <r>
    <m/>
    <x v="1"/>
    <n v="1197831"/>
    <x v="34"/>
    <x v="1"/>
    <x v="32"/>
    <s v="Jackson"/>
    <x v="5"/>
    <n v="0.75"/>
    <n v="4500"/>
    <n v="3375"/>
    <n v="1350"/>
    <n v="0.4"/>
  </r>
  <r>
    <m/>
    <x v="1"/>
    <n v="1197831"/>
    <x v="35"/>
    <x v="1"/>
    <x v="32"/>
    <s v="Jackson"/>
    <x v="0"/>
    <n v="0.70000000000000007"/>
    <n v="7000"/>
    <n v="4900.0000000000009"/>
    <n v="1960.0000000000005"/>
    <n v="0.4"/>
  </r>
  <r>
    <m/>
    <x v="1"/>
    <n v="1197831"/>
    <x v="35"/>
    <x v="1"/>
    <x v="32"/>
    <s v="Jackson"/>
    <x v="1"/>
    <n v="0.60000000000000009"/>
    <n v="5000"/>
    <n v="3000.0000000000005"/>
    <n v="1050"/>
    <n v="0.35"/>
  </r>
  <r>
    <m/>
    <x v="1"/>
    <n v="1197831"/>
    <x v="35"/>
    <x v="1"/>
    <x v="32"/>
    <s v="Jackson"/>
    <x v="2"/>
    <n v="0.60000000000000009"/>
    <n v="4500"/>
    <n v="2700.0000000000005"/>
    <n v="1080.0000000000002"/>
    <n v="0.4"/>
  </r>
  <r>
    <m/>
    <x v="1"/>
    <n v="1197831"/>
    <x v="35"/>
    <x v="1"/>
    <x v="32"/>
    <s v="Jackson"/>
    <x v="3"/>
    <n v="0.60000000000000009"/>
    <n v="4000"/>
    <n v="2400.0000000000005"/>
    <n v="960.00000000000023"/>
    <n v="0.4"/>
  </r>
  <r>
    <m/>
    <x v="1"/>
    <n v="1197831"/>
    <x v="35"/>
    <x v="1"/>
    <x v="32"/>
    <s v="Jackson"/>
    <x v="4"/>
    <n v="0.70000000000000007"/>
    <n v="4000"/>
    <n v="2800.0000000000005"/>
    <n v="980.00000000000011"/>
    <n v="0.35"/>
  </r>
  <r>
    <m/>
    <x v="1"/>
    <n v="1197831"/>
    <x v="35"/>
    <x v="1"/>
    <x v="32"/>
    <s v="Jackson"/>
    <x v="5"/>
    <n v="0.75"/>
    <n v="5000"/>
    <n v="3750"/>
    <n v="1500"/>
    <n v="0.4"/>
  </r>
  <r>
    <s v="x"/>
    <x v="1"/>
    <n v="1197831"/>
    <x v="180"/>
    <x v="1"/>
    <x v="33"/>
    <s v="Little Rock"/>
    <x v="0"/>
    <n v="0.25000000000000006"/>
    <n v="5750"/>
    <n v="1437.5000000000002"/>
    <n v="575.00000000000011"/>
    <n v="0.4"/>
  </r>
  <r>
    <m/>
    <x v="1"/>
    <n v="1197831"/>
    <x v="180"/>
    <x v="1"/>
    <x v="33"/>
    <s v="Little Rock"/>
    <x v="1"/>
    <n v="0.25000000000000006"/>
    <n v="3750"/>
    <n v="937.50000000000023"/>
    <n v="328.12500000000006"/>
    <n v="0.35"/>
  </r>
  <r>
    <m/>
    <x v="1"/>
    <n v="1197831"/>
    <x v="180"/>
    <x v="1"/>
    <x v="33"/>
    <s v="Little Rock"/>
    <x v="2"/>
    <n v="0.15000000000000008"/>
    <n v="3750"/>
    <n v="562.50000000000034"/>
    <n v="225.00000000000014"/>
    <n v="0.4"/>
  </r>
  <r>
    <m/>
    <x v="1"/>
    <n v="1197831"/>
    <x v="180"/>
    <x v="1"/>
    <x v="33"/>
    <s v="Little Rock"/>
    <x v="3"/>
    <n v="0.2"/>
    <n v="2250"/>
    <n v="450"/>
    <n v="180"/>
    <n v="0.4"/>
  </r>
  <r>
    <m/>
    <x v="1"/>
    <n v="1197831"/>
    <x v="180"/>
    <x v="1"/>
    <x v="33"/>
    <s v="Little Rock"/>
    <x v="4"/>
    <n v="0.35000000000000003"/>
    <n v="2750"/>
    <n v="962.50000000000011"/>
    <n v="336.875"/>
    <n v="0.35"/>
  </r>
  <r>
    <m/>
    <x v="1"/>
    <n v="1197831"/>
    <x v="180"/>
    <x v="1"/>
    <x v="33"/>
    <s v="Little Rock"/>
    <x v="5"/>
    <n v="0.25000000000000006"/>
    <n v="3750"/>
    <n v="937.50000000000023"/>
    <n v="375.00000000000011"/>
    <n v="0.4"/>
  </r>
  <r>
    <m/>
    <x v="1"/>
    <n v="1197831"/>
    <x v="227"/>
    <x v="1"/>
    <x v="33"/>
    <s v="Little Rock"/>
    <x v="0"/>
    <n v="0.25000000000000006"/>
    <n v="6250"/>
    <n v="1562.5000000000005"/>
    <n v="625.00000000000023"/>
    <n v="0.4"/>
  </r>
  <r>
    <m/>
    <x v="1"/>
    <n v="1197831"/>
    <x v="227"/>
    <x v="1"/>
    <x v="33"/>
    <s v="Little Rock"/>
    <x v="1"/>
    <n v="0.25000000000000006"/>
    <n v="2750"/>
    <n v="687.50000000000011"/>
    <n v="240.62500000000003"/>
    <n v="0.35"/>
  </r>
  <r>
    <m/>
    <x v="1"/>
    <n v="1197831"/>
    <x v="227"/>
    <x v="1"/>
    <x v="33"/>
    <s v="Little Rock"/>
    <x v="2"/>
    <n v="0.15000000000000008"/>
    <n v="3250"/>
    <n v="487.50000000000023"/>
    <n v="195.00000000000011"/>
    <n v="0.4"/>
  </r>
  <r>
    <m/>
    <x v="1"/>
    <n v="1197831"/>
    <x v="227"/>
    <x v="1"/>
    <x v="33"/>
    <s v="Little Rock"/>
    <x v="3"/>
    <n v="0.2"/>
    <n v="1750"/>
    <n v="350"/>
    <n v="140"/>
    <n v="0.4"/>
  </r>
  <r>
    <m/>
    <x v="1"/>
    <n v="1197831"/>
    <x v="227"/>
    <x v="1"/>
    <x v="33"/>
    <s v="Little Rock"/>
    <x v="4"/>
    <n v="0.35000000000000003"/>
    <n v="2500"/>
    <n v="875.00000000000011"/>
    <n v="306.25"/>
    <n v="0.35"/>
  </r>
  <r>
    <m/>
    <x v="1"/>
    <n v="1197831"/>
    <x v="227"/>
    <x v="1"/>
    <x v="33"/>
    <s v="Little Rock"/>
    <x v="5"/>
    <n v="0.2"/>
    <n v="3500"/>
    <n v="700"/>
    <n v="280"/>
    <n v="0.4"/>
  </r>
  <r>
    <m/>
    <x v="1"/>
    <n v="1197831"/>
    <x v="26"/>
    <x v="1"/>
    <x v="33"/>
    <s v="Little Rock"/>
    <x v="0"/>
    <n v="0.2"/>
    <n v="5700"/>
    <n v="1140"/>
    <n v="456"/>
    <n v="0.4"/>
  </r>
  <r>
    <m/>
    <x v="1"/>
    <n v="1197831"/>
    <x v="26"/>
    <x v="1"/>
    <x v="33"/>
    <s v="Little Rock"/>
    <x v="1"/>
    <n v="0.2"/>
    <n v="2500"/>
    <n v="500"/>
    <n v="175"/>
    <n v="0.35"/>
  </r>
  <r>
    <m/>
    <x v="1"/>
    <n v="1197831"/>
    <x v="26"/>
    <x v="1"/>
    <x v="33"/>
    <s v="Little Rock"/>
    <x v="2"/>
    <n v="0.10000000000000002"/>
    <n v="2750"/>
    <n v="275.00000000000006"/>
    <n v="110.00000000000003"/>
    <n v="0.4"/>
  </r>
  <r>
    <m/>
    <x v="1"/>
    <n v="1197831"/>
    <x v="26"/>
    <x v="1"/>
    <x v="33"/>
    <s v="Little Rock"/>
    <x v="3"/>
    <n v="0.19999999999999996"/>
    <n v="1250"/>
    <n v="249.99999999999994"/>
    <n v="99.999999999999986"/>
    <n v="0.4"/>
  </r>
  <r>
    <m/>
    <x v="1"/>
    <n v="1197831"/>
    <x v="26"/>
    <x v="1"/>
    <x v="33"/>
    <s v="Little Rock"/>
    <x v="4"/>
    <n v="0.35000000000000009"/>
    <n v="1750"/>
    <n v="612.50000000000011"/>
    <n v="214.37500000000003"/>
    <n v="0.35"/>
  </r>
  <r>
    <m/>
    <x v="1"/>
    <n v="1197831"/>
    <x v="26"/>
    <x v="1"/>
    <x v="33"/>
    <s v="Little Rock"/>
    <x v="5"/>
    <n v="0.25"/>
    <n v="2750"/>
    <n v="687.5"/>
    <n v="275"/>
    <n v="0.4"/>
  </r>
  <r>
    <m/>
    <x v="1"/>
    <n v="1197831"/>
    <x v="27"/>
    <x v="1"/>
    <x v="33"/>
    <s v="Little Rock"/>
    <x v="0"/>
    <n v="0.25"/>
    <n v="5250"/>
    <n v="1312.5"/>
    <n v="525"/>
    <n v="0.4"/>
  </r>
  <r>
    <m/>
    <x v="1"/>
    <n v="1197831"/>
    <x v="27"/>
    <x v="1"/>
    <x v="33"/>
    <s v="Little Rock"/>
    <x v="1"/>
    <n v="0.25"/>
    <n v="2250"/>
    <n v="562.5"/>
    <n v="196.875"/>
    <n v="0.35"/>
  </r>
  <r>
    <m/>
    <x v="1"/>
    <n v="1197831"/>
    <x v="27"/>
    <x v="1"/>
    <x v="33"/>
    <s v="Little Rock"/>
    <x v="2"/>
    <n v="0.15000000000000002"/>
    <n v="2250"/>
    <n v="337.50000000000006"/>
    <n v="135.00000000000003"/>
    <n v="0.4"/>
  </r>
  <r>
    <m/>
    <x v="1"/>
    <n v="1197831"/>
    <x v="27"/>
    <x v="1"/>
    <x v="33"/>
    <s v="Little Rock"/>
    <x v="3"/>
    <n v="0.19999999999999996"/>
    <n v="1500"/>
    <n v="299.99999999999994"/>
    <n v="119.99999999999999"/>
    <n v="0.4"/>
  </r>
  <r>
    <m/>
    <x v="1"/>
    <n v="1197831"/>
    <x v="27"/>
    <x v="1"/>
    <x v="33"/>
    <s v="Little Rock"/>
    <x v="4"/>
    <n v="0.4"/>
    <n v="1750"/>
    <n v="700"/>
    <n v="244.99999999999997"/>
    <n v="0.35"/>
  </r>
  <r>
    <m/>
    <x v="1"/>
    <n v="1197831"/>
    <x v="27"/>
    <x v="1"/>
    <x v="33"/>
    <s v="Little Rock"/>
    <x v="5"/>
    <n v="0.30000000000000004"/>
    <n v="3250"/>
    <n v="975.00000000000011"/>
    <n v="390.00000000000006"/>
    <n v="0.4"/>
  </r>
  <r>
    <m/>
    <x v="1"/>
    <n v="1197831"/>
    <x v="168"/>
    <x v="1"/>
    <x v="33"/>
    <s v="Little Rock"/>
    <x v="0"/>
    <n v="0.4"/>
    <n v="5950"/>
    <n v="2380"/>
    <n v="952"/>
    <n v="0.4"/>
  </r>
  <r>
    <m/>
    <x v="1"/>
    <n v="1197831"/>
    <x v="168"/>
    <x v="1"/>
    <x v="33"/>
    <s v="Little Rock"/>
    <x v="1"/>
    <n v="0.4"/>
    <n v="3000"/>
    <n v="1200"/>
    <n v="420"/>
    <n v="0.35"/>
  </r>
  <r>
    <m/>
    <x v="1"/>
    <n v="1197831"/>
    <x v="168"/>
    <x v="1"/>
    <x v="33"/>
    <s v="Little Rock"/>
    <x v="2"/>
    <n v="0.35000000000000003"/>
    <n v="2750"/>
    <n v="962.50000000000011"/>
    <n v="385.00000000000006"/>
    <n v="0.4"/>
  </r>
  <r>
    <m/>
    <x v="1"/>
    <n v="1197831"/>
    <x v="168"/>
    <x v="1"/>
    <x v="33"/>
    <s v="Little Rock"/>
    <x v="3"/>
    <n v="0.35000000000000003"/>
    <n v="2250"/>
    <n v="787.50000000000011"/>
    <n v="315.00000000000006"/>
    <n v="0.4"/>
  </r>
  <r>
    <m/>
    <x v="1"/>
    <n v="1197831"/>
    <x v="168"/>
    <x v="1"/>
    <x v="33"/>
    <s v="Little Rock"/>
    <x v="4"/>
    <n v="0.44999999999999996"/>
    <n v="2500"/>
    <n v="1125"/>
    <n v="393.75"/>
    <n v="0.35"/>
  </r>
  <r>
    <m/>
    <x v="1"/>
    <n v="1197831"/>
    <x v="168"/>
    <x v="1"/>
    <x v="33"/>
    <s v="Little Rock"/>
    <x v="5"/>
    <n v="0.44999999999999996"/>
    <n v="3500"/>
    <n v="1574.9999999999998"/>
    <n v="630"/>
    <n v="0.4"/>
  </r>
  <r>
    <m/>
    <x v="1"/>
    <n v="1197831"/>
    <x v="228"/>
    <x v="1"/>
    <x v="33"/>
    <s v="Little Rock"/>
    <x v="0"/>
    <n v="0.39999999999999997"/>
    <n v="6000"/>
    <n v="2400"/>
    <n v="960"/>
    <n v="0.4"/>
  </r>
  <r>
    <m/>
    <x v="1"/>
    <n v="1197831"/>
    <x v="228"/>
    <x v="1"/>
    <x v="33"/>
    <s v="Little Rock"/>
    <x v="1"/>
    <n v="0.35000000000000003"/>
    <n v="3500"/>
    <n v="1225.0000000000002"/>
    <n v="428.75000000000006"/>
    <n v="0.35"/>
  </r>
  <r>
    <m/>
    <x v="1"/>
    <n v="1197831"/>
    <x v="228"/>
    <x v="1"/>
    <x v="33"/>
    <s v="Little Rock"/>
    <x v="2"/>
    <n v="0.4"/>
    <n v="3250"/>
    <n v="1300"/>
    <n v="520"/>
    <n v="0.4"/>
  </r>
  <r>
    <m/>
    <x v="1"/>
    <n v="1197831"/>
    <x v="228"/>
    <x v="1"/>
    <x v="33"/>
    <s v="Little Rock"/>
    <x v="3"/>
    <n v="0.4"/>
    <n v="3000"/>
    <n v="1200"/>
    <n v="480"/>
    <n v="0.4"/>
  </r>
  <r>
    <m/>
    <x v="1"/>
    <n v="1197831"/>
    <x v="228"/>
    <x v="1"/>
    <x v="33"/>
    <s v="Little Rock"/>
    <x v="4"/>
    <n v="0.54999999999999993"/>
    <n v="3000"/>
    <n v="1649.9999999999998"/>
    <n v="577.49999999999989"/>
    <n v="0.35"/>
  </r>
  <r>
    <m/>
    <x v="1"/>
    <n v="1197831"/>
    <x v="228"/>
    <x v="1"/>
    <x v="33"/>
    <s v="Little Rock"/>
    <x v="5"/>
    <n v="0.6"/>
    <n v="4750"/>
    <n v="2850"/>
    <n v="1140"/>
    <n v="0.4"/>
  </r>
  <r>
    <m/>
    <x v="1"/>
    <n v="1197831"/>
    <x v="30"/>
    <x v="1"/>
    <x v="33"/>
    <s v="Little Rock"/>
    <x v="0"/>
    <n v="0.54999999999999993"/>
    <n v="7000"/>
    <n v="3849.9999999999995"/>
    <n v="1540"/>
    <n v="0.4"/>
  </r>
  <r>
    <m/>
    <x v="1"/>
    <n v="1197831"/>
    <x v="30"/>
    <x v="1"/>
    <x v="33"/>
    <s v="Little Rock"/>
    <x v="1"/>
    <n v="0.5"/>
    <n v="4500"/>
    <n v="2250"/>
    <n v="787.5"/>
    <n v="0.35"/>
  </r>
  <r>
    <m/>
    <x v="1"/>
    <n v="1197831"/>
    <x v="30"/>
    <x v="1"/>
    <x v="33"/>
    <s v="Little Rock"/>
    <x v="2"/>
    <n v="0.45"/>
    <n v="3750"/>
    <n v="1687.5"/>
    <n v="675"/>
    <n v="0.4"/>
  </r>
  <r>
    <m/>
    <x v="1"/>
    <n v="1197831"/>
    <x v="30"/>
    <x v="1"/>
    <x v="33"/>
    <s v="Little Rock"/>
    <x v="3"/>
    <n v="0.45"/>
    <n v="3250"/>
    <n v="1462.5"/>
    <n v="585"/>
    <n v="0.4"/>
  </r>
  <r>
    <m/>
    <x v="1"/>
    <n v="1197831"/>
    <x v="30"/>
    <x v="1"/>
    <x v="33"/>
    <s v="Little Rock"/>
    <x v="4"/>
    <n v="0.6"/>
    <n v="3500"/>
    <n v="2100"/>
    <n v="735"/>
    <n v="0.35"/>
  </r>
  <r>
    <m/>
    <x v="1"/>
    <n v="1197831"/>
    <x v="30"/>
    <x v="1"/>
    <x v="33"/>
    <s v="Little Rock"/>
    <x v="5"/>
    <n v="0.65"/>
    <n v="5250"/>
    <n v="3412.5"/>
    <n v="1365"/>
    <n v="0.4"/>
  </r>
  <r>
    <m/>
    <x v="1"/>
    <n v="1197831"/>
    <x v="31"/>
    <x v="1"/>
    <x v="33"/>
    <s v="Little Rock"/>
    <x v="0"/>
    <n v="0.6"/>
    <n v="6750"/>
    <n v="4050"/>
    <n v="1620"/>
    <n v="0.4"/>
  </r>
  <r>
    <m/>
    <x v="1"/>
    <n v="1197831"/>
    <x v="31"/>
    <x v="1"/>
    <x v="33"/>
    <s v="Little Rock"/>
    <x v="1"/>
    <n v="0.55000000000000004"/>
    <n v="4500"/>
    <n v="2475"/>
    <n v="866.25"/>
    <n v="0.35"/>
  </r>
  <r>
    <m/>
    <x v="1"/>
    <n v="1197831"/>
    <x v="31"/>
    <x v="1"/>
    <x v="33"/>
    <s v="Little Rock"/>
    <x v="2"/>
    <n v="0.5"/>
    <n v="3750"/>
    <n v="1875"/>
    <n v="750"/>
    <n v="0.4"/>
  </r>
  <r>
    <m/>
    <x v="1"/>
    <n v="1197831"/>
    <x v="31"/>
    <x v="1"/>
    <x v="33"/>
    <s v="Little Rock"/>
    <x v="3"/>
    <n v="0.4"/>
    <n v="3250"/>
    <n v="1300"/>
    <n v="520"/>
    <n v="0.4"/>
  </r>
  <r>
    <m/>
    <x v="1"/>
    <n v="1197831"/>
    <x v="31"/>
    <x v="1"/>
    <x v="33"/>
    <s v="Little Rock"/>
    <x v="4"/>
    <n v="0.5"/>
    <n v="3000"/>
    <n v="1500"/>
    <n v="525"/>
    <n v="0.35"/>
  </r>
  <r>
    <m/>
    <x v="1"/>
    <n v="1197831"/>
    <x v="31"/>
    <x v="1"/>
    <x v="33"/>
    <s v="Little Rock"/>
    <x v="5"/>
    <n v="0.55000000000000004"/>
    <n v="4750"/>
    <n v="2612.5"/>
    <n v="1045"/>
    <n v="0.4"/>
  </r>
  <r>
    <m/>
    <x v="1"/>
    <n v="1197831"/>
    <x v="170"/>
    <x v="1"/>
    <x v="33"/>
    <s v="Little Rock"/>
    <x v="0"/>
    <n v="0.5"/>
    <n v="5750"/>
    <n v="2875"/>
    <n v="1150"/>
    <n v="0.4"/>
  </r>
  <r>
    <m/>
    <x v="1"/>
    <n v="1197831"/>
    <x v="170"/>
    <x v="1"/>
    <x v="33"/>
    <s v="Little Rock"/>
    <x v="1"/>
    <n v="0.40000000000000013"/>
    <n v="3750"/>
    <n v="1500.0000000000005"/>
    <n v="525.00000000000011"/>
    <n v="0.35"/>
  </r>
  <r>
    <m/>
    <x v="1"/>
    <n v="1197831"/>
    <x v="170"/>
    <x v="1"/>
    <x v="33"/>
    <s v="Little Rock"/>
    <x v="2"/>
    <n v="0.15000000000000008"/>
    <n v="2750"/>
    <n v="412.50000000000023"/>
    <n v="165.00000000000011"/>
    <n v="0.4"/>
  </r>
  <r>
    <m/>
    <x v="1"/>
    <n v="1197831"/>
    <x v="170"/>
    <x v="1"/>
    <x v="33"/>
    <s v="Little Rock"/>
    <x v="3"/>
    <n v="0.15000000000000008"/>
    <n v="2500"/>
    <n v="375.00000000000017"/>
    <n v="150.00000000000009"/>
    <n v="0.4"/>
  </r>
  <r>
    <m/>
    <x v="1"/>
    <n v="1197831"/>
    <x v="170"/>
    <x v="1"/>
    <x v="33"/>
    <s v="Little Rock"/>
    <x v="4"/>
    <n v="0.25000000000000006"/>
    <n v="2500"/>
    <n v="625.00000000000011"/>
    <n v="218.75000000000003"/>
    <n v="0.35"/>
  </r>
  <r>
    <m/>
    <x v="1"/>
    <n v="1197831"/>
    <x v="170"/>
    <x v="1"/>
    <x v="33"/>
    <s v="Little Rock"/>
    <x v="5"/>
    <n v="0.3000000000000001"/>
    <n v="3500"/>
    <n v="1050.0000000000005"/>
    <n v="420.00000000000023"/>
    <n v="0.4"/>
  </r>
  <r>
    <m/>
    <x v="1"/>
    <n v="1197831"/>
    <x v="229"/>
    <x v="1"/>
    <x v="33"/>
    <s v="Little Rock"/>
    <x v="0"/>
    <n v="0.3000000000000001"/>
    <n v="5250"/>
    <n v="1575.0000000000005"/>
    <n v="630.00000000000023"/>
    <n v="0.4"/>
  </r>
  <r>
    <m/>
    <x v="1"/>
    <n v="1197831"/>
    <x v="229"/>
    <x v="1"/>
    <x v="33"/>
    <s v="Little Rock"/>
    <x v="1"/>
    <n v="0.20000000000000012"/>
    <n v="3500"/>
    <n v="700.00000000000045"/>
    <n v="245.00000000000014"/>
    <n v="0.35"/>
  </r>
  <r>
    <m/>
    <x v="1"/>
    <n v="1197831"/>
    <x v="229"/>
    <x v="1"/>
    <x v="33"/>
    <s v="Little Rock"/>
    <x v="2"/>
    <n v="0.20000000000000012"/>
    <n v="2250"/>
    <n v="450.00000000000028"/>
    <n v="180.00000000000011"/>
    <n v="0.4"/>
  </r>
  <r>
    <m/>
    <x v="1"/>
    <n v="1197831"/>
    <x v="229"/>
    <x v="1"/>
    <x v="33"/>
    <s v="Little Rock"/>
    <x v="3"/>
    <n v="0.20000000000000012"/>
    <n v="2000"/>
    <n v="400.00000000000023"/>
    <n v="160.00000000000011"/>
    <n v="0.4"/>
  </r>
  <r>
    <m/>
    <x v="1"/>
    <n v="1197831"/>
    <x v="229"/>
    <x v="1"/>
    <x v="33"/>
    <s v="Little Rock"/>
    <x v="4"/>
    <n v="0.3000000000000001"/>
    <n v="2000"/>
    <n v="600.00000000000023"/>
    <n v="210.00000000000006"/>
    <n v="0.35"/>
  </r>
  <r>
    <m/>
    <x v="1"/>
    <n v="1197831"/>
    <x v="229"/>
    <x v="1"/>
    <x v="33"/>
    <s v="Little Rock"/>
    <x v="5"/>
    <n v="0.30000000000000004"/>
    <n v="3250"/>
    <n v="975.00000000000011"/>
    <n v="390.00000000000006"/>
    <n v="0.4"/>
  </r>
  <r>
    <m/>
    <x v="1"/>
    <n v="1197831"/>
    <x v="34"/>
    <x v="1"/>
    <x v="33"/>
    <s v="Little Rock"/>
    <x v="0"/>
    <n v="0.25000000000000011"/>
    <n v="4750"/>
    <n v="1187.5000000000005"/>
    <n v="475.00000000000023"/>
    <n v="0.4"/>
  </r>
  <r>
    <m/>
    <x v="1"/>
    <n v="1197831"/>
    <x v="34"/>
    <x v="1"/>
    <x v="33"/>
    <s v="Little Rock"/>
    <x v="1"/>
    <n v="0.15000000000000013"/>
    <n v="3000"/>
    <n v="450.0000000000004"/>
    <n v="157.50000000000014"/>
    <n v="0.35"/>
  </r>
  <r>
    <m/>
    <x v="1"/>
    <n v="1197831"/>
    <x v="34"/>
    <x v="1"/>
    <x v="33"/>
    <s v="Little Rock"/>
    <x v="2"/>
    <n v="0.25000000000000017"/>
    <n v="2450"/>
    <n v="612.50000000000045"/>
    <n v="245.0000000000002"/>
    <n v="0.4"/>
  </r>
  <r>
    <m/>
    <x v="1"/>
    <n v="1197831"/>
    <x v="34"/>
    <x v="1"/>
    <x v="33"/>
    <s v="Little Rock"/>
    <x v="3"/>
    <n v="0.55000000000000016"/>
    <n v="3000"/>
    <n v="1650.0000000000005"/>
    <n v="660.00000000000023"/>
    <n v="0.4"/>
  </r>
  <r>
    <m/>
    <x v="1"/>
    <n v="1197831"/>
    <x v="34"/>
    <x v="1"/>
    <x v="33"/>
    <s v="Little Rock"/>
    <x v="4"/>
    <n v="0.75000000000000011"/>
    <n v="2750"/>
    <n v="2062.5000000000005"/>
    <n v="721.87500000000011"/>
    <n v="0.35"/>
  </r>
  <r>
    <m/>
    <x v="1"/>
    <n v="1197831"/>
    <x v="34"/>
    <x v="1"/>
    <x v="33"/>
    <s v="Little Rock"/>
    <x v="5"/>
    <n v="0.75"/>
    <n v="3750"/>
    <n v="2812.5"/>
    <n v="1125"/>
    <n v="0.4"/>
  </r>
  <r>
    <m/>
    <x v="1"/>
    <n v="1197831"/>
    <x v="35"/>
    <x v="1"/>
    <x v="33"/>
    <s v="Little Rock"/>
    <x v="0"/>
    <n v="0.70000000000000007"/>
    <n v="6250"/>
    <n v="4375"/>
    <n v="1750"/>
    <n v="0.4"/>
  </r>
  <r>
    <m/>
    <x v="1"/>
    <n v="1197831"/>
    <x v="35"/>
    <x v="1"/>
    <x v="33"/>
    <s v="Little Rock"/>
    <x v="1"/>
    <n v="0.60000000000000009"/>
    <n v="4250"/>
    <n v="2550.0000000000005"/>
    <n v="892.50000000000011"/>
    <n v="0.35"/>
  </r>
  <r>
    <m/>
    <x v="1"/>
    <n v="1197831"/>
    <x v="35"/>
    <x v="1"/>
    <x v="33"/>
    <s v="Little Rock"/>
    <x v="2"/>
    <n v="0.60000000000000009"/>
    <n v="3750"/>
    <n v="2250.0000000000005"/>
    <n v="900.00000000000023"/>
    <n v="0.4"/>
  </r>
  <r>
    <m/>
    <x v="1"/>
    <n v="1197831"/>
    <x v="35"/>
    <x v="1"/>
    <x v="33"/>
    <s v="Little Rock"/>
    <x v="3"/>
    <n v="0.60000000000000009"/>
    <n v="3250"/>
    <n v="1950.0000000000002"/>
    <n v="780.00000000000011"/>
    <n v="0.4"/>
  </r>
  <r>
    <m/>
    <x v="1"/>
    <n v="1197831"/>
    <x v="35"/>
    <x v="1"/>
    <x v="33"/>
    <s v="Little Rock"/>
    <x v="4"/>
    <n v="0.70000000000000007"/>
    <n v="3250"/>
    <n v="2275"/>
    <n v="796.25"/>
    <n v="0.35"/>
  </r>
  <r>
    <m/>
    <x v="1"/>
    <n v="1197831"/>
    <x v="35"/>
    <x v="1"/>
    <x v="33"/>
    <s v="Little Rock"/>
    <x v="5"/>
    <n v="0.75"/>
    <n v="4250"/>
    <n v="3187.5"/>
    <n v="1275"/>
    <n v="0.4"/>
  </r>
  <r>
    <s v="x"/>
    <x v="1"/>
    <n v="1197831"/>
    <x v="230"/>
    <x v="1"/>
    <x v="34"/>
    <s v="Oklahoma City"/>
    <x v="0"/>
    <n v="0.25000000000000006"/>
    <n v="5500"/>
    <n v="1375.0000000000002"/>
    <n v="481.25000000000006"/>
    <n v="0.35"/>
  </r>
  <r>
    <m/>
    <x v="1"/>
    <n v="1197831"/>
    <x v="230"/>
    <x v="1"/>
    <x v="34"/>
    <s v="Oklahoma City"/>
    <x v="1"/>
    <n v="0.25000000000000006"/>
    <n v="3500"/>
    <n v="875.00000000000023"/>
    <n v="306.25000000000006"/>
    <n v="0.35"/>
  </r>
  <r>
    <m/>
    <x v="1"/>
    <n v="1197831"/>
    <x v="230"/>
    <x v="1"/>
    <x v="34"/>
    <s v="Oklahoma City"/>
    <x v="2"/>
    <n v="0.15000000000000008"/>
    <n v="3500"/>
    <n v="525.00000000000023"/>
    <n v="183.75000000000006"/>
    <n v="0.35"/>
  </r>
  <r>
    <m/>
    <x v="1"/>
    <n v="1197831"/>
    <x v="230"/>
    <x v="1"/>
    <x v="34"/>
    <s v="Oklahoma City"/>
    <x v="3"/>
    <n v="0.2"/>
    <n v="2000"/>
    <n v="400"/>
    <n v="140"/>
    <n v="0.35"/>
  </r>
  <r>
    <m/>
    <x v="1"/>
    <n v="1197831"/>
    <x v="230"/>
    <x v="1"/>
    <x v="34"/>
    <s v="Oklahoma City"/>
    <x v="4"/>
    <n v="0.35000000000000003"/>
    <n v="2500"/>
    <n v="875.00000000000011"/>
    <n v="306.25"/>
    <n v="0.35"/>
  </r>
  <r>
    <m/>
    <x v="1"/>
    <n v="1197831"/>
    <x v="230"/>
    <x v="1"/>
    <x v="34"/>
    <s v="Oklahoma City"/>
    <x v="5"/>
    <n v="0.25000000000000006"/>
    <n v="3500"/>
    <n v="875.00000000000023"/>
    <n v="306.25000000000006"/>
    <n v="0.35"/>
  </r>
  <r>
    <m/>
    <x v="1"/>
    <n v="1197831"/>
    <x v="231"/>
    <x v="1"/>
    <x v="34"/>
    <s v="Oklahoma City"/>
    <x v="0"/>
    <n v="0.25000000000000006"/>
    <n v="6000"/>
    <n v="1500.0000000000002"/>
    <n v="525"/>
    <n v="0.35"/>
  </r>
  <r>
    <m/>
    <x v="1"/>
    <n v="1197831"/>
    <x v="231"/>
    <x v="1"/>
    <x v="34"/>
    <s v="Oklahoma City"/>
    <x v="1"/>
    <n v="0.25000000000000006"/>
    <n v="2500"/>
    <n v="625.00000000000011"/>
    <n v="218.75000000000003"/>
    <n v="0.35"/>
  </r>
  <r>
    <m/>
    <x v="1"/>
    <n v="1197831"/>
    <x v="231"/>
    <x v="1"/>
    <x v="34"/>
    <s v="Oklahoma City"/>
    <x v="2"/>
    <n v="0.15000000000000008"/>
    <n v="3000"/>
    <n v="450.00000000000023"/>
    <n v="157.50000000000006"/>
    <n v="0.35"/>
  </r>
  <r>
    <m/>
    <x v="1"/>
    <n v="1197831"/>
    <x v="231"/>
    <x v="1"/>
    <x v="34"/>
    <s v="Oklahoma City"/>
    <x v="3"/>
    <n v="0.2"/>
    <n v="1500"/>
    <n v="300"/>
    <n v="105"/>
    <n v="0.35"/>
  </r>
  <r>
    <m/>
    <x v="1"/>
    <n v="1197831"/>
    <x v="231"/>
    <x v="1"/>
    <x v="34"/>
    <s v="Oklahoma City"/>
    <x v="4"/>
    <n v="0.35000000000000003"/>
    <n v="2250"/>
    <n v="787.50000000000011"/>
    <n v="275.625"/>
    <n v="0.35"/>
  </r>
  <r>
    <m/>
    <x v="1"/>
    <n v="1197831"/>
    <x v="231"/>
    <x v="1"/>
    <x v="34"/>
    <s v="Oklahoma City"/>
    <x v="5"/>
    <n v="0.2"/>
    <n v="3250"/>
    <n v="650"/>
    <n v="227.49999999999997"/>
    <n v="0.35"/>
  </r>
  <r>
    <m/>
    <x v="1"/>
    <n v="1197831"/>
    <x v="92"/>
    <x v="1"/>
    <x v="34"/>
    <s v="Oklahoma City"/>
    <x v="0"/>
    <n v="0.2"/>
    <n v="5450"/>
    <n v="1090"/>
    <n v="381.5"/>
    <n v="0.35"/>
  </r>
  <r>
    <m/>
    <x v="1"/>
    <n v="1197831"/>
    <x v="92"/>
    <x v="1"/>
    <x v="34"/>
    <s v="Oklahoma City"/>
    <x v="1"/>
    <n v="0.2"/>
    <n v="2250"/>
    <n v="450"/>
    <n v="157.5"/>
    <n v="0.35"/>
  </r>
  <r>
    <m/>
    <x v="1"/>
    <n v="1197831"/>
    <x v="92"/>
    <x v="1"/>
    <x v="34"/>
    <s v="Oklahoma City"/>
    <x v="2"/>
    <n v="0.10000000000000002"/>
    <n v="2500"/>
    <n v="250.00000000000006"/>
    <n v="87.500000000000014"/>
    <n v="0.35"/>
  </r>
  <r>
    <m/>
    <x v="1"/>
    <n v="1197831"/>
    <x v="92"/>
    <x v="1"/>
    <x v="34"/>
    <s v="Oklahoma City"/>
    <x v="3"/>
    <n v="0.19999999999999996"/>
    <n v="1000"/>
    <n v="199.99999999999994"/>
    <n v="69.999999999999972"/>
    <n v="0.35"/>
  </r>
  <r>
    <m/>
    <x v="1"/>
    <n v="1197831"/>
    <x v="92"/>
    <x v="1"/>
    <x v="34"/>
    <s v="Oklahoma City"/>
    <x v="4"/>
    <n v="0.35000000000000009"/>
    <n v="1500"/>
    <n v="525.00000000000011"/>
    <n v="183.75000000000003"/>
    <n v="0.35"/>
  </r>
  <r>
    <m/>
    <x v="1"/>
    <n v="1197831"/>
    <x v="92"/>
    <x v="1"/>
    <x v="34"/>
    <s v="Oklahoma City"/>
    <x v="5"/>
    <n v="0.25"/>
    <n v="2500"/>
    <n v="625"/>
    <n v="218.75"/>
    <n v="0.35"/>
  </r>
  <r>
    <m/>
    <x v="1"/>
    <n v="1197831"/>
    <x v="93"/>
    <x v="1"/>
    <x v="34"/>
    <s v="Oklahoma City"/>
    <x v="0"/>
    <n v="0.25"/>
    <n v="5000"/>
    <n v="1250"/>
    <n v="437.5"/>
    <n v="0.35"/>
  </r>
  <r>
    <m/>
    <x v="1"/>
    <n v="1197831"/>
    <x v="93"/>
    <x v="1"/>
    <x v="34"/>
    <s v="Oklahoma City"/>
    <x v="1"/>
    <n v="0.25"/>
    <n v="2000"/>
    <n v="500"/>
    <n v="175"/>
    <n v="0.35"/>
  </r>
  <r>
    <m/>
    <x v="1"/>
    <n v="1197831"/>
    <x v="93"/>
    <x v="1"/>
    <x v="34"/>
    <s v="Oklahoma City"/>
    <x v="2"/>
    <n v="0.15000000000000002"/>
    <n v="2000"/>
    <n v="300.00000000000006"/>
    <n v="105.00000000000001"/>
    <n v="0.35"/>
  </r>
  <r>
    <m/>
    <x v="1"/>
    <n v="1197831"/>
    <x v="93"/>
    <x v="1"/>
    <x v="34"/>
    <s v="Oklahoma City"/>
    <x v="3"/>
    <n v="0.19999999999999996"/>
    <n v="1250"/>
    <n v="249.99999999999994"/>
    <n v="87.499999999999972"/>
    <n v="0.35"/>
  </r>
  <r>
    <m/>
    <x v="1"/>
    <n v="1197831"/>
    <x v="93"/>
    <x v="1"/>
    <x v="34"/>
    <s v="Oklahoma City"/>
    <x v="4"/>
    <n v="0.4"/>
    <n v="1500"/>
    <n v="600"/>
    <n v="210"/>
    <n v="0.35"/>
  </r>
  <r>
    <m/>
    <x v="1"/>
    <n v="1197831"/>
    <x v="93"/>
    <x v="1"/>
    <x v="34"/>
    <s v="Oklahoma City"/>
    <x v="5"/>
    <n v="0.30000000000000004"/>
    <n v="3000"/>
    <n v="900.00000000000011"/>
    <n v="315"/>
    <n v="0.35"/>
  </r>
  <r>
    <m/>
    <x v="1"/>
    <n v="1197831"/>
    <x v="120"/>
    <x v="1"/>
    <x v="34"/>
    <s v="Oklahoma City"/>
    <x v="0"/>
    <n v="0.4"/>
    <n v="5700"/>
    <n v="2280"/>
    <n v="798"/>
    <n v="0.35"/>
  </r>
  <r>
    <m/>
    <x v="1"/>
    <n v="1197831"/>
    <x v="120"/>
    <x v="1"/>
    <x v="34"/>
    <s v="Oklahoma City"/>
    <x v="1"/>
    <n v="0.4"/>
    <n v="2750"/>
    <n v="1100"/>
    <n v="385"/>
    <n v="0.35"/>
  </r>
  <r>
    <m/>
    <x v="1"/>
    <n v="1197831"/>
    <x v="120"/>
    <x v="1"/>
    <x v="34"/>
    <s v="Oklahoma City"/>
    <x v="2"/>
    <n v="0.35000000000000003"/>
    <n v="2500"/>
    <n v="875.00000000000011"/>
    <n v="306.25"/>
    <n v="0.35"/>
  </r>
  <r>
    <m/>
    <x v="1"/>
    <n v="1197831"/>
    <x v="120"/>
    <x v="1"/>
    <x v="34"/>
    <s v="Oklahoma City"/>
    <x v="3"/>
    <n v="0.35000000000000003"/>
    <n v="2000"/>
    <n v="700.00000000000011"/>
    <n v="245.00000000000003"/>
    <n v="0.35"/>
  </r>
  <r>
    <m/>
    <x v="1"/>
    <n v="1197831"/>
    <x v="120"/>
    <x v="1"/>
    <x v="34"/>
    <s v="Oklahoma City"/>
    <x v="4"/>
    <n v="0.44999999999999996"/>
    <n v="2250"/>
    <n v="1012.4999999999999"/>
    <n v="354.37499999999994"/>
    <n v="0.35"/>
  </r>
  <r>
    <m/>
    <x v="1"/>
    <n v="1197831"/>
    <x v="120"/>
    <x v="1"/>
    <x v="34"/>
    <s v="Oklahoma City"/>
    <x v="5"/>
    <n v="0.44999999999999996"/>
    <n v="3250"/>
    <n v="1462.4999999999998"/>
    <n v="511.87499999999989"/>
    <n v="0.35"/>
  </r>
  <r>
    <m/>
    <x v="1"/>
    <n v="1197831"/>
    <x v="232"/>
    <x v="1"/>
    <x v="34"/>
    <s v="Oklahoma City"/>
    <x v="0"/>
    <n v="0.39999999999999997"/>
    <n v="5750"/>
    <n v="2300"/>
    <n v="805"/>
    <n v="0.35"/>
  </r>
  <r>
    <m/>
    <x v="1"/>
    <n v="1197831"/>
    <x v="232"/>
    <x v="1"/>
    <x v="34"/>
    <s v="Oklahoma City"/>
    <x v="1"/>
    <n v="0.35000000000000003"/>
    <n v="3250"/>
    <n v="1137.5"/>
    <n v="398.125"/>
    <n v="0.35"/>
  </r>
  <r>
    <m/>
    <x v="1"/>
    <n v="1197831"/>
    <x v="232"/>
    <x v="1"/>
    <x v="34"/>
    <s v="Oklahoma City"/>
    <x v="2"/>
    <n v="0.4"/>
    <n v="3000"/>
    <n v="1200"/>
    <n v="420"/>
    <n v="0.35"/>
  </r>
  <r>
    <m/>
    <x v="1"/>
    <n v="1197831"/>
    <x v="232"/>
    <x v="1"/>
    <x v="34"/>
    <s v="Oklahoma City"/>
    <x v="3"/>
    <n v="0.4"/>
    <n v="2750"/>
    <n v="1100"/>
    <n v="385"/>
    <n v="0.35"/>
  </r>
  <r>
    <m/>
    <x v="1"/>
    <n v="1197831"/>
    <x v="232"/>
    <x v="1"/>
    <x v="34"/>
    <s v="Oklahoma City"/>
    <x v="4"/>
    <n v="0.54999999999999993"/>
    <n v="2750"/>
    <n v="1512.4999999999998"/>
    <n v="529.37499999999989"/>
    <n v="0.35"/>
  </r>
  <r>
    <m/>
    <x v="1"/>
    <n v="1197831"/>
    <x v="232"/>
    <x v="1"/>
    <x v="34"/>
    <s v="Oklahoma City"/>
    <x v="5"/>
    <n v="0.6"/>
    <n v="4500"/>
    <n v="2700"/>
    <n v="944.99999999999989"/>
    <n v="0.35"/>
  </r>
  <r>
    <m/>
    <x v="1"/>
    <n v="1197831"/>
    <x v="96"/>
    <x v="1"/>
    <x v="34"/>
    <s v="Oklahoma City"/>
    <x v="0"/>
    <n v="0.54999999999999993"/>
    <n v="6750"/>
    <n v="3712.4999999999995"/>
    <n v="1299.3749999999998"/>
    <n v="0.35"/>
  </r>
  <r>
    <m/>
    <x v="1"/>
    <n v="1197831"/>
    <x v="96"/>
    <x v="1"/>
    <x v="34"/>
    <s v="Oklahoma City"/>
    <x v="1"/>
    <n v="0.5"/>
    <n v="4250"/>
    <n v="2125"/>
    <n v="743.75"/>
    <n v="0.35"/>
  </r>
  <r>
    <m/>
    <x v="1"/>
    <n v="1197831"/>
    <x v="96"/>
    <x v="1"/>
    <x v="34"/>
    <s v="Oklahoma City"/>
    <x v="2"/>
    <n v="0.45"/>
    <n v="3500"/>
    <n v="1575"/>
    <n v="551.25"/>
    <n v="0.35"/>
  </r>
  <r>
    <m/>
    <x v="1"/>
    <n v="1197831"/>
    <x v="96"/>
    <x v="1"/>
    <x v="34"/>
    <s v="Oklahoma City"/>
    <x v="3"/>
    <n v="0.45"/>
    <n v="3000"/>
    <n v="1350"/>
    <n v="472.49999999999994"/>
    <n v="0.35"/>
  </r>
  <r>
    <m/>
    <x v="1"/>
    <n v="1197831"/>
    <x v="96"/>
    <x v="1"/>
    <x v="34"/>
    <s v="Oklahoma City"/>
    <x v="4"/>
    <n v="0.6"/>
    <n v="3250"/>
    <n v="1950"/>
    <n v="682.5"/>
    <n v="0.35"/>
  </r>
  <r>
    <m/>
    <x v="1"/>
    <n v="1197831"/>
    <x v="96"/>
    <x v="1"/>
    <x v="34"/>
    <s v="Oklahoma City"/>
    <x v="5"/>
    <n v="0.65"/>
    <n v="5000"/>
    <n v="3250"/>
    <n v="1137.5"/>
    <n v="0.35"/>
  </r>
  <r>
    <m/>
    <x v="1"/>
    <n v="1197831"/>
    <x v="97"/>
    <x v="1"/>
    <x v="34"/>
    <s v="Oklahoma City"/>
    <x v="0"/>
    <n v="0.6"/>
    <n v="6500"/>
    <n v="3900"/>
    <n v="1365"/>
    <n v="0.35"/>
  </r>
  <r>
    <m/>
    <x v="1"/>
    <n v="1197831"/>
    <x v="97"/>
    <x v="1"/>
    <x v="34"/>
    <s v="Oklahoma City"/>
    <x v="1"/>
    <n v="0.55000000000000004"/>
    <n v="4250"/>
    <n v="2337.5"/>
    <n v="818.125"/>
    <n v="0.35"/>
  </r>
  <r>
    <m/>
    <x v="1"/>
    <n v="1197831"/>
    <x v="97"/>
    <x v="1"/>
    <x v="34"/>
    <s v="Oklahoma City"/>
    <x v="2"/>
    <n v="0.5"/>
    <n v="3500"/>
    <n v="1750"/>
    <n v="612.5"/>
    <n v="0.35"/>
  </r>
  <r>
    <m/>
    <x v="1"/>
    <n v="1197831"/>
    <x v="97"/>
    <x v="1"/>
    <x v="34"/>
    <s v="Oklahoma City"/>
    <x v="3"/>
    <n v="0.4"/>
    <n v="3000"/>
    <n v="1200"/>
    <n v="420"/>
    <n v="0.35"/>
  </r>
  <r>
    <m/>
    <x v="1"/>
    <n v="1197831"/>
    <x v="97"/>
    <x v="1"/>
    <x v="34"/>
    <s v="Oklahoma City"/>
    <x v="4"/>
    <n v="0.5"/>
    <n v="2750"/>
    <n v="1375"/>
    <n v="481.24999999999994"/>
    <n v="0.35"/>
  </r>
  <r>
    <m/>
    <x v="1"/>
    <n v="1197831"/>
    <x v="97"/>
    <x v="1"/>
    <x v="34"/>
    <s v="Oklahoma City"/>
    <x v="5"/>
    <n v="0.55000000000000004"/>
    <n v="4500"/>
    <n v="2475"/>
    <n v="866.25"/>
    <n v="0.35"/>
  </r>
  <r>
    <m/>
    <x v="1"/>
    <n v="1197831"/>
    <x v="122"/>
    <x v="1"/>
    <x v="34"/>
    <s v="Oklahoma City"/>
    <x v="0"/>
    <n v="0.5"/>
    <n v="5500"/>
    <n v="2750"/>
    <n v="962.49999999999989"/>
    <n v="0.35"/>
  </r>
  <r>
    <m/>
    <x v="1"/>
    <n v="1197831"/>
    <x v="122"/>
    <x v="1"/>
    <x v="34"/>
    <s v="Oklahoma City"/>
    <x v="1"/>
    <n v="0.40000000000000013"/>
    <n v="3500"/>
    <n v="1400.0000000000005"/>
    <n v="490.00000000000011"/>
    <n v="0.35"/>
  </r>
  <r>
    <m/>
    <x v="1"/>
    <n v="1197831"/>
    <x v="122"/>
    <x v="1"/>
    <x v="34"/>
    <s v="Oklahoma City"/>
    <x v="2"/>
    <n v="0.15000000000000008"/>
    <n v="2500"/>
    <n v="375.00000000000017"/>
    <n v="131.25000000000006"/>
    <n v="0.35"/>
  </r>
  <r>
    <m/>
    <x v="1"/>
    <n v="1197831"/>
    <x v="122"/>
    <x v="1"/>
    <x v="34"/>
    <s v="Oklahoma City"/>
    <x v="3"/>
    <n v="0.15000000000000008"/>
    <n v="2250"/>
    <n v="337.50000000000017"/>
    <n v="118.12500000000006"/>
    <n v="0.35"/>
  </r>
  <r>
    <m/>
    <x v="1"/>
    <n v="1197831"/>
    <x v="122"/>
    <x v="1"/>
    <x v="34"/>
    <s v="Oklahoma City"/>
    <x v="4"/>
    <n v="0.25000000000000006"/>
    <n v="2250"/>
    <n v="562.50000000000011"/>
    <n v="196.87500000000003"/>
    <n v="0.35"/>
  </r>
  <r>
    <m/>
    <x v="1"/>
    <n v="1197831"/>
    <x v="122"/>
    <x v="1"/>
    <x v="34"/>
    <s v="Oklahoma City"/>
    <x v="5"/>
    <n v="0.3000000000000001"/>
    <n v="3250"/>
    <n v="975.00000000000034"/>
    <n v="341.25000000000011"/>
    <n v="0.35"/>
  </r>
  <r>
    <m/>
    <x v="1"/>
    <n v="1197831"/>
    <x v="233"/>
    <x v="1"/>
    <x v="34"/>
    <s v="Oklahoma City"/>
    <x v="0"/>
    <n v="0.3000000000000001"/>
    <n v="5000"/>
    <n v="1500.0000000000005"/>
    <n v="525.00000000000011"/>
    <n v="0.35"/>
  </r>
  <r>
    <m/>
    <x v="1"/>
    <n v="1197831"/>
    <x v="233"/>
    <x v="1"/>
    <x v="34"/>
    <s v="Oklahoma City"/>
    <x v="1"/>
    <n v="0.20000000000000012"/>
    <n v="3250"/>
    <n v="650.00000000000034"/>
    <n v="227.50000000000011"/>
    <n v="0.35"/>
  </r>
  <r>
    <m/>
    <x v="1"/>
    <n v="1197831"/>
    <x v="233"/>
    <x v="1"/>
    <x v="34"/>
    <s v="Oklahoma City"/>
    <x v="2"/>
    <n v="0.20000000000000012"/>
    <n v="2000"/>
    <n v="400.00000000000023"/>
    <n v="140.00000000000006"/>
    <n v="0.35"/>
  </r>
  <r>
    <m/>
    <x v="1"/>
    <n v="1197831"/>
    <x v="233"/>
    <x v="1"/>
    <x v="34"/>
    <s v="Oklahoma City"/>
    <x v="3"/>
    <n v="0.20000000000000012"/>
    <n v="1750"/>
    <n v="350.00000000000023"/>
    <n v="122.50000000000007"/>
    <n v="0.35"/>
  </r>
  <r>
    <m/>
    <x v="1"/>
    <n v="1197831"/>
    <x v="233"/>
    <x v="1"/>
    <x v="34"/>
    <s v="Oklahoma City"/>
    <x v="4"/>
    <n v="0.3000000000000001"/>
    <n v="1750"/>
    <n v="525.00000000000023"/>
    <n v="183.75000000000006"/>
    <n v="0.35"/>
  </r>
  <r>
    <m/>
    <x v="1"/>
    <n v="1197831"/>
    <x v="233"/>
    <x v="1"/>
    <x v="34"/>
    <s v="Oklahoma City"/>
    <x v="5"/>
    <n v="0.30000000000000004"/>
    <n v="3000"/>
    <n v="900.00000000000011"/>
    <n v="315"/>
    <n v="0.35"/>
  </r>
  <r>
    <m/>
    <x v="1"/>
    <n v="1197831"/>
    <x v="100"/>
    <x v="1"/>
    <x v="34"/>
    <s v="Oklahoma City"/>
    <x v="0"/>
    <n v="0.25000000000000011"/>
    <n v="4500"/>
    <n v="1125.0000000000005"/>
    <n v="393.75000000000011"/>
    <n v="0.35"/>
  </r>
  <r>
    <m/>
    <x v="1"/>
    <n v="1197831"/>
    <x v="100"/>
    <x v="1"/>
    <x v="34"/>
    <s v="Oklahoma City"/>
    <x v="1"/>
    <n v="0.15000000000000013"/>
    <n v="2750"/>
    <n v="412.50000000000034"/>
    <n v="144.37500000000011"/>
    <n v="0.35"/>
  </r>
  <r>
    <m/>
    <x v="1"/>
    <n v="1197831"/>
    <x v="100"/>
    <x v="1"/>
    <x v="34"/>
    <s v="Oklahoma City"/>
    <x v="2"/>
    <n v="0.25000000000000017"/>
    <n v="2200"/>
    <n v="550.00000000000034"/>
    <n v="192.50000000000011"/>
    <n v="0.35"/>
  </r>
  <r>
    <m/>
    <x v="1"/>
    <n v="1197831"/>
    <x v="100"/>
    <x v="1"/>
    <x v="34"/>
    <s v="Oklahoma City"/>
    <x v="3"/>
    <n v="0.55000000000000016"/>
    <n v="2750"/>
    <n v="1512.5000000000005"/>
    <n v="529.37500000000011"/>
    <n v="0.35"/>
  </r>
  <r>
    <m/>
    <x v="1"/>
    <n v="1197831"/>
    <x v="100"/>
    <x v="1"/>
    <x v="34"/>
    <s v="Oklahoma City"/>
    <x v="4"/>
    <n v="0.75000000000000011"/>
    <n v="2500"/>
    <n v="1875.0000000000002"/>
    <n v="656.25"/>
    <n v="0.35"/>
  </r>
  <r>
    <m/>
    <x v="1"/>
    <n v="1197831"/>
    <x v="100"/>
    <x v="1"/>
    <x v="34"/>
    <s v="Oklahoma City"/>
    <x v="5"/>
    <n v="0.75"/>
    <n v="3500"/>
    <n v="2625"/>
    <n v="918.74999999999989"/>
    <n v="0.35"/>
  </r>
  <r>
    <m/>
    <x v="1"/>
    <n v="1197831"/>
    <x v="101"/>
    <x v="1"/>
    <x v="34"/>
    <s v="Oklahoma City"/>
    <x v="0"/>
    <n v="0.70000000000000007"/>
    <n v="6000"/>
    <n v="4200"/>
    <n v="1470"/>
    <n v="0.35"/>
  </r>
  <r>
    <m/>
    <x v="1"/>
    <n v="1197831"/>
    <x v="101"/>
    <x v="1"/>
    <x v="34"/>
    <s v="Oklahoma City"/>
    <x v="1"/>
    <n v="0.60000000000000009"/>
    <n v="4000"/>
    <n v="2400.0000000000005"/>
    <n v="840.00000000000011"/>
    <n v="0.35"/>
  </r>
  <r>
    <m/>
    <x v="1"/>
    <n v="1197831"/>
    <x v="101"/>
    <x v="1"/>
    <x v="34"/>
    <s v="Oklahoma City"/>
    <x v="2"/>
    <n v="0.60000000000000009"/>
    <n v="3500"/>
    <n v="2100.0000000000005"/>
    <n v="735.00000000000011"/>
    <n v="0.35"/>
  </r>
  <r>
    <m/>
    <x v="1"/>
    <n v="1197831"/>
    <x v="101"/>
    <x v="1"/>
    <x v="34"/>
    <s v="Oklahoma City"/>
    <x v="3"/>
    <n v="0.60000000000000009"/>
    <n v="3000"/>
    <n v="1800.0000000000002"/>
    <n v="630"/>
    <n v="0.35"/>
  </r>
  <r>
    <m/>
    <x v="1"/>
    <n v="1197831"/>
    <x v="101"/>
    <x v="1"/>
    <x v="34"/>
    <s v="Oklahoma City"/>
    <x v="4"/>
    <n v="0.70000000000000007"/>
    <n v="3000"/>
    <n v="2100"/>
    <n v="735"/>
    <n v="0.35"/>
  </r>
  <r>
    <m/>
    <x v="1"/>
    <n v="1197831"/>
    <x v="101"/>
    <x v="1"/>
    <x v="34"/>
    <s v="Oklahoma City"/>
    <x v="5"/>
    <n v="0.75"/>
    <n v="4000"/>
    <n v="3000"/>
    <n v="1050"/>
    <n v="0.35"/>
  </r>
  <r>
    <s v="x"/>
    <x v="0"/>
    <n v="1185732"/>
    <x v="78"/>
    <x v="3"/>
    <x v="35"/>
    <s v="Wichita"/>
    <x v="0"/>
    <n v="0.4"/>
    <n v="4750"/>
    <n v="1900"/>
    <n v="665"/>
    <n v="0.35"/>
  </r>
  <r>
    <m/>
    <x v="0"/>
    <n v="1185732"/>
    <x v="78"/>
    <x v="3"/>
    <x v="35"/>
    <s v="Wichita"/>
    <x v="1"/>
    <n v="0.4"/>
    <n v="2750"/>
    <n v="1100"/>
    <n v="330"/>
    <n v="0.3"/>
  </r>
  <r>
    <m/>
    <x v="0"/>
    <n v="1185732"/>
    <x v="78"/>
    <x v="3"/>
    <x v="35"/>
    <s v="Wichita"/>
    <x v="2"/>
    <n v="0.30000000000000004"/>
    <n v="2750"/>
    <n v="825.00000000000011"/>
    <n v="247.50000000000003"/>
    <n v="0.3"/>
  </r>
  <r>
    <m/>
    <x v="0"/>
    <n v="1185732"/>
    <x v="78"/>
    <x v="3"/>
    <x v="35"/>
    <s v="Wichita"/>
    <x v="3"/>
    <n v="0.35000000000000003"/>
    <n v="1250"/>
    <n v="437.50000000000006"/>
    <n v="131.25"/>
    <n v="0.3"/>
  </r>
  <r>
    <m/>
    <x v="0"/>
    <n v="1185732"/>
    <x v="78"/>
    <x v="3"/>
    <x v="35"/>
    <s v="Wichita"/>
    <x v="4"/>
    <n v="0.49999999999999994"/>
    <n v="1750"/>
    <n v="874.99999999999989"/>
    <n v="306.24999999999994"/>
    <n v="0.35"/>
  </r>
  <r>
    <m/>
    <x v="0"/>
    <n v="1185732"/>
    <x v="78"/>
    <x v="3"/>
    <x v="35"/>
    <s v="Wichita"/>
    <x v="5"/>
    <n v="0.4"/>
    <n v="2750"/>
    <n v="1100"/>
    <n v="440"/>
    <n v="0.4"/>
  </r>
  <r>
    <m/>
    <x v="0"/>
    <n v="1185732"/>
    <x v="1"/>
    <x v="3"/>
    <x v="35"/>
    <s v="Wichita"/>
    <x v="0"/>
    <n v="0.4"/>
    <n v="5250"/>
    <n v="2100"/>
    <n v="735"/>
    <n v="0.35"/>
  </r>
  <r>
    <m/>
    <x v="0"/>
    <n v="1185732"/>
    <x v="1"/>
    <x v="3"/>
    <x v="35"/>
    <s v="Wichita"/>
    <x v="1"/>
    <n v="0.4"/>
    <n v="1750"/>
    <n v="700"/>
    <n v="210"/>
    <n v="0.3"/>
  </r>
  <r>
    <m/>
    <x v="0"/>
    <n v="1185732"/>
    <x v="1"/>
    <x v="3"/>
    <x v="35"/>
    <s v="Wichita"/>
    <x v="2"/>
    <n v="0.30000000000000004"/>
    <n v="2250"/>
    <n v="675.00000000000011"/>
    <n v="202.50000000000003"/>
    <n v="0.3"/>
  </r>
  <r>
    <m/>
    <x v="0"/>
    <n v="1185732"/>
    <x v="1"/>
    <x v="3"/>
    <x v="35"/>
    <s v="Wichita"/>
    <x v="3"/>
    <n v="0.35000000000000003"/>
    <n v="1000"/>
    <n v="350.00000000000006"/>
    <n v="105.00000000000001"/>
    <n v="0.3"/>
  </r>
  <r>
    <m/>
    <x v="0"/>
    <n v="1185732"/>
    <x v="1"/>
    <x v="3"/>
    <x v="35"/>
    <s v="Wichita"/>
    <x v="4"/>
    <n v="0.49999999999999994"/>
    <n v="1750"/>
    <n v="874.99999999999989"/>
    <n v="306.24999999999994"/>
    <n v="0.35"/>
  </r>
  <r>
    <m/>
    <x v="0"/>
    <n v="1185732"/>
    <x v="1"/>
    <x v="3"/>
    <x v="35"/>
    <s v="Wichita"/>
    <x v="5"/>
    <n v="0.35"/>
    <n v="2750"/>
    <n v="962.49999999999989"/>
    <n v="385"/>
    <n v="0.4"/>
  </r>
  <r>
    <m/>
    <x v="0"/>
    <n v="1185732"/>
    <x v="234"/>
    <x v="3"/>
    <x v="35"/>
    <s v="Wichita"/>
    <x v="0"/>
    <n v="0.4"/>
    <n v="4950"/>
    <n v="1980"/>
    <n v="693"/>
    <n v="0.35"/>
  </r>
  <r>
    <m/>
    <x v="0"/>
    <n v="1185732"/>
    <x v="234"/>
    <x v="3"/>
    <x v="35"/>
    <s v="Wichita"/>
    <x v="1"/>
    <n v="0.4"/>
    <n v="2000"/>
    <n v="800"/>
    <n v="240"/>
    <n v="0.3"/>
  </r>
  <r>
    <m/>
    <x v="0"/>
    <n v="1185732"/>
    <x v="234"/>
    <x v="3"/>
    <x v="35"/>
    <s v="Wichita"/>
    <x v="2"/>
    <n v="0.30000000000000004"/>
    <n v="2250"/>
    <n v="675.00000000000011"/>
    <n v="202.50000000000003"/>
    <n v="0.3"/>
  </r>
  <r>
    <m/>
    <x v="0"/>
    <n v="1185732"/>
    <x v="234"/>
    <x v="3"/>
    <x v="35"/>
    <s v="Wichita"/>
    <x v="3"/>
    <n v="0.35"/>
    <n v="750"/>
    <n v="262.5"/>
    <n v="78.75"/>
    <n v="0.3"/>
  </r>
  <r>
    <m/>
    <x v="0"/>
    <n v="1185732"/>
    <x v="234"/>
    <x v="3"/>
    <x v="35"/>
    <s v="Wichita"/>
    <x v="4"/>
    <n v="0.5"/>
    <n v="1250"/>
    <n v="625"/>
    <n v="218.75"/>
    <n v="0.35"/>
  </r>
  <r>
    <m/>
    <x v="0"/>
    <n v="1185732"/>
    <x v="234"/>
    <x v="3"/>
    <x v="35"/>
    <s v="Wichita"/>
    <x v="5"/>
    <n v="0.4"/>
    <n v="2250"/>
    <n v="900"/>
    <n v="360"/>
    <n v="0.4"/>
  </r>
  <r>
    <m/>
    <x v="0"/>
    <n v="1185732"/>
    <x v="235"/>
    <x v="3"/>
    <x v="35"/>
    <s v="Wichita"/>
    <x v="0"/>
    <n v="0.4"/>
    <n v="4500"/>
    <n v="1800"/>
    <n v="630"/>
    <n v="0.35"/>
  </r>
  <r>
    <m/>
    <x v="0"/>
    <n v="1185732"/>
    <x v="235"/>
    <x v="3"/>
    <x v="35"/>
    <s v="Wichita"/>
    <x v="1"/>
    <n v="0.4"/>
    <n v="1500"/>
    <n v="600"/>
    <n v="180"/>
    <n v="0.3"/>
  </r>
  <r>
    <m/>
    <x v="0"/>
    <n v="1185732"/>
    <x v="235"/>
    <x v="3"/>
    <x v="35"/>
    <s v="Wichita"/>
    <x v="2"/>
    <n v="0.30000000000000004"/>
    <n v="1500"/>
    <n v="450.00000000000006"/>
    <n v="135"/>
    <n v="0.3"/>
  </r>
  <r>
    <m/>
    <x v="0"/>
    <n v="1185732"/>
    <x v="235"/>
    <x v="3"/>
    <x v="35"/>
    <s v="Wichita"/>
    <x v="3"/>
    <n v="0.35"/>
    <n v="750"/>
    <n v="262.5"/>
    <n v="78.75"/>
    <n v="0.3"/>
  </r>
  <r>
    <m/>
    <x v="0"/>
    <n v="1185732"/>
    <x v="235"/>
    <x v="3"/>
    <x v="35"/>
    <s v="Wichita"/>
    <x v="4"/>
    <n v="0.6"/>
    <n v="1000"/>
    <n v="600"/>
    <n v="210"/>
    <n v="0.35"/>
  </r>
  <r>
    <m/>
    <x v="0"/>
    <n v="1185732"/>
    <x v="235"/>
    <x v="3"/>
    <x v="35"/>
    <s v="Wichita"/>
    <x v="5"/>
    <n v="0.5"/>
    <n v="2250"/>
    <n v="1125"/>
    <n v="450"/>
    <n v="0.4"/>
  </r>
  <r>
    <m/>
    <x v="0"/>
    <n v="1185732"/>
    <x v="236"/>
    <x v="3"/>
    <x v="35"/>
    <s v="Wichita"/>
    <x v="0"/>
    <n v="0.6"/>
    <n v="4950"/>
    <n v="2970"/>
    <n v="1039.5"/>
    <n v="0.35"/>
  </r>
  <r>
    <m/>
    <x v="0"/>
    <n v="1185732"/>
    <x v="236"/>
    <x v="3"/>
    <x v="35"/>
    <s v="Wichita"/>
    <x v="1"/>
    <n v="0.5"/>
    <n v="2000"/>
    <n v="1000"/>
    <n v="300"/>
    <n v="0.3"/>
  </r>
  <r>
    <m/>
    <x v="0"/>
    <n v="1185732"/>
    <x v="236"/>
    <x v="3"/>
    <x v="35"/>
    <s v="Wichita"/>
    <x v="2"/>
    <n v="0.45"/>
    <n v="1750"/>
    <n v="787.5"/>
    <n v="236.25"/>
    <n v="0.3"/>
  </r>
  <r>
    <m/>
    <x v="0"/>
    <n v="1185732"/>
    <x v="236"/>
    <x v="3"/>
    <x v="35"/>
    <s v="Wichita"/>
    <x v="3"/>
    <n v="0.45"/>
    <n v="1000"/>
    <n v="450"/>
    <n v="135"/>
    <n v="0.3"/>
  </r>
  <r>
    <m/>
    <x v="0"/>
    <n v="1185732"/>
    <x v="236"/>
    <x v="3"/>
    <x v="35"/>
    <s v="Wichita"/>
    <x v="4"/>
    <n v="0.54999999999999993"/>
    <n v="1250"/>
    <n v="687.49999999999989"/>
    <n v="240.62499999999994"/>
    <n v="0.35"/>
  </r>
  <r>
    <m/>
    <x v="0"/>
    <n v="1185732"/>
    <x v="236"/>
    <x v="3"/>
    <x v="35"/>
    <s v="Wichita"/>
    <x v="5"/>
    <n v="0.6"/>
    <n v="2500"/>
    <n v="1500"/>
    <n v="600"/>
    <n v="0.4"/>
  </r>
  <r>
    <m/>
    <x v="0"/>
    <n v="1185732"/>
    <x v="5"/>
    <x v="3"/>
    <x v="35"/>
    <s v="Wichita"/>
    <x v="0"/>
    <n v="0.45"/>
    <n v="5000"/>
    <n v="2250"/>
    <n v="787.5"/>
    <n v="0.35"/>
  </r>
  <r>
    <m/>
    <x v="0"/>
    <n v="1185732"/>
    <x v="5"/>
    <x v="3"/>
    <x v="35"/>
    <s v="Wichita"/>
    <x v="1"/>
    <n v="0.40000000000000008"/>
    <n v="2500"/>
    <n v="1000.0000000000002"/>
    <n v="300.00000000000006"/>
    <n v="0.3"/>
  </r>
  <r>
    <m/>
    <x v="0"/>
    <n v="1185732"/>
    <x v="5"/>
    <x v="3"/>
    <x v="35"/>
    <s v="Wichita"/>
    <x v="2"/>
    <n v="0.35000000000000003"/>
    <n v="2000"/>
    <n v="700.00000000000011"/>
    <n v="210.00000000000003"/>
    <n v="0.3"/>
  </r>
  <r>
    <m/>
    <x v="0"/>
    <n v="1185732"/>
    <x v="5"/>
    <x v="3"/>
    <x v="35"/>
    <s v="Wichita"/>
    <x v="3"/>
    <n v="0.35000000000000003"/>
    <n v="1750"/>
    <n v="612.50000000000011"/>
    <n v="183.75000000000003"/>
    <n v="0.3"/>
  </r>
  <r>
    <m/>
    <x v="0"/>
    <n v="1185732"/>
    <x v="5"/>
    <x v="3"/>
    <x v="35"/>
    <s v="Wichita"/>
    <x v="4"/>
    <n v="0.45"/>
    <n v="1750"/>
    <n v="787.5"/>
    <n v="275.625"/>
    <n v="0.35"/>
  </r>
  <r>
    <m/>
    <x v="0"/>
    <n v="1185732"/>
    <x v="5"/>
    <x v="3"/>
    <x v="35"/>
    <s v="Wichita"/>
    <x v="5"/>
    <n v="0.55000000000000004"/>
    <n v="3250"/>
    <n v="1787.5000000000002"/>
    <n v="715.00000000000011"/>
    <n v="0.4"/>
  </r>
  <r>
    <m/>
    <x v="0"/>
    <n v="1185732"/>
    <x v="237"/>
    <x v="3"/>
    <x v="35"/>
    <s v="Wichita"/>
    <x v="0"/>
    <n v="0.5"/>
    <n v="5500"/>
    <n v="2750"/>
    <n v="962.49999999999989"/>
    <n v="0.35"/>
  </r>
  <r>
    <m/>
    <x v="0"/>
    <n v="1185732"/>
    <x v="237"/>
    <x v="3"/>
    <x v="35"/>
    <s v="Wichita"/>
    <x v="1"/>
    <n v="0.45000000000000007"/>
    <n v="3000"/>
    <n v="1350.0000000000002"/>
    <n v="405.00000000000006"/>
    <n v="0.3"/>
  </r>
  <r>
    <m/>
    <x v="0"/>
    <n v="1185732"/>
    <x v="237"/>
    <x v="3"/>
    <x v="35"/>
    <s v="Wichita"/>
    <x v="2"/>
    <n v="0.4"/>
    <n v="2250"/>
    <n v="900"/>
    <n v="270"/>
    <n v="0.3"/>
  </r>
  <r>
    <m/>
    <x v="0"/>
    <n v="1185732"/>
    <x v="237"/>
    <x v="3"/>
    <x v="35"/>
    <s v="Wichita"/>
    <x v="3"/>
    <n v="0.4"/>
    <n v="1750"/>
    <n v="700"/>
    <n v="210"/>
    <n v="0.3"/>
  </r>
  <r>
    <m/>
    <x v="0"/>
    <n v="1185732"/>
    <x v="237"/>
    <x v="3"/>
    <x v="35"/>
    <s v="Wichita"/>
    <x v="4"/>
    <n v="0.5"/>
    <n v="2000"/>
    <n v="1000"/>
    <n v="350"/>
    <n v="0.35"/>
  </r>
  <r>
    <m/>
    <x v="0"/>
    <n v="1185732"/>
    <x v="237"/>
    <x v="3"/>
    <x v="35"/>
    <s v="Wichita"/>
    <x v="5"/>
    <n v="0.55000000000000004"/>
    <n v="3750"/>
    <n v="2062.5"/>
    <n v="825"/>
    <n v="0.4"/>
  </r>
  <r>
    <m/>
    <x v="0"/>
    <n v="1185732"/>
    <x v="238"/>
    <x v="3"/>
    <x v="35"/>
    <s v="Wichita"/>
    <x v="0"/>
    <n v="0.5"/>
    <n v="5250"/>
    <n v="2625"/>
    <n v="918.74999999999989"/>
    <n v="0.35"/>
  </r>
  <r>
    <m/>
    <x v="0"/>
    <n v="1185732"/>
    <x v="238"/>
    <x v="3"/>
    <x v="35"/>
    <s v="Wichita"/>
    <x v="1"/>
    <n v="0.45000000000000007"/>
    <n v="3000"/>
    <n v="1350.0000000000002"/>
    <n v="405.00000000000006"/>
    <n v="0.3"/>
  </r>
  <r>
    <m/>
    <x v="0"/>
    <n v="1185732"/>
    <x v="238"/>
    <x v="3"/>
    <x v="35"/>
    <s v="Wichita"/>
    <x v="2"/>
    <n v="0.4"/>
    <n v="2250"/>
    <n v="900"/>
    <n v="270"/>
    <n v="0.3"/>
  </r>
  <r>
    <m/>
    <x v="0"/>
    <n v="1185732"/>
    <x v="238"/>
    <x v="3"/>
    <x v="35"/>
    <s v="Wichita"/>
    <x v="3"/>
    <n v="0.4"/>
    <n v="2000"/>
    <n v="800"/>
    <n v="240"/>
    <n v="0.3"/>
  </r>
  <r>
    <m/>
    <x v="0"/>
    <n v="1185732"/>
    <x v="238"/>
    <x v="3"/>
    <x v="35"/>
    <s v="Wichita"/>
    <x v="4"/>
    <n v="0.5"/>
    <n v="1750"/>
    <n v="875"/>
    <n v="306.25"/>
    <n v="0.35"/>
  </r>
  <r>
    <m/>
    <x v="0"/>
    <n v="1185732"/>
    <x v="238"/>
    <x v="3"/>
    <x v="35"/>
    <s v="Wichita"/>
    <x v="5"/>
    <n v="0.55000000000000004"/>
    <n v="3500"/>
    <n v="1925.0000000000002"/>
    <n v="770.00000000000011"/>
    <n v="0.4"/>
  </r>
  <r>
    <m/>
    <x v="0"/>
    <n v="1185732"/>
    <x v="239"/>
    <x v="3"/>
    <x v="35"/>
    <s v="Wichita"/>
    <x v="0"/>
    <n v="0.45"/>
    <n v="4750"/>
    <n v="2137.5"/>
    <n v="748.125"/>
    <n v="0.35"/>
  </r>
  <r>
    <m/>
    <x v="0"/>
    <n v="1185732"/>
    <x v="239"/>
    <x v="3"/>
    <x v="35"/>
    <s v="Wichita"/>
    <x v="1"/>
    <n v="0.40000000000000008"/>
    <n v="2750"/>
    <n v="1100.0000000000002"/>
    <n v="330.00000000000006"/>
    <n v="0.3"/>
  </r>
  <r>
    <m/>
    <x v="0"/>
    <n v="1185732"/>
    <x v="239"/>
    <x v="3"/>
    <x v="35"/>
    <s v="Wichita"/>
    <x v="2"/>
    <n v="0.35000000000000003"/>
    <n v="1750"/>
    <n v="612.50000000000011"/>
    <n v="183.75000000000003"/>
    <n v="0.3"/>
  </r>
  <r>
    <m/>
    <x v="0"/>
    <n v="1185732"/>
    <x v="239"/>
    <x v="3"/>
    <x v="35"/>
    <s v="Wichita"/>
    <x v="3"/>
    <n v="0.35000000000000003"/>
    <n v="1500"/>
    <n v="525"/>
    <n v="157.5"/>
    <n v="0.3"/>
  </r>
  <r>
    <m/>
    <x v="0"/>
    <n v="1185732"/>
    <x v="239"/>
    <x v="3"/>
    <x v="35"/>
    <s v="Wichita"/>
    <x v="4"/>
    <n v="0.45"/>
    <n v="1500"/>
    <n v="675"/>
    <n v="236.24999999999997"/>
    <n v="0.35"/>
  </r>
  <r>
    <m/>
    <x v="0"/>
    <n v="1185732"/>
    <x v="239"/>
    <x v="3"/>
    <x v="35"/>
    <s v="Wichita"/>
    <x v="5"/>
    <n v="0.5"/>
    <n v="2250"/>
    <n v="1125"/>
    <n v="450"/>
    <n v="0.4"/>
  </r>
  <r>
    <m/>
    <x v="0"/>
    <n v="1185732"/>
    <x v="9"/>
    <x v="3"/>
    <x v="35"/>
    <s v="Wichita"/>
    <x v="0"/>
    <n v="0.54999999999999993"/>
    <n v="4000"/>
    <n v="2199.9999999999995"/>
    <n v="769.99999999999977"/>
    <n v="0.35"/>
  </r>
  <r>
    <m/>
    <x v="0"/>
    <n v="1185732"/>
    <x v="9"/>
    <x v="3"/>
    <x v="35"/>
    <s v="Wichita"/>
    <x v="1"/>
    <n v="0.45"/>
    <n v="2500"/>
    <n v="1125"/>
    <n v="337.5"/>
    <n v="0.3"/>
  </r>
  <r>
    <m/>
    <x v="0"/>
    <n v="1185732"/>
    <x v="9"/>
    <x v="3"/>
    <x v="35"/>
    <s v="Wichita"/>
    <x v="2"/>
    <n v="0.45"/>
    <n v="1500"/>
    <n v="675"/>
    <n v="202.5"/>
    <n v="0.3"/>
  </r>
  <r>
    <m/>
    <x v="0"/>
    <n v="1185732"/>
    <x v="9"/>
    <x v="3"/>
    <x v="35"/>
    <s v="Wichita"/>
    <x v="3"/>
    <n v="0.45"/>
    <n v="1250"/>
    <n v="562.5"/>
    <n v="168.75"/>
    <n v="0.3"/>
  </r>
  <r>
    <m/>
    <x v="0"/>
    <n v="1185732"/>
    <x v="9"/>
    <x v="3"/>
    <x v="35"/>
    <s v="Wichita"/>
    <x v="4"/>
    <n v="0.54999999999999993"/>
    <n v="1250"/>
    <n v="687.49999999999989"/>
    <n v="240.62499999999994"/>
    <n v="0.35"/>
  </r>
  <r>
    <m/>
    <x v="0"/>
    <n v="1185732"/>
    <x v="9"/>
    <x v="3"/>
    <x v="35"/>
    <s v="Wichita"/>
    <x v="5"/>
    <n v="0.59999999999999987"/>
    <n v="2500"/>
    <n v="1499.9999999999998"/>
    <n v="599.99999999999989"/>
    <n v="0.4"/>
  </r>
  <r>
    <m/>
    <x v="0"/>
    <n v="1185732"/>
    <x v="240"/>
    <x v="3"/>
    <x v="35"/>
    <s v="Wichita"/>
    <x v="0"/>
    <n v="0.54999999999999993"/>
    <n v="4000"/>
    <n v="2199.9999999999995"/>
    <n v="769.99999999999977"/>
    <n v="0.35"/>
  </r>
  <r>
    <m/>
    <x v="0"/>
    <n v="1185732"/>
    <x v="240"/>
    <x v="3"/>
    <x v="35"/>
    <s v="Wichita"/>
    <x v="1"/>
    <n v="0.45"/>
    <n v="2500"/>
    <n v="1125"/>
    <n v="337.5"/>
    <n v="0.3"/>
  </r>
  <r>
    <m/>
    <x v="0"/>
    <n v="1185732"/>
    <x v="240"/>
    <x v="3"/>
    <x v="35"/>
    <s v="Wichita"/>
    <x v="2"/>
    <n v="0.45"/>
    <n v="1950"/>
    <n v="877.5"/>
    <n v="263.25"/>
    <n v="0.3"/>
  </r>
  <r>
    <m/>
    <x v="0"/>
    <n v="1185732"/>
    <x v="240"/>
    <x v="3"/>
    <x v="35"/>
    <s v="Wichita"/>
    <x v="3"/>
    <n v="0.45"/>
    <n v="1750"/>
    <n v="787.5"/>
    <n v="236.25"/>
    <n v="0.3"/>
  </r>
  <r>
    <m/>
    <x v="0"/>
    <n v="1185732"/>
    <x v="240"/>
    <x v="3"/>
    <x v="35"/>
    <s v="Wichita"/>
    <x v="4"/>
    <n v="0.6"/>
    <n v="1500"/>
    <n v="900"/>
    <n v="315"/>
    <n v="0.35"/>
  </r>
  <r>
    <m/>
    <x v="0"/>
    <n v="1185732"/>
    <x v="240"/>
    <x v="3"/>
    <x v="35"/>
    <s v="Wichita"/>
    <x v="5"/>
    <n v="0.64999999999999991"/>
    <n v="2500"/>
    <n v="1624.9999999999998"/>
    <n v="650"/>
    <n v="0.4"/>
  </r>
  <r>
    <m/>
    <x v="0"/>
    <n v="1185732"/>
    <x v="241"/>
    <x v="3"/>
    <x v="35"/>
    <s v="Wichita"/>
    <x v="0"/>
    <n v="0.6"/>
    <n v="5000"/>
    <n v="3000"/>
    <n v="1050"/>
    <n v="0.35"/>
  </r>
  <r>
    <m/>
    <x v="0"/>
    <n v="1185732"/>
    <x v="241"/>
    <x v="3"/>
    <x v="35"/>
    <s v="Wichita"/>
    <x v="1"/>
    <n v="0.5"/>
    <n v="3000"/>
    <n v="1500"/>
    <n v="450"/>
    <n v="0.3"/>
  </r>
  <r>
    <m/>
    <x v="0"/>
    <n v="1185732"/>
    <x v="241"/>
    <x v="3"/>
    <x v="35"/>
    <s v="Wichita"/>
    <x v="2"/>
    <n v="0.5"/>
    <n v="2500"/>
    <n v="1250"/>
    <n v="375"/>
    <n v="0.3"/>
  </r>
  <r>
    <m/>
    <x v="0"/>
    <n v="1185732"/>
    <x v="241"/>
    <x v="3"/>
    <x v="35"/>
    <s v="Wichita"/>
    <x v="3"/>
    <n v="0.5"/>
    <n v="2000"/>
    <n v="1000"/>
    <n v="300"/>
    <n v="0.3"/>
  </r>
  <r>
    <m/>
    <x v="0"/>
    <n v="1185732"/>
    <x v="241"/>
    <x v="3"/>
    <x v="35"/>
    <s v="Wichita"/>
    <x v="4"/>
    <n v="0.6"/>
    <n v="2000"/>
    <n v="1200"/>
    <n v="420"/>
    <n v="0.35"/>
  </r>
  <r>
    <m/>
    <x v="0"/>
    <n v="1185732"/>
    <x v="241"/>
    <x v="3"/>
    <x v="35"/>
    <s v="Wichita"/>
    <x v="5"/>
    <n v="0.64999999999999991"/>
    <n v="3000"/>
    <n v="1949.9999999999998"/>
    <n v="780"/>
    <n v="0.4"/>
  </r>
  <r>
    <s v="x"/>
    <x v="0"/>
    <n v="1185732"/>
    <x v="204"/>
    <x v="3"/>
    <x v="36"/>
    <s v="Sioux Falls"/>
    <x v="0"/>
    <n v="0.35000000000000003"/>
    <n v="4750"/>
    <n v="1662.5000000000002"/>
    <n v="581.875"/>
    <n v="0.35"/>
  </r>
  <r>
    <m/>
    <x v="0"/>
    <n v="1185732"/>
    <x v="204"/>
    <x v="3"/>
    <x v="36"/>
    <s v="Sioux Falls"/>
    <x v="1"/>
    <n v="0.35000000000000003"/>
    <n v="2750"/>
    <n v="962.50000000000011"/>
    <n v="288.75"/>
    <n v="0.3"/>
  </r>
  <r>
    <m/>
    <x v="0"/>
    <n v="1185732"/>
    <x v="204"/>
    <x v="3"/>
    <x v="36"/>
    <s v="Sioux Falls"/>
    <x v="2"/>
    <n v="0.25000000000000006"/>
    <n v="2750"/>
    <n v="687.50000000000011"/>
    <n v="206.25000000000003"/>
    <n v="0.3"/>
  </r>
  <r>
    <m/>
    <x v="0"/>
    <n v="1185732"/>
    <x v="204"/>
    <x v="3"/>
    <x v="36"/>
    <s v="Sioux Falls"/>
    <x v="3"/>
    <n v="0.30000000000000004"/>
    <n v="1250"/>
    <n v="375.00000000000006"/>
    <n v="112.50000000000001"/>
    <n v="0.3"/>
  </r>
  <r>
    <m/>
    <x v="0"/>
    <n v="1185732"/>
    <x v="204"/>
    <x v="3"/>
    <x v="36"/>
    <s v="Sioux Falls"/>
    <x v="4"/>
    <n v="0.44999999999999996"/>
    <n v="1750"/>
    <n v="787.49999999999989"/>
    <n v="275.62499999999994"/>
    <n v="0.35"/>
  </r>
  <r>
    <m/>
    <x v="0"/>
    <n v="1185732"/>
    <x v="204"/>
    <x v="3"/>
    <x v="36"/>
    <s v="Sioux Falls"/>
    <x v="5"/>
    <n v="0.35000000000000003"/>
    <n v="2750"/>
    <n v="962.50000000000011"/>
    <n v="385.00000000000006"/>
    <n v="0.4"/>
  </r>
  <r>
    <m/>
    <x v="0"/>
    <n v="1185732"/>
    <x v="242"/>
    <x v="3"/>
    <x v="36"/>
    <s v="Sioux Falls"/>
    <x v="0"/>
    <n v="0.35000000000000003"/>
    <n v="5250"/>
    <n v="1837.5000000000002"/>
    <n v="643.125"/>
    <n v="0.35"/>
  </r>
  <r>
    <m/>
    <x v="0"/>
    <n v="1185732"/>
    <x v="242"/>
    <x v="3"/>
    <x v="36"/>
    <s v="Sioux Falls"/>
    <x v="1"/>
    <n v="0.35000000000000003"/>
    <n v="1750"/>
    <n v="612.50000000000011"/>
    <n v="183.75000000000003"/>
    <n v="0.3"/>
  </r>
  <r>
    <m/>
    <x v="0"/>
    <n v="1185732"/>
    <x v="242"/>
    <x v="3"/>
    <x v="36"/>
    <s v="Sioux Falls"/>
    <x v="2"/>
    <n v="0.25000000000000006"/>
    <n v="2250"/>
    <n v="562.50000000000011"/>
    <n v="168.75000000000003"/>
    <n v="0.3"/>
  </r>
  <r>
    <m/>
    <x v="0"/>
    <n v="1185732"/>
    <x v="242"/>
    <x v="3"/>
    <x v="36"/>
    <s v="Sioux Falls"/>
    <x v="3"/>
    <n v="0.30000000000000004"/>
    <n v="1000"/>
    <n v="300.00000000000006"/>
    <n v="90.000000000000014"/>
    <n v="0.3"/>
  </r>
  <r>
    <m/>
    <x v="0"/>
    <n v="1185732"/>
    <x v="242"/>
    <x v="3"/>
    <x v="36"/>
    <s v="Sioux Falls"/>
    <x v="4"/>
    <n v="0.44999999999999996"/>
    <n v="1750"/>
    <n v="787.49999999999989"/>
    <n v="275.62499999999994"/>
    <n v="0.35"/>
  </r>
  <r>
    <m/>
    <x v="0"/>
    <n v="1185732"/>
    <x v="242"/>
    <x v="3"/>
    <x v="36"/>
    <s v="Sioux Falls"/>
    <x v="5"/>
    <n v="0.24999999999999997"/>
    <n v="2750"/>
    <n v="687.49999999999989"/>
    <n v="274.99999999999994"/>
    <n v="0.4"/>
  </r>
  <r>
    <m/>
    <x v="0"/>
    <n v="1185732"/>
    <x v="80"/>
    <x v="3"/>
    <x v="36"/>
    <s v="Sioux Falls"/>
    <x v="0"/>
    <n v="0.30000000000000004"/>
    <n v="4950"/>
    <n v="1485.0000000000002"/>
    <n v="519.75"/>
    <n v="0.35"/>
  </r>
  <r>
    <m/>
    <x v="0"/>
    <n v="1185732"/>
    <x v="80"/>
    <x v="3"/>
    <x v="36"/>
    <s v="Sioux Falls"/>
    <x v="1"/>
    <n v="0.30000000000000004"/>
    <n v="2000"/>
    <n v="600.00000000000011"/>
    <n v="180.00000000000003"/>
    <n v="0.3"/>
  </r>
  <r>
    <m/>
    <x v="0"/>
    <n v="1185732"/>
    <x v="80"/>
    <x v="3"/>
    <x v="36"/>
    <s v="Sioux Falls"/>
    <x v="2"/>
    <n v="0.20000000000000004"/>
    <n v="2250"/>
    <n v="450.00000000000011"/>
    <n v="135.00000000000003"/>
    <n v="0.3"/>
  </r>
  <r>
    <m/>
    <x v="0"/>
    <n v="1185732"/>
    <x v="80"/>
    <x v="3"/>
    <x v="36"/>
    <s v="Sioux Falls"/>
    <x v="3"/>
    <n v="0.24999999999999997"/>
    <n v="750"/>
    <n v="187.49999999999997"/>
    <n v="56.249999999999993"/>
    <n v="0.3"/>
  </r>
  <r>
    <m/>
    <x v="0"/>
    <n v="1185732"/>
    <x v="80"/>
    <x v="3"/>
    <x v="36"/>
    <s v="Sioux Falls"/>
    <x v="4"/>
    <n v="0.4"/>
    <n v="1250"/>
    <n v="500"/>
    <n v="175"/>
    <n v="0.35"/>
  </r>
  <r>
    <m/>
    <x v="0"/>
    <n v="1185732"/>
    <x v="80"/>
    <x v="3"/>
    <x v="36"/>
    <s v="Sioux Falls"/>
    <x v="5"/>
    <n v="0.30000000000000004"/>
    <n v="2250"/>
    <n v="675.00000000000011"/>
    <n v="270.00000000000006"/>
    <n v="0.4"/>
  </r>
  <r>
    <m/>
    <x v="0"/>
    <n v="1185732"/>
    <x v="81"/>
    <x v="3"/>
    <x v="36"/>
    <s v="Sioux Falls"/>
    <x v="0"/>
    <n v="0.30000000000000004"/>
    <n v="4500"/>
    <n v="1350.0000000000002"/>
    <n v="472.50000000000006"/>
    <n v="0.35"/>
  </r>
  <r>
    <m/>
    <x v="0"/>
    <n v="1185732"/>
    <x v="81"/>
    <x v="3"/>
    <x v="36"/>
    <s v="Sioux Falls"/>
    <x v="1"/>
    <n v="0.30000000000000004"/>
    <n v="1500"/>
    <n v="450.00000000000006"/>
    <n v="135"/>
    <n v="0.3"/>
  </r>
  <r>
    <m/>
    <x v="0"/>
    <n v="1185732"/>
    <x v="81"/>
    <x v="3"/>
    <x v="36"/>
    <s v="Sioux Falls"/>
    <x v="2"/>
    <n v="0.20000000000000004"/>
    <n v="1500"/>
    <n v="300.00000000000006"/>
    <n v="90.000000000000014"/>
    <n v="0.3"/>
  </r>
  <r>
    <m/>
    <x v="0"/>
    <n v="1185732"/>
    <x v="81"/>
    <x v="3"/>
    <x v="36"/>
    <s v="Sioux Falls"/>
    <x v="3"/>
    <n v="0.24999999999999997"/>
    <n v="750"/>
    <n v="187.49999999999997"/>
    <n v="56.249999999999993"/>
    <n v="0.3"/>
  </r>
  <r>
    <m/>
    <x v="0"/>
    <n v="1185732"/>
    <x v="81"/>
    <x v="3"/>
    <x v="36"/>
    <s v="Sioux Falls"/>
    <x v="4"/>
    <n v="0.6"/>
    <n v="1000"/>
    <n v="600"/>
    <n v="210"/>
    <n v="0.35"/>
  </r>
  <r>
    <m/>
    <x v="0"/>
    <n v="1185732"/>
    <x v="81"/>
    <x v="3"/>
    <x v="36"/>
    <s v="Sioux Falls"/>
    <x v="5"/>
    <n v="0.5"/>
    <n v="2250"/>
    <n v="1125"/>
    <n v="450"/>
    <n v="0.4"/>
  </r>
  <r>
    <m/>
    <x v="0"/>
    <n v="1185732"/>
    <x v="4"/>
    <x v="3"/>
    <x v="36"/>
    <s v="Sioux Falls"/>
    <x v="0"/>
    <n v="0.6"/>
    <n v="4950"/>
    <n v="2970"/>
    <n v="1039.5"/>
    <n v="0.35"/>
  </r>
  <r>
    <m/>
    <x v="0"/>
    <n v="1185732"/>
    <x v="4"/>
    <x v="3"/>
    <x v="36"/>
    <s v="Sioux Falls"/>
    <x v="1"/>
    <n v="0.45"/>
    <n v="2000"/>
    <n v="900"/>
    <n v="270"/>
    <n v="0.3"/>
  </r>
  <r>
    <m/>
    <x v="0"/>
    <n v="1185732"/>
    <x v="4"/>
    <x v="3"/>
    <x v="36"/>
    <s v="Sioux Falls"/>
    <x v="2"/>
    <n v="0.4"/>
    <n v="1750"/>
    <n v="700"/>
    <n v="210"/>
    <n v="0.3"/>
  </r>
  <r>
    <m/>
    <x v="0"/>
    <n v="1185732"/>
    <x v="4"/>
    <x v="3"/>
    <x v="36"/>
    <s v="Sioux Falls"/>
    <x v="3"/>
    <n v="0.4"/>
    <n v="1000"/>
    <n v="400"/>
    <n v="120"/>
    <n v="0.3"/>
  </r>
  <r>
    <m/>
    <x v="0"/>
    <n v="1185732"/>
    <x v="4"/>
    <x v="3"/>
    <x v="36"/>
    <s v="Sioux Falls"/>
    <x v="4"/>
    <n v="0.49999999999999994"/>
    <n v="1250"/>
    <n v="624.99999999999989"/>
    <n v="218.74999999999994"/>
    <n v="0.35"/>
  </r>
  <r>
    <m/>
    <x v="0"/>
    <n v="1185732"/>
    <x v="4"/>
    <x v="3"/>
    <x v="36"/>
    <s v="Sioux Falls"/>
    <x v="5"/>
    <n v="0.54999999999999993"/>
    <n v="2500"/>
    <n v="1374.9999999999998"/>
    <n v="549.99999999999989"/>
    <n v="0.4"/>
  </r>
  <r>
    <m/>
    <x v="0"/>
    <n v="1185732"/>
    <x v="243"/>
    <x v="3"/>
    <x v="36"/>
    <s v="Sioux Falls"/>
    <x v="0"/>
    <n v="0.4"/>
    <n v="5000"/>
    <n v="2000"/>
    <n v="700"/>
    <n v="0.35"/>
  </r>
  <r>
    <m/>
    <x v="0"/>
    <n v="1185732"/>
    <x v="243"/>
    <x v="3"/>
    <x v="36"/>
    <s v="Sioux Falls"/>
    <x v="1"/>
    <n v="0.35000000000000009"/>
    <n v="2500"/>
    <n v="875.00000000000023"/>
    <n v="262.50000000000006"/>
    <n v="0.3"/>
  </r>
  <r>
    <m/>
    <x v="0"/>
    <n v="1185732"/>
    <x v="243"/>
    <x v="3"/>
    <x v="36"/>
    <s v="Sioux Falls"/>
    <x v="2"/>
    <n v="0.30000000000000004"/>
    <n v="2000"/>
    <n v="600.00000000000011"/>
    <n v="180.00000000000003"/>
    <n v="0.3"/>
  </r>
  <r>
    <m/>
    <x v="0"/>
    <n v="1185732"/>
    <x v="243"/>
    <x v="3"/>
    <x v="36"/>
    <s v="Sioux Falls"/>
    <x v="3"/>
    <n v="0.30000000000000004"/>
    <n v="1750"/>
    <n v="525.00000000000011"/>
    <n v="157.50000000000003"/>
    <n v="0.3"/>
  </r>
  <r>
    <m/>
    <x v="0"/>
    <n v="1185732"/>
    <x v="243"/>
    <x v="3"/>
    <x v="36"/>
    <s v="Sioux Falls"/>
    <x v="4"/>
    <n v="0.4"/>
    <n v="1750"/>
    <n v="700"/>
    <n v="244.99999999999997"/>
    <n v="0.35"/>
  </r>
  <r>
    <m/>
    <x v="0"/>
    <n v="1185732"/>
    <x v="243"/>
    <x v="3"/>
    <x v="36"/>
    <s v="Sioux Falls"/>
    <x v="5"/>
    <n v="0.55000000000000004"/>
    <n v="3250"/>
    <n v="1787.5000000000002"/>
    <n v="715.00000000000011"/>
    <n v="0.4"/>
  </r>
  <r>
    <m/>
    <x v="0"/>
    <n v="1185732"/>
    <x v="84"/>
    <x v="3"/>
    <x v="36"/>
    <s v="Sioux Falls"/>
    <x v="0"/>
    <n v="0.5"/>
    <n v="5500"/>
    <n v="2750"/>
    <n v="962.49999999999989"/>
    <n v="0.35"/>
  </r>
  <r>
    <m/>
    <x v="0"/>
    <n v="1185732"/>
    <x v="84"/>
    <x v="3"/>
    <x v="36"/>
    <s v="Sioux Falls"/>
    <x v="1"/>
    <n v="0.45000000000000007"/>
    <n v="3000"/>
    <n v="1350.0000000000002"/>
    <n v="405.00000000000006"/>
    <n v="0.3"/>
  </r>
  <r>
    <m/>
    <x v="0"/>
    <n v="1185732"/>
    <x v="84"/>
    <x v="3"/>
    <x v="36"/>
    <s v="Sioux Falls"/>
    <x v="2"/>
    <n v="0.4"/>
    <n v="2250"/>
    <n v="900"/>
    <n v="270"/>
    <n v="0.3"/>
  </r>
  <r>
    <m/>
    <x v="0"/>
    <n v="1185732"/>
    <x v="84"/>
    <x v="3"/>
    <x v="36"/>
    <s v="Sioux Falls"/>
    <x v="3"/>
    <n v="0.4"/>
    <n v="1750"/>
    <n v="700"/>
    <n v="210"/>
    <n v="0.3"/>
  </r>
  <r>
    <m/>
    <x v="0"/>
    <n v="1185732"/>
    <x v="84"/>
    <x v="3"/>
    <x v="36"/>
    <s v="Sioux Falls"/>
    <x v="4"/>
    <n v="0.5"/>
    <n v="2000"/>
    <n v="1000"/>
    <n v="350"/>
    <n v="0.35"/>
  </r>
  <r>
    <m/>
    <x v="0"/>
    <n v="1185732"/>
    <x v="84"/>
    <x v="3"/>
    <x v="36"/>
    <s v="Sioux Falls"/>
    <x v="5"/>
    <n v="0.55000000000000004"/>
    <n v="3750"/>
    <n v="2062.5"/>
    <n v="825"/>
    <n v="0.4"/>
  </r>
  <r>
    <m/>
    <x v="0"/>
    <n v="1185732"/>
    <x v="85"/>
    <x v="3"/>
    <x v="36"/>
    <s v="Sioux Falls"/>
    <x v="0"/>
    <n v="0.5"/>
    <n v="5250"/>
    <n v="2625"/>
    <n v="918.74999999999989"/>
    <n v="0.35"/>
  </r>
  <r>
    <m/>
    <x v="0"/>
    <n v="1185732"/>
    <x v="85"/>
    <x v="3"/>
    <x v="36"/>
    <s v="Sioux Falls"/>
    <x v="1"/>
    <n v="0.45000000000000007"/>
    <n v="3000"/>
    <n v="1350.0000000000002"/>
    <n v="405.00000000000006"/>
    <n v="0.3"/>
  </r>
  <r>
    <m/>
    <x v="0"/>
    <n v="1185732"/>
    <x v="85"/>
    <x v="3"/>
    <x v="36"/>
    <s v="Sioux Falls"/>
    <x v="2"/>
    <n v="0.4"/>
    <n v="2250"/>
    <n v="900"/>
    <n v="270"/>
    <n v="0.3"/>
  </r>
  <r>
    <m/>
    <x v="0"/>
    <n v="1185732"/>
    <x v="85"/>
    <x v="3"/>
    <x v="36"/>
    <s v="Sioux Falls"/>
    <x v="3"/>
    <n v="0.4"/>
    <n v="2000"/>
    <n v="800"/>
    <n v="240"/>
    <n v="0.3"/>
  </r>
  <r>
    <m/>
    <x v="0"/>
    <n v="1185732"/>
    <x v="85"/>
    <x v="3"/>
    <x v="36"/>
    <s v="Sioux Falls"/>
    <x v="4"/>
    <n v="0.5"/>
    <n v="1750"/>
    <n v="875"/>
    <n v="306.25"/>
    <n v="0.35"/>
  </r>
  <r>
    <m/>
    <x v="0"/>
    <n v="1185732"/>
    <x v="85"/>
    <x v="3"/>
    <x v="36"/>
    <s v="Sioux Falls"/>
    <x v="5"/>
    <n v="0.55000000000000004"/>
    <n v="3500"/>
    <n v="1925.0000000000002"/>
    <n v="770.00000000000011"/>
    <n v="0.4"/>
  </r>
  <r>
    <m/>
    <x v="0"/>
    <n v="1185732"/>
    <x v="8"/>
    <x v="3"/>
    <x v="36"/>
    <s v="Sioux Falls"/>
    <x v="0"/>
    <n v="0.4"/>
    <n v="4750"/>
    <n v="1900"/>
    <n v="665"/>
    <n v="0.35"/>
  </r>
  <r>
    <m/>
    <x v="0"/>
    <n v="1185732"/>
    <x v="8"/>
    <x v="3"/>
    <x v="36"/>
    <s v="Sioux Falls"/>
    <x v="1"/>
    <n v="0.35000000000000009"/>
    <n v="2750"/>
    <n v="962.50000000000023"/>
    <n v="288.75000000000006"/>
    <n v="0.3"/>
  </r>
  <r>
    <m/>
    <x v="0"/>
    <n v="1185732"/>
    <x v="8"/>
    <x v="3"/>
    <x v="36"/>
    <s v="Sioux Falls"/>
    <x v="2"/>
    <n v="0.30000000000000004"/>
    <n v="1750"/>
    <n v="525.00000000000011"/>
    <n v="157.50000000000003"/>
    <n v="0.3"/>
  </r>
  <r>
    <m/>
    <x v="0"/>
    <n v="1185732"/>
    <x v="8"/>
    <x v="3"/>
    <x v="36"/>
    <s v="Sioux Falls"/>
    <x v="3"/>
    <n v="0.30000000000000004"/>
    <n v="1500"/>
    <n v="450.00000000000006"/>
    <n v="135"/>
    <n v="0.3"/>
  </r>
  <r>
    <m/>
    <x v="0"/>
    <n v="1185732"/>
    <x v="8"/>
    <x v="3"/>
    <x v="36"/>
    <s v="Sioux Falls"/>
    <x v="4"/>
    <n v="0.4"/>
    <n v="1500"/>
    <n v="600"/>
    <n v="210"/>
    <n v="0.35"/>
  </r>
  <r>
    <m/>
    <x v="0"/>
    <n v="1185732"/>
    <x v="8"/>
    <x v="3"/>
    <x v="36"/>
    <s v="Sioux Falls"/>
    <x v="5"/>
    <n v="0.45"/>
    <n v="2250"/>
    <n v="1012.5"/>
    <n v="405"/>
    <n v="0.4"/>
  </r>
  <r>
    <m/>
    <x v="0"/>
    <n v="1185732"/>
    <x v="244"/>
    <x v="3"/>
    <x v="36"/>
    <s v="Sioux Falls"/>
    <x v="0"/>
    <n v="0.49999999999999994"/>
    <n v="4000"/>
    <n v="1999.9999999999998"/>
    <n v="699.99999999999989"/>
    <n v="0.35"/>
  </r>
  <r>
    <m/>
    <x v="0"/>
    <n v="1185732"/>
    <x v="244"/>
    <x v="3"/>
    <x v="36"/>
    <s v="Sioux Falls"/>
    <x v="1"/>
    <n v="0.4"/>
    <n v="2500"/>
    <n v="1000"/>
    <n v="300"/>
    <n v="0.3"/>
  </r>
  <r>
    <m/>
    <x v="0"/>
    <n v="1185732"/>
    <x v="244"/>
    <x v="3"/>
    <x v="36"/>
    <s v="Sioux Falls"/>
    <x v="2"/>
    <n v="0.4"/>
    <n v="1500"/>
    <n v="600"/>
    <n v="180"/>
    <n v="0.3"/>
  </r>
  <r>
    <m/>
    <x v="0"/>
    <n v="1185732"/>
    <x v="244"/>
    <x v="3"/>
    <x v="36"/>
    <s v="Sioux Falls"/>
    <x v="3"/>
    <n v="0.4"/>
    <n v="1250"/>
    <n v="500"/>
    <n v="150"/>
    <n v="0.3"/>
  </r>
  <r>
    <m/>
    <x v="0"/>
    <n v="1185732"/>
    <x v="244"/>
    <x v="3"/>
    <x v="36"/>
    <s v="Sioux Falls"/>
    <x v="4"/>
    <n v="0.49999999999999994"/>
    <n v="1250"/>
    <n v="624.99999999999989"/>
    <n v="218.74999999999994"/>
    <n v="0.35"/>
  </r>
  <r>
    <m/>
    <x v="0"/>
    <n v="1185732"/>
    <x v="244"/>
    <x v="3"/>
    <x v="36"/>
    <s v="Sioux Falls"/>
    <x v="5"/>
    <n v="0.54999999999999982"/>
    <n v="2500"/>
    <n v="1374.9999999999995"/>
    <n v="549.99999999999989"/>
    <n v="0.4"/>
  </r>
  <r>
    <m/>
    <x v="0"/>
    <n v="1185732"/>
    <x v="88"/>
    <x v="3"/>
    <x v="36"/>
    <s v="Sioux Falls"/>
    <x v="0"/>
    <n v="0.49999999999999994"/>
    <n v="4000"/>
    <n v="1999.9999999999998"/>
    <n v="699.99999999999989"/>
    <n v="0.35"/>
  </r>
  <r>
    <m/>
    <x v="0"/>
    <n v="1185732"/>
    <x v="88"/>
    <x v="3"/>
    <x v="36"/>
    <s v="Sioux Falls"/>
    <x v="1"/>
    <n v="0.4"/>
    <n v="2500"/>
    <n v="1000"/>
    <n v="300"/>
    <n v="0.3"/>
  </r>
  <r>
    <m/>
    <x v="0"/>
    <n v="1185732"/>
    <x v="88"/>
    <x v="3"/>
    <x v="36"/>
    <s v="Sioux Falls"/>
    <x v="2"/>
    <n v="0.4"/>
    <n v="1950"/>
    <n v="780"/>
    <n v="234"/>
    <n v="0.3"/>
  </r>
  <r>
    <m/>
    <x v="0"/>
    <n v="1185732"/>
    <x v="88"/>
    <x v="3"/>
    <x v="36"/>
    <s v="Sioux Falls"/>
    <x v="3"/>
    <n v="0.4"/>
    <n v="1750"/>
    <n v="700"/>
    <n v="210"/>
    <n v="0.3"/>
  </r>
  <r>
    <m/>
    <x v="0"/>
    <n v="1185732"/>
    <x v="88"/>
    <x v="3"/>
    <x v="36"/>
    <s v="Sioux Falls"/>
    <x v="4"/>
    <n v="0.6"/>
    <n v="1500"/>
    <n v="900"/>
    <n v="315"/>
    <n v="0.35"/>
  </r>
  <r>
    <m/>
    <x v="0"/>
    <n v="1185732"/>
    <x v="88"/>
    <x v="3"/>
    <x v="36"/>
    <s v="Sioux Falls"/>
    <x v="5"/>
    <n v="0.64999999999999991"/>
    <n v="2500"/>
    <n v="1624.9999999999998"/>
    <n v="650"/>
    <n v="0.4"/>
  </r>
  <r>
    <m/>
    <x v="0"/>
    <n v="1185732"/>
    <x v="89"/>
    <x v="3"/>
    <x v="36"/>
    <s v="Sioux Falls"/>
    <x v="0"/>
    <n v="0.6"/>
    <n v="5000"/>
    <n v="3000"/>
    <n v="1050"/>
    <n v="0.35"/>
  </r>
  <r>
    <m/>
    <x v="0"/>
    <n v="1185732"/>
    <x v="89"/>
    <x v="3"/>
    <x v="36"/>
    <s v="Sioux Falls"/>
    <x v="1"/>
    <n v="0.5"/>
    <n v="3000"/>
    <n v="1500"/>
    <n v="450"/>
    <n v="0.3"/>
  </r>
  <r>
    <m/>
    <x v="0"/>
    <n v="1185732"/>
    <x v="89"/>
    <x v="3"/>
    <x v="36"/>
    <s v="Sioux Falls"/>
    <x v="2"/>
    <n v="0.5"/>
    <n v="2500"/>
    <n v="1250"/>
    <n v="375"/>
    <n v="0.3"/>
  </r>
  <r>
    <m/>
    <x v="0"/>
    <n v="1185732"/>
    <x v="89"/>
    <x v="3"/>
    <x v="36"/>
    <s v="Sioux Falls"/>
    <x v="3"/>
    <n v="0.5"/>
    <n v="2000"/>
    <n v="1000"/>
    <n v="300"/>
    <n v="0.3"/>
  </r>
  <r>
    <m/>
    <x v="0"/>
    <n v="1185732"/>
    <x v="89"/>
    <x v="3"/>
    <x v="36"/>
    <s v="Sioux Falls"/>
    <x v="4"/>
    <n v="0.6"/>
    <n v="2000"/>
    <n v="1200"/>
    <n v="420"/>
    <n v="0.35"/>
  </r>
  <r>
    <m/>
    <x v="0"/>
    <n v="1185732"/>
    <x v="89"/>
    <x v="3"/>
    <x v="36"/>
    <s v="Sioux Falls"/>
    <x v="5"/>
    <n v="0.64999999999999991"/>
    <n v="3000"/>
    <n v="1949.9999999999998"/>
    <n v="780"/>
    <n v="0.4"/>
  </r>
  <r>
    <s v="x"/>
    <x v="0"/>
    <n v="1185732"/>
    <x v="212"/>
    <x v="3"/>
    <x v="37"/>
    <s v="Fargo"/>
    <x v="0"/>
    <n v="0.30000000000000004"/>
    <n v="4500"/>
    <n v="1350.0000000000002"/>
    <n v="405.00000000000006"/>
    <n v="0.3"/>
  </r>
  <r>
    <m/>
    <x v="0"/>
    <n v="1185732"/>
    <x v="212"/>
    <x v="3"/>
    <x v="37"/>
    <s v="Fargo"/>
    <x v="1"/>
    <n v="0.30000000000000004"/>
    <n v="2500"/>
    <n v="750.00000000000011"/>
    <n v="262.5"/>
    <n v="0.35"/>
  </r>
  <r>
    <m/>
    <x v="0"/>
    <n v="1185732"/>
    <x v="212"/>
    <x v="3"/>
    <x v="37"/>
    <s v="Fargo"/>
    <x v="2"/>
    <n v="0.20000000000000007"/>
    <n v="2500"/>
    <n v="500.00000000000017"/>
    <n v="150.00000000000006"/>
    <n v="0.3"/>
  </r>
  <r>
    <m/>
    <x v="0"/>
    <n v="1185732"/>
    <x v="212"/>
    <x v="3"/>
    <x v="37"/>
    <s v="Fargo"/>
    <x v="3"/>
    <n v="0.25000000000000006"/>
    <n v="1000"/>
    <n v="250.00000000000006"/>
    <n v="75.000000000000014"/>
    <n v="0.3"/>
  </r>
  <r>
    <m/>
    <x v="0"/>
    <n v="1185732"/>
    <x v="212"/>
    <x v="3"/>
    <x v="37"/>
    <s v="Fargo"/>
    <x v="4"/>
    <n v="0.39999999999999997"/>
    <n v="1500"/>
    <n v="600"/>
    <n v="300"/>
    <n v="0.5"/>
  </r>
  <r>
    <m/>
    <x v="0"/>
    <n v="1185732"/>
    <x v="212"/>
    <x v="3"/>
    <x v="37"/>
    <s v="Fargo"/>
    <x v="5"/>
    <n v="0.30000000000000004"/>
    <n v="2500"/>
    <n v="750.00000000000011"/>
    <n v="300.00000000000006"/>
    <n v="0.4"/>
  </r>
  <r>
    <m/>
    <x v="0"/>
    <n v="1185732"/>
    <x v="245"/>
    <x v="3"/>
    <x v="37"/>
    <s v="Fargo"/>
    <x v="0"/>
    <n v="0.30000000000000004"/>
    <n v="5000"/>
    <n v="1500.0000000000002"/>
    <n v="450.00000000000006"/>
    <n v="0.3"/>
  </r>
  <r>
    <m/>
    <x v="0"/>
    <n v="1185732"/>
    <x v="245"/>
    <x v="3"/>
    <x v="37"/>
    <s v="Fargo"/>
    <x v="1"/>
    <n v="0.30000000000000004"/>
    <n v="1500"/>
    <n v="450.00000000000006"/>
    <n v="157.5"/>
    <n v="0.35"/>
  </r>
  <r>
    <m/>
    <x v="0"/>
    <n v="1185732"/>
    <x v="245"/>
    <x v="3"/>
    <x v="37"/>
    <s v="Fargo"/>
    <x v="2"/>
    <n v="0.20000000000000007"/>
    <n v="2000"/>
    <n v="400.00000000000011"/>
    <n v="120.00000000000003"/>
    <n v="0.3"/>
  </r>
  <r>
    <m/>
    <x v="0"/>
    <n v="1185732"/>
    <x v="245"/>
    <x v="3"/>
    <x v="37"/>
    <s v="Fargo"/>
    <x v="3"/>
    <n v="0.25000000000000006"/>
    <n v="750"/>
    <n v="187.50000000000003"/>
    <n v="56.250000000000007"/>
    <n v="0.3"/>
  </r>
  <r>
    <m/>
    <x v="0"/>
    <n v="1185732"/>
    <x v="245"/>
    <x v="3"/>
    <x v="37"/>
    <s v="Fargo"/>
    <x v="4"/>
    <n v="0.39999999999999997"/>
    <n v="1500"/>
    <n v="600"/>
    <n v="300"/>
    <n v="0.5"/>
  </r>
  <r>
    <m/>
    <x v="0"/>
    <n v="1185732"/>
    <x v="245"/>
    <x v="3"/>
    <x v="37"/>
    <s v="Fargo"/>
    <x v="5"/>
    <n v="0.14999999999999997"/>
    <n v="2500"/>
    <n v="374.99999999999994"/>
    <n v="149.99999999999997"/>
    <n v="0.4"/>
  </r>
  <r>
    <m/>
    <x v="0"/>
    <n v="1185732"/>
    <x v="115"/>
    <x v="3"/>
    <x v="37"/>
    <s v="Fargo"/>
    <x v="0"/>
    <n v="0.20000000000000004"/>
    <n v="4700"/>
    <n v="940.00000000000023"/>
    <n v="282.00000000000006"/>
    <n v="0.3"/>
  </r>
  <r>
    <m/>
    <x v="0"/>
    <n v="1185732"/>
    <x v="115"/>
    <x v="3"/>
    <x v="37"/>
    <s v="Fargo"/>
    <x v="1"/>
    <n v="0.20000000000000004"/>
    <n v="1750"/>
    <n v="350.00000000000006"/>
    <n v="122.50000000000001"/>
    <n v="0.35"/>
  </r>
  <r>
    <m/>
    <x v="0"/>
    <n v="1185732"/>
    <x v="115"/>
    <x v="3"/>
    <x v="37"/>
    <s v="Fargo"/>
    <x v="2"/>
    <n v="0.10000000000000003"/>
    <n v="2250"/>
    <n v="225.00000000000009"/>
    <n v="67.500000000000028"/>
    <n v="0.3"/>
  </r>
  <r>
    <m/>
    <x v="0"/>
    <n v="1185732"/>
    <x v="115"/>
    <x v="3"/>
    <x v="37"/>
    <s v="Fargo"/>
    <x v="3"/>
    <n v="0.14999999999999997"/>
    <n v="1000"/>
    <n v="149.99999999999997"/>
    <n v="44.999999999999993"/>
    <n v="0.3"/>
  </r>
  <r>
    <m/>
    <x v="0"/>
    <n v="1185732"/>
    <x v="115"/>
    <x v="3"/>
    <x v="37"/>
    <s v="Fargo"/>
    <x v="4"/>
    <n v="0.30000000000000004"/>
    <n v="1500"/>
    <n v="450.00000000000006"/>
    <n v="225.00000000000003"/>
    <n v="0.5"/>
  </r>
  <r>
    <m/>
    <x v="0"/>
    <n v="1185732"/>
    <x v="115"/>
    <x v="3"/>
    <x v="37"/>
    <s v="Fargo"/>
    <x v="5"/>
    <n v="0.20000000000000004"/>
    <n v="2500"/>
    <n v="500.00000000000011"/>
    <n v="200.00000000000006"/>
    <n v="0.4"/>
  </r>
  <r>
    <m/>
    <x v="0"/>
    <n v="1185732"/>
    <x v="206"/>
    <x v="3"/>
    <x v="37"/>
    <s v="Fargo"/>
    <x v="0"/>
    <n v="0.20000000000000004"/>
    <n v="4750"/>
    <n v="950.00000000000023"/>
    <n v="285.00000000000006"/>
    <n v="0.3"/>
  </r>
  <r>
    <m/>
    <x v="0"/>
    <n v="1185732"/>
    <x v="206"/>
    <x v="3"/>
    <x v="37"/>
    <s v="Fargo"/>
    <x v="1"/>
    <n v="0.20000000000000004"/>
    <n v="1750"/>
    <n v="350.00000000000006"/>
    <n v="122.50000000000001"/>
    <n v="0.35"/>
  </r>
  <r>
    <m/>
    <x v="0"/>
    <n v="1185732"/>
    <x v="206"/>
    <x v="3"/>
    <x v="37"/>
    <s v="Fargo"/>
    <x v="2"/>
    <n v="0.10000000000000003"/>
    <n v="1750"/>
    <n v="175.00000000000006"/>
    <n v="52.500000000000014"/>
    <n v="0.3"/>
  </r>
  <r>
    <m/>
    <x v="0"/>
    <n v="1185732"/>
    <x v="206"/>
    <x v="3"/>
    <x v="37"/>
    <s v="Fargo"/>
    <x v="3"/>
    <n v="0.14999999999999997"/>
    <n v="1000"/>
    <n v="149.99999999999997"/>
    <n v="44.999999999999993"/>
    <n v="0.3"/>
  </r>
  <r>
    <m/>
    <x v="0"/>
    <n v="1185732"/>
    <x v="206"/>
    <x v="3"/>
    <x v="37"/>
    <s v="Fargo"/>
    <x v="4"/>
    <n v="0.6"/>
    <n v="1250"/>
    <n v="750"/>
    <n v="375"/>
    <n v="0.5"/>
  </r>
  <r>
    <m/>
    <x v="0"/>
    <n v="1185732"/>
    <x v="206"/>
    <x v="3"/>
    <x v="37"/>
    <s v="Fargo"/>
    <x v="5"/>
    <n v="0.5"/>
    <n v="2500"/>
    <n v="1250"/>
    <n v="500"/>
    <n v="0.4"/>
  </r>
  <r>
    <m/>
    <x v="0"/>
    <n v="1185732"/>
    <x v="246"/>
    <x v="3"/>
    <x v="37"/>
    <s v="Fargo"/>
    <x v="0"/>
    <n v="0.6"/>
    <n v="5200"/>
    <n v="3120"/>
    <n v="936"/>
    <n v="0.3"/>
  </r>
  <r>
    <m/>
    <x v="0"/>
    <n v="1185732"/>
    <x v="246"/>
    <x v="3"/>
    <x v="37"/>
    <s v="Fargo"/>
    <x v="1"/>
    <n v="0.4"/>
    <n v="2250"/>
    <n v="900"/>
    <n v="315"/>
    <n v="0.35"/>
  </r>
  <r>
    <m/>
    <x v="0"/>
    <n v="1185732"/>
    <x v="246"/>
    <x v="3"/>
    <x v="37"/>
    <s v="Fargo"/>
    <x v="2"/>
    <n v="0.35000000000000003"/>
    <n v="2000"/>
    <n v="700.00000000000011"/>
    <n v="210.00000000000003"/>
    <n v="0.3"/>
  </r>
  <r>
    <m/>
    <x v="0"/>
    <n v="1185732"/>
    <x v="246"/>
    <x v="3"/>
    <x v="37"/>
    <s v="Fargo"/>
    <x v="3"/>
    <n v="0.35000000000000003"/>
    <n v="1250"/>
    <n v="437.50000000000006"/>
    <n v="131.25"/>
    <n v="0.3"/>
  </r>
  <r>
    <m/>
    <x v="0"/>
    <n v="1185732"/>
    <x v="246"/>
    <x v="3"/>
    <x v="37"/>
    <s v="Fargo"/>
    <x v="4"/>
    <n v="0.44999999999999996"/>
    <n v="1500"/>
    <n v="674.99999999999989"/>
    <n v="337.49999999999994"/>
    <n v="0.5"/>
  </r>
  <r>
    <m/>
    <x v="0"/>
    <n v="1185732"/>
    <x v="246"/>
    <x v="3"/>
    <x v="37"/>
    <s v="Fargo"/>
    <x v="5"/>
    <n v="0.49999999999999994"/>
    <n v="2750"/>
    <n v="1374.9999999999998"/>
    <n v="549.99999999999989"/>
    <n v="0.4"/>
  </r>
  <r>
    <m/>
    <x v="0"/>
    <n v="1185732"/>
    <x v="247"/>
    <x v="3"/>
    <x v="37"/>
    <s v="Fargo"/>
    <x v="0"/>
    <n v="0.35000000000000003"/>
    <n v="5250"/>
    <n v="1837.5000000000002"/>
    <n v="551.25"/>
    <n v="0.3"/>
  </r>
  <r>
    <m/>
    <x v="0"/>
    <n v="1185732"/>
    <x v="247"/>
    <x v="3"/>
    <x v="37"/>
    <s v="Fargo"/>
    <x v="1"/>
    <n v="0.3000000000000001"/>
    <n v="2750"/>
    <n v="825.00000000000023"/>
    <n v="288.75000000000006"/>
    <n v="0.35"/>
  </r>
  <r>
    <m/>
    <x v="0"/>
    <n v="1185732"/>
    <x v="247"/>
    <x v="3"/>
    <x v="37"/>
    <s v="Fargo"/>
    <x v="2"/>
    <n v="0.25000000000000006"/>
    <n v="2000"/>
    <n v="500.00000000000011"/>
    <n v="150.00000000000003"/>
    <n v="0.3"/>
  </r>
  <r>
    <m/>
    <x v="0"/>
    <n v="1185732"/>
    <x v="247"/>
    <x v="3"/>
    <x v="37"/>
    <s v="Fargo"/>
    <x v="3"/>
    <n v="0.25000000000000006"/>
    <n v="1750"/>
    <n v="437.50000000000011"/>
    <n v="131.25000000000003"/>
    <n v="0.3"/>
  </r>
  <r>
    <m/>
    <x v="0"/>
    <n v="1185732"/>
    <x v="247"/>
    <x v="3"/>
    <x v="37"/>
    <s v="Fargo"/>
    <x v="4"/>
    <n v="0.35000000000000003"/>
    <n v="1750"/>
    <n v="612.50000000000011"/>
    <n v="306.25000000000006"/>
    <n v="0.5"/>
  </r>
  <r>
    <m/>
    <x v="0"/>
    <n v="1185732"/>
    <x v="247"/>
    <x v="3"/>
    <x v="37"/>
    <s v="Fargo"/>
    <x v="5"/>
    <n v="0.55000000000000004"/>
    <n v="3250"/>
    <n v="1787.5000000000002"/>
    <n v="715.00000000000011"/>
    <n v="0.4"/>
  </r>
  <r>
    <m/>
    <x v="0"/>
    <n v="1185732"/>
    <x v="116"/>
    <x v="3"/>
    <x v="37"/>
    <s v="Fargo"/>
    <x v="0"/>
    <n v="0.5"/>
    <n v="5500"/>
    <n v="2750"/>
    <n v="825"/>
    <n v="0.3"/>
  </r>
  <r>
    <m/>
    <x v="0"/>
    <n v="1185732"/>
    <x v="116"/>
    <x v="3"/>
    <x v="37"/>
    <s v="Fargo"/>
    <x v="1"/>
    <n v="0.45000000000000007"/>
    <n v="3000"/>
    <n v="1350.0000000000002"/>
    <n v="472.50000000000006"/>
    <n v="0.35"/>
  </r>
  <r>
    <m/>
    <x v="0"/>
    <n v="1185732"/>
    <x v="116"/>
    <x v="3"/>
    <x v="37"/>
    <s v="Fargo"/>
    <x v="2"/>
    <n v="0.4"/>
    <n v="2250"/>
    <n v="900"/>
    <n v="270"/>
    <n v="0.3"/>
  </r>
  <r>
    <m/>
    <x v="0"/>
    <n v="1185732"/>
    <x v="116"/>
    <x v="3"/>
    <x v="37"/>
    <s v="Fargo"/>
    <x v="3"/>
    <n v="0.4"/>
    <n v="1750"/>
    <n v="700"/>
    <n v="210"/>
    <n v="0.3"/>
  </r>
  <r>
    <m/>
    <x v="0"/>
    <n v="1185732"/>
    <x v="116"/>
    <x v="3"/>
    <x v="37"/>
    <s v="Fargo"/>
    <x v="4"/>
    <n v="0.5"/>
    <n v="2000"/>
    <n v="1000"/>
    <n v="500"/>
    <n v="0.5"/>
  </r>
  <r>
    <m/>
    <x v="0"/>
    <n v="1185732"/>
    <x v="116"/>
    <x v="3"/>
    <x v="37"/>
    <s v="Fargo"/>
    <x v="5"/>
    <n v="0.55000000000000004"/>
    <n v="3750"/>
    <n v="2062.5"/>
    <n v="825"/>
    <n v="0.4"/>
  </r>
  <r>
    <m/>
    <x v="0"/>
    <n v="1185732"/>
    <x v="208"/>
    <x v="3"/>
    <x v="37"/>
    <s v="Fargo"/>
    <x v="0"/>
    <n v="0.5"/>
    <n v="5250"/>
    <n v="2625"/>
    <n v="787.5"/>
    <n v="0.3"/>
  </r>
  <r>
    <m/>
    <x v="0"/>
    <n v="1185732"/>
    <x v="208"/>
    <x v="3"/>
    <x v="37"/>
    <s v="Fargo"/>
    <x v="1"/>
    <n v="0.45000000000000007"/>
    <n v="3000"/>
    <n v="1350.0000000000002"/>
    <n v="472.50000000000006"/>
    <n v="0.35"/>
  </r>
  <r>
    <m/>
    <x v="0"/>
    <n v="1185732"/>
    <x v="208"/>
    <x v="3"/>
    <x v="37"/>
    <s v="Fargo"/>
    <x v="2"/>
    <n v="0.4"/>
    <n v="2250"/>
    <n v="900"/>
    <n v="270"/>
    <n v="0.3"/>
  </r>
  <r>
    <m/>
    <x v="0"/>
    <n v="1185732"/>
    <x v="208"/>
    <x v="3"/>
    <x v="37"/>
    <s v="Fargo"/>
    <x v="3"/>
    <n v="0.4"/>
    <n v="2000"/>
    <n v="800"/>
    <n v="240"/>
    <n v="0.3"/>
  </r>
  <r>
    <m/>
    <x v="0"/>
    <n v="1185732"/>
    <x v="208"/>
    <x v="3"/>
    <x v="37"/>
    <s v="Fargo"/>
    <x v="4"/>
    <n v="0.5"/>
    <n v="1750"/>
    <n v="875"/>
    <n v="437.5"/>
    <n v="0.5"/>
  </r>
  <r>
    <m/>
    <x v="0"/>
    <n v="1185732"/>
    <x v="208"/>
    <x v="3"/>
    <x v="37"/>
    <s v="Fargo"/>
    <x v="5"/>
    <n v="0.55000000000000004"/>
    <n v="3500"/>
    <n v="1925.0000000000002"/>
    <n v="770.00000000000011"/>
    <n v="0.4"/>
  </r>
  <r>
    <m/>
    <x v="0"/>
    <n v="1185732"/>
    <x v="248"/>
    <x v="3"/>
    <x v="37"/>
    <s v="Fargo"/>
    <x v="0"/>
    <n v="0.35000000000000003"/>
    <n v="4750"/>
    <n v="1662.5000000000002"/>
    <n v="498.75000000000006"/>
    <n v="0.3"/>
  </r>
  <r>
    <m/>
    <x v="0"/>
    <n v="1185732"/>
    <x v="248"/>
    <x v="3"/>
    <x v="37"/>
    <s v="Fargo"/>
    <x v="1"/>
    <n v="0.3000000000000001"/>
    <n v="2750"/>
    <n v="825.00000000000023"/>
    <n v="288.75000000000006"/>
    <n v="0.35"/>
  </r>
  <r>
    <m/>
    <x v="0"/>
    <n v="1185732"/>
    <x v="248"/>
    <x v="3"/>
    <x v="37"/>
    <s v="Fargo"/>
    <x v="2"/>
    <n v="0.25000000000000006"/>
    <n v="1750"/>
    <n v="437.50000000000011"/>
    <n v="131.25000000000003"/>
    <n v="0.3"/>
  </r>
  <r>
    <m/>
    <x v="0"/>
    <n v="1185732"/>
    <x v="248"/>
    <x v="3"/>
    <x v="37"/>
    <s v="Fargo"/>
    <x v="3"/>
    <n v="0.25000000000000006"/>
    <n v="1500"/>
    <n v="375.00000000000006"/>
    <n v="112.50000000000001"/>
    <n v="0.3"/>
  </r>
  <r>
    <m/>
    <x v="0"/>
    <n v="1185732"/>
    <x v="248"/>
    <x v="3"/>
    <x v="37"/>
    <s v="Fargo"/>
    <x v="4"/>
    <n v="0.35000000000000003"/>
    <n v="1500"/>
    <n v="525"/>
    <n v="262.5"/>
    <n v="0.5"/>
  </r>
  <r>
    <m/>
    <x v="0"/>
    <n v="1185732"/>
    <x v="248"/>
    <x v="3"/>
    <x v="37"/>
    <s v="Fargo"/>
    <x v="5"/>
    <n v="0.4"/>
    <n v="2250"/>
    <n v="900"/>
    <n v="360"/>
    <n v="0.4"/>
  </r>
  <r>
    <m/>
    <x v="0"/>
    <n v="1185732"/>
    <x v="249"/>
    <x v="3"/>
    <x v="37"/>
    <s v="Fargo"/>
    <x v="0"/>
    <n v="0.44999999999999996"/>
    <n v="4000"/>
    <n v="1799.9999999999998"/>
    <n v="539.99999999999989"/>
    <n v="0.3"/>
  </r>
  <r>
    <m/>
    <x v="0"/>
    <n v="1185732"/>
    <x v="249"/>
    <x v="3"/>
    <x v="37"/>
    <s v="Fargo"/>
    <x v="1"/>
    <n v="0.35000000000000003"/>
    <n v="2500"/>
    <n v="875.00000000000011"/>
    <n v="306.25"/>
    <n v="0.35"/>
  </r>
  <r>
    <m/>
    <x v="0"/>
    <n v="1185732"/>
    <x v="249"/>
    <x v="3"/>
    <x v="37"/>
    <s v="Fargo"/>
    <x v="2"/>
    <n v="0.35000000000000003"/>
    <n v="1500"/>
    <n v="525"/>
    <n v="157.5"/>
    <n v="0.3"/>
  </r>
  <r>
    <m/>
    <x v="0"/>
    <n v="1185732"/>
    <x v="249"/>
    <x v="3"/>
    <x v="37"/>
    <s v="Fargo"/>
    <x v="3"/>
    <n v="0.35000000000000003"/>
    <n v="1250"/>
    <n v="437.50000000000006"/>
    <n v="131.25"/>
    <n v="0.3"/>
  </r>
  <r>
    <m/>
    <x v="0"/>
    <n v="1185732"/>
    <x v="249"/>
    <x v="3"/>
    <x v="37"/>
    <s v="Fargo"/>
    <x v="4"/>
    <n v="0.44999999999999996"/>
    <n v="1250"/>
    <n v="562.5"/>
    <n v="281.25"/>
    <n v="0.5"/>
  </r>
  <r>
    <m/>
    <x v="0"/>
    <n v="1185732"/>
    <x v="249"/>
    <x v="3"/>
    <x v="37"/>
    <s v="Fargo"/>
    <x v="5"/>
    <n v="0.49999999999999983"/>
    <n v="2500"/>
    <n v="1249.9999999999995"/>
    <n v="499.99999999999983"/>
    <n v="0.4"/>
  </r>
  <r>
    <m/>
    <x v="0"/>
    <n v="1185732"/>
    <x v="210"/>
    <x v="3"/>
    <x v="37"/>
    <s v="Fargo"/>
    <x v="0"/>
    <n v="0.44999999999999996"/>
    <n v="4000"/>
    <n v="1799.9999999999998"/>
    <n v="539.99999999999989"/>
    <n v="0.3"/>
  </r>
  <r>
    <m/>
    <x v="0"/>
    <n v="1185732"/>
    <x v="210"/>
    <x v="3"/>
    <x v="37"/>
    <s v="Fargo"/>
    <x v="1"/>
    <n v="0.35000000000000003"/>
    <n v="2750"/>
    <n v="962.50000000000011"/>
    <n v="336.875"/>
    <n v="0.35"/>
  </r>
  <r>
    <m/>
    <x v="0"/>
    <n v="1185732"/>
    <x v="210"/>
    <x v="3"/>
    <x v="37"/>
    <s v="Fargo"/>
    <x v="2"/>
    <n v="0.35000000000000003"/>
    <n v="2200"/>
    <n v="770.00000000000011"/>
    <n v="231.00000000000003"/>
    <n v="0.3"/>
  </r>
  <r>
    <m/>
    <x v="0"/>
    <n v="1185732"/>
    <x v="210"/>
    <x v="3"/>
    <x v="37"/>
    <s v="Fargo"/>
    <x v="3"/>
    <n v="0.35000000000000003"/>
    <n v="2000"/>
    <n v="700.00000000000011"/>
    <n v="210.00000000000003"/>
    <n v="0.3"/>
  </r>
  <r>
    <m/>
    <x v="0"/>
    <n v="1185732"/>
    <x v="210"/>
    <x v="3"/>
    <x v="37"/>
    <s v="Fargo"/>
    <x v="4"/>
    <n v="0.6"/>
    <n v="1750"/>
    <n v="1050"/>
    <n v="525"/>
    <n v="0.5"/>
  </r>
  <r>
    <m/>
    <x v="0"/>
    <n v="1185732"/>
    <x v="210"/>
    <x v="3"/>
    <x v="37"/>
    <s v="Fargo"/>
    <x v="5"/>
    <n v="0.64999999999999991"/>
    <n v="2750"/>
    <n v="1787.4999999999998"/>
    <n v="715"/>
    <n v="0.4"/>
  </r>
  <r>
    <m/>
    <x v="0"/>
    <n v="1185732"/>
    <x v="211"/>
    <x v="3"/>
    <x v="37"/>
    <s v="Fargo"/>
    <x v="0"/>
    <n v="0.6"/>
    <n v="5250"/>
    <n v="3150"/>
    <n v="945"/>
    <n v="0.3"/>
  </r>
  <r>
    <m/>
    <x v="0"/>
    <n v="1185732"/>
    <x v="211"/>
    <x v="3"/>
    <x v="37"/>
    <s v="Fargo"/>
    <x v="1"/>
    <n v="0.5"/>
    <n v="3250"/>
    <n v="1625"/>
    <n v="568.75"/>
    <n v="0.35"/>
  </r>
  <r>
    <m/>
    <x v="0"/>
    <n v="1185732"/>
    <x v="211"/>
    <x v="3"/>
    <x v="37"/>
    <s v="Fargo"/>
    <x v="2"/>
    <n v="0.5"/>
    <n v="2750"/>
    <n v="1375"/>
    <n v="412.5"/>
    <n v="0.3"/>
  </r>
  <r>
    <m/>
    <x v="0"/>
    <n v="1185732"/>
    <x v="211"/>
    <x v="3"/>
    <x v="37"/>
    <s v="Fargo"/>
    <x v="3"/>
    <n v="0.5"/>
    <n v="2250"/>
    <n v="1125"/>
    <n v="337.5"/>
    <n v="0.3"/>
  </r>
  <r>
    <m/>
    <x v="0"/>
    <n v="1185732"/>
    <x v="211"/>
    <x v="3"/>
    <x v="37"/>
    <s v="Fargo"/>
    <x v="4"/>
    <n v="0.6"/>
    <n v="2250"/>
    <n v="1350"/>
    <n v="675"/>
    <n v="0.5"/>
  </r>
  <r>
    <m/>
    <x v="0"/>
    <n v="1185732"/>
    <x v="211"/>
    <x v="3"/>
    <x v="37"/>
    <s v="Fargo"/>
    <x v="5"/>
    <n v="0.64999999999999991"/>
    <n v="3250"/>
    <n v="2112.4999999999995"/>
    <n v="844.99999999999989"/>
    <n v="0.4"/>
  </r>
  <r>
    <s v="x"/>
    <x v="0"/>
    <n v="1185732"/>
    <x v="66"/>
    <x v="3"/>
    <x v="38"/>
    <s v="Des Moines"/>
    <x v="0"/>
    <n v="0.30000000000000004"/>
    <n v="4500"/>
    <n v="1350.0000000000002"/>
    <n v="405.00000000000006"/>
    <n v="0.3"/>
  </r>
  <r>
    <m/>
    <x v="0"/>
    <n v="1185732"/>
    <x v="66"/>
    <x v="3"/>
    <x v="38"/>
    <s v="Des Moines"/>
    <x v="1"/>
    <n v="0.30000000000000004"/>
    <n v="2500"/>
    <n v="750.00000000000011"/>
    <n v="262.5"/>
    <n v="0.35"/>
  </r>
  <r>
    <m/>
    <x v="0"/>
    <n v="1185732"/>
    <x v="66"/>
    <x v="3"/>
    <x v="38"/>
    <s v="Des Moines"/>
    <x v="2"/>
    <n v="0.20000000000000007"/>
    <n v="2500"/>
    <n v="500.00000000000017"/>
    <n v="150.00000000000006"/>
    <n v="0.3"/>
  </r>
  <r>
    <m/>
    <x v="0"/>
    <n v="1185732"/>
    <x v="66"/>
    <x v="3"/>
    <x v="38"/>
    <s v="Des Moines"/>
    <x v="3"/>
    <n v="0.25000000000000006"/>
    <n v="1000"/>
    <n v="250.00000000000006"/>
    <n v="75.000000000000014"/>
    <n v="0.3"/>
  </r>
  <r>
    <m/>
    <x v="0"/>
    <n v="1185732"/>
    <x v="66"/>
    <x v="3"/>
    <x v="38"/>
    <s v="Des Moines"/>
    <x v="4"/>
    <n v="0.39999999999999997"/>
    <n v="1500"/>
    <n v="600"/>
    <n v="300"/>
    <n v="0.5"/>
  </r>
  <r>
    <m/>
    <x v="0"/>
    <n v="1185732"/>
    <x v="66"/>
    <x v="3"/>
    <x v="38"/>
    <s v="Des Moines"/>
    <x v="5"/>
    <n v="0.30000000000000004"/>
    <n v="2500"/>
    <n v="750.00000000000011"/>
    <n v="300.00000000000006"/>
    <n v="0.4"/>
  </r>
  <r>
    <m/>
    <x v="0"/>
    <n v="1185732"/>
    <x v="67"/>
    <x v="3"/>
    <x v="38"/>
    <s v="Des Moines"/>
    <x v="0"/>
    <n v="0.30000000000000004"/>
    <n v="5000"/>
    <n v="1500.0000000000002"/>
    <n v="450.00000000000006"/>
    <n v="0.3"/>
  </r>
  <r>
    <m/>
    <x v="0"/>
    <n v="1185732"/>
    <x v="67"/>
    <x v="3"/>
    <x v="38"/>
    <s v="Des Moines"/>
    <x v="1"/>
    <n v="0.30000000000000004"/>
    <n v="1500"/>
    <n v="450.00000000000006"/>
    <n v="157.5"/>
    <n v="0.35"/>
  </r>
  <r>
    <m/>
    <x v="0"/>
    <n v="1185732"/>
    <x v="67"/>
    <x v="3"/>
    <x v="38"/>
    <s v="Des Moines"/>
    <x v="2"/>
    <n v="0.20000000000000007"/>
    <n v="2000"/>
    <n v="400.00000000000011"/>
    <n v="120.00000000000003"/>
    <n v="0.3"/>
  </r>
  <r>
    <m/>
    <x v="0"/>
    <n v="1185732"/>
    <x v="67"/>
    <x v="3"/>
    <x v="38"/>
    <s v="Des Moines"/>
    <x v="3"/>
    <n v="0.25000000000000006"/>
    <n v="750"/>
    <n v="187.50000000000003"/>
    <n v="56.250000000000007"/>
    <n v="0.3"/>
  </r>
  <r>
    <m/>
    <x v="0"/>
    <n v="1185732"/>
    <x v="67"/>
    <x v="3"/>
    <x v="38"/>
    <s v="Des Moines"/>
    <x v="4"/>
    <n v="0.39999999999999997"/>
    <n v="1500"/>
    <n v="600"/>
    <n v="300"/>
    <n v="0.5"/>
  </r>
  <r>
    <m/>
    <x v="0"/>
    <n v="1185732"/>
    <x v="67"/>
    <x v="3"/>
    <x v="38"/>
    <s v="Des Moines"/>
    <x v="5"/>
    <n v="0.14999999999999997"/>
    <n v="2500"/>
    <n v="374.99999999999994"/>
    <n v="149.99999999999997"/>
    <n v="0.4"/>
  </r>
  <r>
    <m/>
    <x v="0"/>
    <n v="1185732"/>
    <x v="68"/>
    <x v="3"/>
    <x v="38"/>
    <s v="Des Moines"/>
    <x v="0"/>
    <n v="0.20000000000000004"/>
    <n v="4700"/>
    <n v="940.00000000000023"/>
    <n v="282.00000000000006"/>
    <n v="0.3"/>
  </r>
  <r>
    <m/>
    <x v="0"/>
    <n v="1185732"/>
    <x v="68"/>
    <x v="3"/>
    <x v="38"/>
    <s v="Des Moines"/>
    <x v="1"/>
    <n v="0.20000000000000004"/>
    <n v="1750"/>
    <n v="350.00000000000006"/>
    <n v="122.50000000000001"/>
    <n v="0.35"/>
  </r>
  <r>
    <m/>
    <x v="0"/>
    <n v="1185732"/>
    <x v="68"/>
    <x v="3"/>
    <x v="38"/>
    <s v="Des Moines"/>
    <x v="2"/>
    <n v="0.10000000000000003"/>
    <n v="2250"/>
    <n v="225.00000000000009"/>
    <n v="67.500000000000028"/>
    <n v="0.3"/>
  </r>
  <r>
    <m/>
    <x v="0"/>
    <n v="1185732"/>
    <x v="68"/>
    <x v="3"/>
    <x v="38"/>
    <s v="Des Moines"/>
    <x v="3"/>
    <n v="0.14999999999999997"/>
    <n v="750"/>
    <n v="112.49999999999997"/>
    <n v="33.749999999999993"/>
    <n v="0.3"/>
  </r>
  <r>
    <m/>
    <x v="0"/>
    <n v="1185732"/>
    <x v="68"/>
    <x v="3"/>
    <x v="38"/>
    <s v="Des Moines"/>
    <x v="4"/>
    <n v="0.30000000000000004"/>
    <n v="1250"/>
    <n v="375.00000000000006"/>
    <n v="187.50000000000003"/>
    <n v="0.5"/>
  </r>
  <r>
    <m/>
    <x v="0"/>
    <n v="1185732"/>
    <x v="68"/>
    <x v="3"/>
    <x v="38"/>
    <s v="Des Moines"/>
    <x v="5"/>
    <n v="0.20000000000000004"/>
    <n v="2250"/>
    <n v="450.00000000000011"/>
    <n v="180.00000000000006"/>
    <n v="0.4"/>
  </r>
  <r>
    <m/>
    <x v="0"/>
    <n v="1185732"/>
    <x v="69"/>
    <x v="3"/>
    <x v="38"/>
    <s v="Des Moines"/>
    <x v="0"/>
    <n v="0.20000000000000004"/>
    <n v="4500"/>
    <n v="900.00000000000023"/>
    <n v="270.00000000000006"/>
    <n v="0.3"/>
  </r>
  <r>
    <m/>
    <x v="0"/>
    <n v="1185732"/>
    <x v="69"/>
    <x v="3"/>
    <x v="38"/>
    <s v="Des Moines"/>
    <x v="1"/>
    <n v="0.20000000000000004"/>
    <n v="1500"/>
    <n v="300.00000000000006"/>
    <n v="105.00000000000001"/>
    <n v="0.35"/>
  </r>
  <r>
    <m/>
    <x v="0"/>
    <n v="1185732"/>
    <x v="69"/>
    <x v="3"/>
    <x v="38"/>
    <s v="Des Moines"/>
    <x v="2"/>
    <n v="0.10000000000000003"/>
    <n v="1500"/>
    <n v="150.00000000000006"/>
    <n v="45.000000000000014"/>
    <n v="0.3"/>
  </r>
  <r>
    <m/>
    <x v="0"/>
    <n v="1185732"/>
    <x v="69"/>
    <x v="3"/>
    <x v="38"/>
    <s v="Des Moines"/>
    <x v="3"/>
    <n v="0.14999999999999997"/>
    <n v="750"/>
    <n v="112.49999999999997"/>
    <n v="33.749999999999993"/>
    <n v="0.3"/>
  </r>
  <r>
    <m/>
    <x v="0"/>
    <n v="1185732"/>
    <x v="69"/>
    <x v="3"/>
    <x v="38"/>
    <s v="Des Moines"/>
    <x v="4"/>
    <n v="0.6"/>
    <n v="1000"/>
    <n v="600"/>
    <n v="300"/>
    <n v="0.5"/>
  </r>
  <r>
    <m/>
    <x v="0"/>
    <n v="1185732"/>
    <x v="69"/>
    <x v="3"/>
    <x v="38"/>
    <s v="Des Moines"/>
    <x v="5"/>
    <n v="0.5"/>
    <n v="2250"/>
    <n v="1125"/>
    <n v="450"/>
    <n v="0.4"/>
  </r>
  <r>
    <m/>
    <x v="0"/>
    <n v="1185732"/>
    <x v="70"/>
    <x v="3"/>
    <x v="38"/>
    <s v="Des Moines"/>
    <x v="0"/>
    <n v="0.6"/>
    <n v="4950"/>
    <n v="2970"/>
    <n v="891"/>
    <n v="0.3"/>
  </r>
  <r>
    <m/>
    <x v="0"/>
    <n v="1185732"/>
    <x v="70"/>
    <x v="3"/>
    <x v="38"/>
    <s v="Des Moines"/>
    <x v="1"/>
    <n v="0.4"/>
    <n v="2000"/>
    <n v="800"/>
    <n v="280"/>
    <n v="0.35"/>
  </r>
  <r>
    <m/>
    <x v="0"/>
    <n v="1185732"/>
    <x v="70"/>
    <x v="3"/>
    <x v="38"/>
    <s v="Des Moines"/>
    <x v="2"/>
    <n v="0.35000000000000003"/>
    <n v="1750"/>
    <n v="612.50000000000011"/>
    <n v="183.75000000000003"/>
    <n v="0.3"/>
  </r>
  <r>
    <m/>
    <x v="0"/>
    <n v="1185732"/>
    <x v="70"/>
    <x v="3"/>
    <x v="38"/>
    <s v="Des Moines"/>
    <x v="3"/>
    <n v="0.35000000000000003"/>
    <n v="1500"/>
    <n v="525"/>
    <n v="157.5"/>
    <n v="0.3"/>
  </r>
  <r>
    <m/>
    <x v="0"/>
    <n v="1185732"/>
    <x v="70"/>
    <x v="3"/>
    <x v="38"/>
    <s v="Des Moines"/>
    <x v="4"/>
    <n v="0.44999999999999996"/>
    <n v="1750"/>
    <n v="787.49999999999989"/>
    <n v="393.74999999999994"/>
    <n v="0.5"/>
  </r>
  <r>
    <m/>
    <x v="0"/>
    <n v="1185732"/>
    <x v="70"/>
    <x v="3"/>
    <x v="38"/>
    <s v="Des Moines"/>
    <x v="5"/>
    <n v="0.49999999999999994"/>
    <n v="3000"/>
    <n v="1499.9999999999998"/>
    <n v="599.99999999999989"/>
    <n v="0.4"/>
  </r>
  <r>
    <m/>
    <x v="0"/>
    <n v="1185732"/>
    <x v="71"/>
    <x v="3"/>
    <x v="38"/>
    <s v="Des Moines"/>
    <x v="0"/>
    <n v="0.35000000000000003"/>
    <n v="5500"/>
    <n v="1925.0000000000002"/>
    <n v="577.5"/>
    <n v="0.3"/>
  </r>
  <r>
    <m/>
    <x v="0"/>
    <n v="1185732"/>
    <x v="71"/>
    <x v="3"/>
    <x v="38"/>
    <s v="Des Moines"/>
    <x v="1"/>
    <n v="0.3000000000000001"/>
    <n v="3000"/>
    <n v="900.00000000000034"/>
    <n v="315.00000000000011"/>
    <n v="0.35"/>
  </r>
  <r>
    <m/>
    <x v="0"/>
    <n v="1185732"/>
    <x v="71"/>
    <x v="3"/>
    <x v="38"/>
    <s v="Des Moines"/>
    <x v="2"/>
    <n v="0.25000000000000006"/>
    <n v="2000"/>
    <n v="500.00000000000011"/>
    <n v="150.00000000000003"/>
    <n v="0.3"/>
  </r>
  <r>
    <m/>
    <x v="0"/>
    <n v="1185732"/>
    <x v="71"/>
    <x v="3"/>
    <x v="38"/>
    <s v="Des Moines"/>
    <x v="3"/>
    <n v="0.25000000000000006"/>
    <n v="1750"/>
    <n v="437.50000000000011"/>
    <n v="131.25000000000003"/>
    <n v="0.3"/>
  </r>
  <r>
    <m/>
    <x v="0"/>
    <n v="1185732"/>
    <x v="71"/>
    <x v="3"/>
    <x v="38"/>
    <s v="Des Moines"/>
    <x v="4"/>
    <n v="0.35000000000000003"/>
    <n v="1750"/>
    <n v="612.50000000000011"/>
    <n v="306.25000000000006"/>
    <n v="0.5"/>
  </r>
  <r>
    <m/>
    <x v="0"/>
    <n v="1185732"/>
    <x v="71"/>
    <x v="3"/>
    <x v="38"/>
    <s v="Des Moines"/>
    <x v="5"/>
    <n v="0.55000000000000004"/>
    <n v="3250"/>
    <n v="1787.5000000000002"/>
    <n v="715.00000000000011"/>
    <n v="0.4"/>
  </r>
  <r>
    <m/>
    <x v="0"/>
    <n v="1185732"/>
    <x v="72"/>
    <x v="3"/>
    <x v="38"/>
    <s v="Des Moines"/>
    <x v="0"/>
    <n v="0.5"/>
    <n v="5500"/>
    <n v="2750"/>
    <n v="825"/>
    <n v="0.3"/>
  </r>
  <r>
    <m/>
    <x v="0"/>
    <n v="1185732"/>
    <x v="72"/>
    <x v="3"/>
    <x v="38"/>
    <s v="Des Moines"/>
    <x v="1"/>
    <n v="0.45000000000000007"/>
    <n v="3000"/>
    <n v="1350.0000000000002"/>
    <n v="472.50000000000006"/>
    <n v="0.35"/>
  </r>
  <r>
    <m/>
    <x v="0"/>
    <n v="1185732"/>
    <x v="72"/>
    <x v="3"/>
    <x v="38"/>
    <s v="Des Moines"/>
    <x v="2"/>
    <n v="0.4"/>
    <n v="2250"/>
    <n v="900"/>
    <n v="270"/>
    <n v="0.3"/>
  </r>
  <r>
    <m/>
    <x v="0"/>
    <n v="1185732"/>
    <x v="72"/>
    <x v="3"/>
    <x v="38"/>
    <s v="Des Moines"/>
    <x v="3"/>
    <n v="0.4"/>
    <n v="1750"/>
    <n v="700"/>
    <n v="210"/>
    <n v="0.3"/>
  </r>
  <r>
    <m/>
    <x v="0"/>
    <n v="1185732"/>
    <x v="72"/>
    <x v="3"/>
    <x v="38"/>
    <s v="Des Moines"/>
    <x v="4"/>
    <n v="0.5"/>
    <n v="2000"/>
    <n v="1000"/>
    <n v="500"/>
    <n v="0.5"/>
  </r>
  <r>
    <m/>
    <x v="0"/>
    <n v="1185732"/>
    <x v="72"/>
    <x v="3"/>
    <x v="38"/>
    <s v="Des Moines"/>
    <x v="5"/>
    <n v="0.55000000000000004"/>
    <n v="3750"/>
    <n v="2062.5"/>
    <n v="825"/>
    <n v="0.4"/>
  </r>
  <r>
    <m/>
    <x v="0"/>
    <n v="1185732"/>
    <x v="73"/>
    <x v="3"/>
    <x v="38"/>
    <s v="Des Moines"/>
    <x v="0"/>
    <n v="0.5"/>
    <n v="5250"/>
    <n v="2625"/>
    <n v="787.5"/>
    <n v="0.3"/>
  </r>
  <r>
    <m/>
    <x v="0"/>
    <n v="1185732"/>
    <x v="73"/>
    <x v="3"/>
    <x v="38"/>
    <s v="Des Moines"/>
    <x v="1"/>
    <n v="0.45000000000000007"/>
    <n v="3000"/>
    <n v="1350.0000000000002"/>
    <n v="472.50000000000006"/>
    <n v="0.35"/>
  </r>
  <r>
    <m/>
    <x v="0"/>
    <n v="1185732"/>
    <x v="73"/>
    <x v="3"/>
    <x v="38"/>
    <s v="Des Moines"/>
    <x v="2"/>
    <n v="0.4"/>
    <n v="2250"/>
    <n v="900"/>
    <n v="270"/>
    <n v="0.3"/>
  </r>
  <r>
    <m/>
    <x v="0"/>
    <n v="1185732"/>
    <x v="73"/>
    <x v="3"/>
    <x v="38"/>
    <s v="Des Moines"/>
    <x v="3"/>
    <n v="0.4"/>
    <n v="2000"/>
    <n v="800"/>
    <n v="240"/>
    <n v="0.3"/>
  </r>
  <r>
    <m/>
    <x v="0"/>
    <n v="1185732"/>
    <x v="73"/>
    <x v="3"/>
    <x v="38"/>
    <s v="Des Moines"/>
    <x v="4"/>
    <n v="0.5"/>
    <n v="1750"/>
    <n v="875"/>
    <n v="437.5"/>
    <n v="0.5"/>
  </r>
  <r>
    <m/>
    <x v="0"/>
    <n v="1185732"/>
    <x v="73"/>
    <x v="3"/>
    <x v="38"/>
    <s v="Des Moines"/>
    <x v="5"/>
    <n v="0.55000000000000004"/>
    <n v="3500"/>
    <n v="1925.0000000000002"/>
    <n v="770.00000000000011"/>
    <n v="0.4"/>
  </r>
  <r>
    <m/>
    <x v="0"/>
    <n v="1185732"/>
    <x v="74"/>
    <x v="3"/>
    <x v="38"/>
    <s v="Des Moines"/>
    <x v="0"/>
    <n v="0.35000000000000003"/>
    <n v="4750"/>
    <n v="1662.5000000000002"/>
    <n v="498.75000000000006"/>
    <n v="0.3"/>
  </r>
  <r>
    <m/>
    <x v="0"/>
    <n v="1185732"/>
    <x v="74"/>
    <x v="3"/>
    <x v="38"/>
    <s v="Des Moines"/>
    <x v="1"/>
    <n v="0.3000000000000001"/>
    <n v="2500"/>
    <n v="750.00000000000023"/>
    <n v="262.50000000000006"/>
    <n v="0.35"/>
  </r>
  <r>
    <m/>
    <x v="0"/>
    <n v="1185732"/>
    <x v="74"/>
    <x v="3"/>
    <x v="38"/>
    <s v="Des Moines"/>
    <x v="2"/>
    <n v="0.25000000000000006"/>
    <n v="1500"/>
    <n v="375.00000000000006"/>
    <n v="112.50000000000001"/>
    <n v="0.3"/>
  </r>
  <r>
    <m/>
    <x v="0"/>
    <n v="1185732"/>
    <x v="74"/>
    <x v="3"/>
    <x v="38"/>
    <s v="Des Moines"/>
    <x v="3"/>
    <n v="0.25000000000000006"/>
    <n v="1250"/>
    <n v="312.50000000000006"/>
    <n v="93.750000000000014"/>
    <n v="0.3"/>
  </r>
  <r>
    <m/>
    <x v="0"/>
    <n v="1185732"/>
    <x v="74"/>
    <x v="3"/>
    <x v="38"/>
    <s v="Des Moines"/>
    <x v="4"/>
    <n v="0.35000000000000003"/>
    <n v="1250"/>
    <n v="437.50000000000006"/>
    <n v="218.75000000000003"/>
    <n v="0.5"/>
  </r>
  <r>
    <m/>
    <x v="0"/>
    <n v="1185732"/>
    <x v="74"/>
    <x v="3"/>
    <x v="38"/>
    <s v="Des Moines"/>
    <x v="5"/>
    <n v="0.4"/>
    <n v="2000"/>
    <n v="800"/>
    <n v="320"/>
    <n v="0.4"/>
  </r>
  <r>
    <m/>
    <x v="0"/>
    <n v="1185732"/>
    <x v="75"/>
    <x v="3"/>
    <x v="38"/>
    <s v="Des Moines"/>
    <x v="0"/>
    <n v="0.44999999999999996"/>
    <n v="3750"/>
    <n v="1687.4999999999998"/>
    <n v="506.24999999999989"/>
    <n v="0.3"/>
  </r>
  <r>
    <m/>
    <x v="0"/>
    <n v="1185732"/>
    <x v="75"/>
    <x v="3"/>
    <x v="38"/>
    <s v="Des Moines"/>
    <x v="1"/>
    <n v="0.35000000000000003"/>
    <n v="2250"/>
    <n v="787.50000000000011"/>
    <n v="275.625"/>
    <n v="0.35"/>
  </r>
  <r>
    <m/>
    <x v="0"/>
    <n v="1185732"/>
    <x v="75"/>
    <x v="3"/>
    <x v="38"/>
    <s v="Des Moines"/>
    <x v="2"/>
    <n v="0.35000000000000003"/>
    <n v="1250"/>
    <n v="437.50000000000006"/>
    <n v="131.25"/>
    <n v="0.3"/>
  </r>
  <r>
    <m/>
    <x v="0"/>
    <n v="1185732"/>
    <x v="75"/>
    <x v="3"/>
    <x v="38"/>
    <s v="Des Moines"/>
    <x v="3"/>
    <n v="0.35000000000000003"/>
    <n v="1250"/>
    <n v="437.50000000000006"/>
    <n v="131.25"/>
    <n v="0.3"/>
  </r>
  <r>
    <m/>
    <x v="0"/>
    <n v="1185732"/>
    <x v="75"/>
    <x v="3"/>
    <x v="38"/>
    <s v="Des Moines"/>
    <x v="4"/>
    <n v="0.44999999999999996"/>
    <n v="1250"/>
    <n v="562.5"/>
    <n v="281.25"/>
    <n v="0.5"/>
  </r>
  <r>
    <m/>
    <x v="0"/>
    <n v="1185732"/>
    <x v="75"/>
    <x v="3"/>
    <x v="38"/>
    <s v="Des Moines"/>
    <x v="5"/>
    <n v="0.49999999999999983"/>
    <n v="2500"/>
    <n v="1249.9999999999995"/>
    <n v="499.99999999999983"/>
    <n v="0.4"/>
  </r>
  <r>
    <m/>
    <x v="0"/>
    <n v="1185732"/>
    <x v="76"/>
    <x v="3"/>
    <x v="38"/>
    <s v="Des Moines"/>
    <x v="0"/>
    <n v="0.44999999999999996"/>
    <n v="4000"/>
    <n v="1799.9999999999998"/>
    <n v="539.99999999999989"/>
    <n v="0.3"/>
  </r>
  <r>
    <m/>
    <x v="0"/>
    <n v="1185732"/>
    <x v="76"/>
    <x v="3"/>
    <x v="38"/>
    <s v="Des Moines"/>
    <x v="1"/>
    <n v="0.35000000000000003"/>
    <n v="3000"/>
    <n v="1050"/>
    <n v="367.5"/>
    <n v="0.35"/>
  </r>
  <r>
    <m/>
    <x v="0"/>
    <n v="1185732"/>
    <x v="76"/>
    <x v="3"/>
    <x v="38"/>
    <s v="Des Moines"/>
    <x v="2"/>
    <n v="0.35000000000000003"/>
    <n v="2450"/>
    <n v="857.50000000000011"/>
    <n v="257.25"/>
    <n v="0.3"/>
  </r>
  <r>
    <m/>
    <x v="0"/>
    <n v="1185732"/>
    <x v="76"/>
    <x v="3"/>
    <x v="38"/>
    <s v="Des Moines"/>
    <x v="3"/>
    <n v="0.35000000000000003"/>
    <n v="2250"/>
    <n v="787.50000000000011"/>
    <n v="236.25000000000003"/>
    <n v="0.3"/>
  </r>
  <r>
    <m/>
    <x v="0"/>
    <n v="1185732"/>
    <x v="76"/>
    <x v="3"/>
    <x v="38"/>
    <s v="Des Moines"/>
    <x v="4"/>
    <n v="0.6"/>
    <n v="2000"/>
    <n v="1200"/>
    <n v="600"/>
    <n v="0.5"/>
  </r>
  <r>
    <m/>
    <x v="0"/>
    <n v="1185732"/>
    <x v="76"/>
    <x v="3"/>
    <x v="38"/>
    <s v="Des Moines"/>
    <x v="5"/>
    <n v="0.64999999999999991"/>
    <n v="3000"/>
    <n v="1949.9999999999998"/>
    <n v="780"/>
    <n v="0.4"/>
  </r>
  <r>
    <m/>
    <x v="0"/>
    <n v="1185732"/>
    <x v="77"/>
    <x v="3"/>
    <x v="38"/>
    <s v="Des Moines"/>
    <x v="0"/>
    <n v="0.6"/>
    <n v="5500"/>
    <n v="3300"/>
    <n v="990"/>
    <n v="0.3"/>
  </r>
  <r>
    <m/>
    <x v="0"/>
    <n v="1185732"/>
    <x v="77"/>
    <x v="3"/>
    <x v="38"/>
    <s v="Des Moines"/>
    <x v="1"/>
    <n v="0.5"/>
    <n v="3500"/>
    <n v="1750"/>
    <n v="612.5"/>
    <n v="0.35"/>
  </r>
  <r>
    <m/>
    <x v="0"/>
    <n v="1185732"/>
    <x v="77"/>
    <x v="3"/>
    <x v="38"/>
    <s v="Des Moines"/>
    <x v="2"/>
    <n v="0.5"/>
    <n v="3000"/>
    <n v="1500"/>
    <n v="450"/>
    <n v="0.3"/>
  </r>
  <r>
    <m/>
    <x v="0"/>
    <n v="1185732"/>
    <x v="77"/>
    <x v="3"/>
    <x v="38"/>
    <s v="Des Moines"/>
    <x v="3"/>
    <n v="0.5"/>
    <n v="2500"/>
    <n v="1250"/>
    <n v="375"/>
    <n v="0.3"/>
  </r>
  <r>
    <m/>
    <x v="0"/>
    <n v="1185732"/>
    <x v="77"/>
    <x v="3"/>
    <x v="38"/>
    <s v="Des Moines"/>
    <x v="4"/>
    <n v="0.6"/>
    <n v="2500"/>
    <n v="1500"/>
    <n v="750"/>
    <n v="0.5"/>
  </r>
  <r>
    <m/>
    <x v="0"/>
    <n v="1185732"/>
    <x v="77"/>
    <x v="3"/>
    <x v="38"/>
    <s v="Des Moines"/>
    <x v="5"/>
    <n v="0.64999999999999991"/>
    <n v="3500"/>
    <n v="2274.9999999999995"/>
    <n v="909.99999999999989"/>
    <n v="0.4"/>
  </r>
  <r>
    <s v="x"/>
    <x v="0"/>
    <n v="1185732"/>
    <x v="136"/>
    <x v="3"/>
    <x v="39"/>
    <s v="Milwaukee"/>
    <x v="0"/>
    <n v="0.35000000000000003"/>
    <n v="5000"/>
    <n v="1750.0000000000002"/>
    <n v="700.00000000000011"/>
    <n v="0.4"/>
  </r>
  <r>
    <m/>
    <x v="0"/>
    <n v="1185732"/>
    <x v="136"/>
    <x v="3"/>
    <x v="39"/>
    <s v="Milwaukee"/>
    <x v="1"/>
    <n v="0.35000000000000003"/>
    <n v="3000"/>
    <n v="1050"/>
    <n v="420"/>
    <n v="0.4"/>
  </r>
  <r>
    <m/>
    <x v="0"/>
    <n v="1185732"/>
    <x v="136"/>
    <x v="3"/>
    <x v="39"/>
    <s v="Milwaukee"/>
    <x v="2"/>
    <n v="0.25000000000000006"/>
    <n v="3000"/>
    <n v="750.00000000000011"/>
    <n v="262.5"/>
    <n v="0.35"/>
  </r>
  <r>
    <m/>
    <x v="0"/>
    <n v="1185732"/>
    <x v="136"/>
    <x v="3"/>
    <x v="39"/>
    <s v="Milwaukee"/>
    <x v="3"/>
    <n v="0.30000000000000004"/>
    <n v="1500"/>
    <n v="450.00000000000006"/>
    <n v="157.5"/>
    <n v="0.35"/>
  </r>
  <r>
    <m/>
    <x v="0"/>
    <n v="1185732"/>
    <x v="136"/>
    <x v="3"/>
    <x v="39"/>
    <s v="Milwaukee"/>
    <x v="4"/>
    <n v="0.44999999999999996"/>
    <n v="2000"/>
    <n v="899.99999999999989"/>
    <n v="269.99999999999994"/>
    <n v="0.3"/>
  </r>
  <r>
    <m/>
    <x v="0"/>
    <n v="1185732"/>
    <x v="136"/>
    <x v="3"/>
    <x v="39"/>
    <s v="Milwaukee"/>
    <x v="5"/>
    <n v="0.35000000000000003"/>
    <n v="3000"/>
    <n v="1050"/>
    <n v="420"/>
    <n v="0.4"/>
  </r>
  <r>
    <m/>
    <x v="0"/>
    <n v="1185732"/>
    <x v="79"/>
    <x v="3"/>
    <x v="39"/>
    <s v="Milwaukee"/>
    <x v="0"/>
    <n v="0.35000000000000003"/>
    <n v="5500"/>
    <n v="1925.0000000000002"/>
    <n v="770.00000000000011"/>
    <n v="0.4"/>
  </r>
  <r>
    <m/>
    <x v="0"/>
    <n v="1185732"/>
    <x v="79"/>
    <x v="3"/>
    <x v="39"/>
    <s v="Milwaukee"/>
    <x v="1"/>
    <n v="0.35000000000000003"/>
    <n v="2000"/>
    <n v="700.00000000000011"/>
    <n v="280.00000000000006"/>
    <n v="0.4"/>
  </r>
  <r>
    <m/>
    <x v="0"/>
    <n v="1185732"/>
    <x v="79"/>
    <x v="3"/>
    <x v="39"/>
    <s v="Milwaukee"/>
    <x v="2"/>
    <n v="0.25000000000000006"/>
    <n v="2500"/>
    <n v="625.00000000000011"/>
    <n v="218.75000000000003"/>
    <n v="0.35"/>
  </r>
  <r>
    <m/>
    <x v="0"/>
    <n v="1185732"/>
    <x v="79"/>
    <x v="3"/>
    <x v="39"/>
    <s v="Milwaukee"/>
    <x v="3"/>
    <n v="0.30000000000000004"/>
    <n v="1250"/>
    <n v="375.00000000000006"/>
    <n v="131.25"/>
    <n v="0.35"/>
  </r>
  <r>
    <m/>
    <x v="0"/>
    <n v="1185732"/>
    <x v="79"/>
    <x v="3"/>
    <x v="39"/>
    <s v="Milwaukee"/>
    <x v="4"/>
    <n v="0.44999999999999996"/>
    <n v="2000"/>
    <n v="899.99999999999989"/>
    <n v="269.99999999999994"/>
    <n v="0.3"/>
  </r>
  <r>
    <m/>
    <x v="0"/>
    <n v="1185732"/>
    <x v="79"/>
    <x v="3"/>
    <x v="39"/>
    <s v="Milwaukee"/>
    <x v="5"/>
    <n v="0.19999999999999996"/>
    <n v="3000"/>
    <n v="599.99999999999989"/>
    <n v="239.99999999999997"/>
    <n v="0.4"/>
  </r>
  <r>
    <m/>
    <x v="0"/>
    <n v="1185732"/>
    <x v="137"/>
    <x v="3"/>
    <x v="39"/>
    <s v="Milwaukee"/>
    <x v="0"/>
    <n v="0.25000000000000006"/>
    <n v="5200"/>
    <n v="1300.0000000000002"/>
    <n v="520.00000000000011"/>
    <n v="0.4"/>
  </r>
  <r>
    <m/>
    <x v="0"/>
    <n v="1185732"/>
    <x v="137"/>
    <x v="3"/>
    <x v="39"/>
    <s v="Milwaukee"/>
    <x v="1"/>
    <n v="0.25000000000000006"/>
    <n v="2250"/>
    <n v="562.50000000000011"/>
    <n v="225.00000000000006"/>
    <n v="0.4"/>
  </r>
  <r>
    <m/>
    <x v="0"/>
    <n v="1185732"/>
    <x v="137"/>
    <x v="3"/>
    <x v="39"/>
    <s v="Milwaukee"/>
    <x v="2"/>
    <n v="0.15000000000000002"/>
    <n v="2750"/>
    <n v="412.50000000000006"/>
    <n v="144.375"/>
    <n v="0.35"/>
  </r>
  <r>
    <m/>
    <x v="0"/>
    <n v="1185732"/>
    <x v="137"/>
    <x v="3"/>
    <x v="39"/>
    <s v="Milwaukee"/>
    <x v="3"/>
    <n v="0.19999999999999996"/>
    <n v="1250"/>
    <n v="249.99999999999994"/>
    <n v="87.499999999999972"/>
    <n v="0.35"/>
  </r>
  <r>
    <m/>
    <x v="0"/>
    <n v="1185732"/>
    <x v="137"/>
    <x v="3"/>
    <x v="39"/>
    <s v="Milwaukee"/>
    <x v="4"/>
    <n v="0.35000000000000003"/>
    <n v="1750"/>
    <n v="612.50000000000011"/>
    <n v="183.75000000000003"/>
    <n v="0.3"/>
  </r>
  <r>
    <m/>
    <x v="0"/>
    <n v="1185732"/>
    <x v="137"/>
    <x v="3"/>
    <x v="39"/>
    <s v="Milwaukee"/>
    <x v="5"/>
    <n v="0.25000000000000006"/>
    <n v="2750"/>
    <n v="687.50000000000011"/>
    <n v="275.00000000000006"/>
    <n v="0.4"/>
  </r>
  <r>
    <m/>
    <x v="0"/>
    <n v="1185732"/>
    <x v="138"/>
    <x v="3"/>
    <x v="39"/>
    <s v="Milwaukee"/>
    <x v="0"/>
    <n v="0.25000000000000006"/>
    <n v="5000"/>
    <n v="1250.0000000000002"/>
    <n v="500.00000000000011"/>
    <n v="0.4"/>
  </r>
  <r>
    <m/>
    <x v="0"/>
    <n v="1185732"/>
    <x v="138"/>
    <x v="3"/>
    <x v="39"/>
    <s v="Milwaukee"/>
    <x v="1"/>
    <n v="0.25000000000000006"/>
    <n v="2000"/>
    <n v="500.00000000000011"/>
    <n v="200.00000000000006"/>
    <n v="0.4"/>
  </r>
  <r>
    <m/>
    <x v="0"/>
    <n v="1185732"/>
    <x v="138"/>
    <x v="3"/>
    <x v="39"/>
    <s v="Milwaukee"/>
    <x v="2"/>
    <n v="0.15000000000000002"/>
    <n v="2000"/>
    <n v="300.00000000000006"/>
    <n v="105.00000000000001"/>
    <n v="0.35"/>
  </r>
  <r>
    <m/>
    <x v="0"/>
    <n v="1185732"/>
    <x v="138"/>
    <x v="3"/>
    <x v="39"/>
    <s v="Milwaukee"/>
    <x v="3"/>
    <n v="0.19999999999999996"/>
    <n v="1250"/>
    <n v="249.99999999999994"/>
    <n v="87.499999999999972"/>
    <n v="0.35"/>
  </r>
  <r>
    <m/>
    <x v="0"/>
    <n v="1185732"/>
    <x v="138"/>
    <x v="3"/>
    <x v="39"/>
    <s v="Milwaukee"/>
    <x v="4"/>
    <n v="0.65"/>
    <n v="1500"/>
    <n v="975"/>
    <n v="292.5"/>
    <n v="0.3"/>
  </r>
  <r>
    <m/>
    <x v="0"/>
    <n v="1185732"/>
    <x v="138"/>
    <x v="3"/>
    <x v="39"/>
    <s v="Milwaukee"/>
    <x v="5"/>
    <n v="0.5"/>
    <n v="2750"/>
    <n v="1375"/>
    <n v="550"/>
    <n v="0.4"/>
  </r>
  <r>
    <m/>
    <x v="0"/>
    <n v="1185732"/>
    <x v="139"/>
    <x v="3"/>
    <x v="39"/>
    <s v="Milwaukee"/>
    <x v="0"/>
    <n v="0.6"/>
    <n v="5450"/>
    <n v="3270"/>
    <n v="1308"/>
    <n v="0.4"/>
  </r>
  <r>
    <m/>
    <x v="0"/>
    <n v="1185732"/>
    <x v="139"/>
    <x v="3"/>
    <x v="39"/>
    <s v="Milwaukee"/>
    <x v="1"/>
    <n v="0.4"/>
    <n v="2500"/>
    <n v="1000"/>
    <n v="400"/>
    <n v="0.4"/>
  </r>
  <r>
    <m/>
    <x v="0"/>
    <n v="1185732"/>
    <x v="139"/>
    <x v="3"/>
    <x v="39"/>
    <s v="Milwaukee"/>
    <x v="2"/>
    <n v="0.35000000000000003"/>
    <n v="2250"/>
    <n v="787.50000000000011"/>
    <n v="275.625"/>
    <n v="0.35"/>
  </r>
  <r>
    <m/>
    <x v="0"/>
    <n v="1185732"/>
    <x v="139"/>
    <x v="3"/>
    <x v="39"/>
    <s v="Milwaukee"/>
    <x v="3"/>
    <n v="0.35000000000000003"/>
    <n v="1750"/>
    <n v="612.50000000000011"/>
    <n v="214.37500000000003"/>
    <n v="0.35"/>
  </r>
  <r>
    <m/>
    <x v="0"/>
    <n v="1185732"/>
    <x v="139"/>
    <x v="3"/>
    <x v="39"/>
    <s v="Milwaukee"/>
    <x v="4"/>
    <n v="0.44999999999999996"/>
    <n v="2000"/>
    <n v="899.99999999999989"/>
    <n v="269.99999999999994"/>
    <n v="0.3"/>
  </r>
  <r>
    <m/>
    <x v="0"/>
    <n v="1185732"/>
    <x v="139"/>
    <x v="3"/>
    <x v="39"/>
    <s v="Milwaukee"/>
    <x v="5"/>
    <n v="0.54999999999999993"/>
    <n v="3250"/>
    <n v="1787.4999999999998"/>
    <n v="715"/>
    <n v="0.4"/>
  </r>
  <r>
    <m/>
    <x v="0"/>
    <n v="1185732"/>
    <x v="83"/>
    <x v="3"/>
    <x v="39"/>
    <s v="Milwaukee"/>
    <x v="0"/>
    <n v="0.4"/>
    <n v="5750"/>
    <n v="2300"/>
    <n v="920"/>
    <n v="0.4"/>
  </r>
  <r>
    <m/>
    <x v="0"/>
    <n v="1185732"/>
    <x v="83"/>
    <x v="3"/>
    <x v="39"/>
    <s v="Milwaukee"/>
    <x v="1"/>
    <n v="0.35000000000000009"/>
    <n v="3250"/>
    <n v="1137.5000000000002"/>
    <n v="455.00000000000011"/>
    <n v="0.4"/>
  </r>
  <r>
    <m/>
    <x v="0"/>
    <n v="1185732"/>
    <x v="83"/>
    <x v="3"/>
    <x v="39"/>
    <s v="Milwaukee"/>
    <x v="2"/>
    <n v="0.30000000000000004"/>
    <n v="2000"/>
    <n v="600.00000000000011"/>
    <n v="210.00000000000003"/>
    <n v="0.35"/>
  </r>
  <r>
    <m/>
    <x v="0"/>
    <n v="1185732"/>
    <x v="83"/>
    <x v="3"/>
    <x v="39"/>
    <s v="Milwaukee"/>
    <x v="3"/>
    <n v="0.30000000000000004"/>
    <n v="1750"/>
    <n v="525.00000000000011"/>
    <n v="183.75000000000003"/>
    <n v="0.35"/>
  </r>
  <r>
    <m/>
    <x v="0"/>
    <n v="1185732"/>
    <x v="83"/>
    <x v="3"/>
    <x v="39"/>
    <s v="Milwaukee"/>
    <x v="4"/>
    <n v="0.4"/>
    <n v="1750"/>
    <n v="700"/>
    <n v="210"/>
    <n v="0.3"/>
  </r>
  <r>
    <m/>
    <x v="0"/>
    <n v="1185732"/>
    <x v="83"/>
    <x v="3"/>
    <x v="39"/>
    <s v="Milwaukee"/>
    <x v="5"/>
    <n v="0.60000000000000009"/>
    <n v="3250"/>
    <n v="1950.0000000000002"/>
    <n v="780.00000000000011"/>
    <n v="0.4"/>
  </r>
  <r>
    <m/>
    <x v="0"/>
    <n v="1185732"/>
    <x v="140"/>
    <x v="3"/>
    <x v="39"/>
    <s v="Milwaukee"/>
    <x v="0"/>
    <n v="0.55000000000000004"/>
    <n v="5500"/>
    <n v="3025.0000000000005"/>
    <n v="1210.0000000000002"/>
    <n v="0.4"/>
  </r>
  <r>
    <m/>
    <x v="0"/>
    <n v="1185732"/>
    <x v="140"/>
    <x v="3"/>
    <x v="39"/>
    <s v="Milwaukee"/>
    <x v="1"/>
    <n v="0.50000000000000011"/>
    <n v="3000"/>
    <n v="1500.0000000000002"/>
    <n v="600.00000000000011"/>
    <n v="0.4"/>
  </r>
  <r>
    <m/>
    <x v="0"/>
    <n v="1185732"/>
    <x v="140"/>
    <x v="3"/>
    <x v="39"/>
    <s v="Milwaukee"/>
    <x v="2"/>
    <n v="0.45"/>
    <n v="2250"/>
    <n v="1012.5"/>
    <n v="354.375"/>
    <n v="0.35"/>
  </r>
  <r>
    <m/>
    <x v="0"/>
    <n v="1185732"/>
    <x v="140"/>
    <x v="3"/>
    <x v="39"/>
    <s v="Milwaukee"/>
    <x v="3"/>
    <n v="0.45"/>
    <n v="1750"/>
    <n v="787.5"/>
    <n v="275.625"/>
    <n v="0.35"/>
  </r>
  <r>
    <m/>
    <x v="0"/>
    <n v="1185732"/>
    <x v="140"/>
    <x v="3"/>
    <x v="39"/>
    <s v="Milwaukee"/>
    <x v="4"/>
    <n v="0.55000000000000004"/>
    <n v="2000"/>
    <n v="1100"/>
    <n v="330"/>
    <n v="0.3"/>
  </r>
  <r>
    <m/>
    <x v="0"/>
    <n v="1185732"/>
    <x v="140"/>
    <x v="3"/>
    <x v="39"/>
    <s v="Milwaukee"/>
    <x v="5"/>
    <n v="0.60000000000000009"/>
    <n v="3750"/>
    <n v="2250.0000000000005"/>
    <n v="900.00000000000023"/>
    <n v="0.4"/>
  </r>
  <r>
    <m/>
    <x v="0"/>
    <n v="1185732"/>
    <x v="141"/>
    <x v="3"/>
    <x v="39"/>
    <s v="Milwaukee"/>
    <x v="0"/>
    <n v="0.5"/>
    <n v="5250"/>
    <n v="2625"/>
    <n v="1050"/>
    <n v="0.4"/>
  </r>
  <r>
    <m/>
    <x v="0"/>
    <n v="1185732"/>
    <x v="141"/>
    <x v="3"/>
    <x v="39"/>
    <s v="Milwaukee"/>
    <x v="1"/>
    <n v="0.45000000000000007"/>
    <n v="3000"/>
    <n v="1350.0000000000002"/>
    <n v="540.00000000000011"/>
    <n v="0.4"/>
  </r>
  <r>
    <m/>
    <x v="0"/>
    <n v="1185732"/>
    <x v="141"/>
    <x v="3"/>
    <x v="39"/>
    <s v="Milwaukee"/>
    <x v="2"/>
    <n v="0.4"/>
    <n v="2250"/>
    <n v="900"/>
    <n v="315"/>
    <n v="0.35"/>
  </r>
  <r>
    <m/>
    <x v="0"/>
    <n v="1185732"/>
    <x v="141"/>
    <x v="3"/>
    <x v="39"/>
    <s v="Milwaukee"/>
    <x v="3"/>
    <n v="0.4"/>
    <n v="2000"/>
    <n v="800"/>
    <n v="280"/>
    <n v="0.35"/>
  </r>
  <r>
    <m/>
    <x v="0"/>
    <n v="1185732"/>
    <x v="141"/>
    <x v="3"/>
    <x v="39"/>
    <s v="Milwaukee"/>
    <x v="4"/>
    <n v="0.5"/>
    <n v="1750"/>
    <n v="875"/>
    <n v="262.5"/>
    <n v="0.3"/>
  </r>
  <r>
    <m/>
    <x v="0"/>
    <n v="1185732"/>
    <x v="141"/>
    <x v="3"/>
    <x v="39"/>
    <s v="Milwaukee"/>
    <x v="5"/>
    <n v="0.55000000000000004"/>
    <n v="3500"/>
    <n v="1925.0000000000002"/>
    <n v="770.00000000000011"/>
    <n v="0.4"/>
  </r>
  <r>
    <m/>
    <x v="0"/>
    <n v="1185732"/>
    <x v="142"/>
    <x v="3"/>
    <x v="39"/>
    <s v="Milwaukee"/>
    <x v="0"/>
    <n v="0.35000000000000003"/>
    <n v="4750"/>
    <n v="1662.5000000000002"/>
    <n v="665.00000000000011"/>
    <n v="0.4"/>
  </r>
  <r>
    <m/>
    <x v="0"/>
    <n v="1185732"/>
    <x v="142"/>
    <x v="3"/>
    <x v="39"/>
    <s v="Milwaukee"/>
    <x v="1"/>
    <n v="0.3000000000000001"/>
    <n v="2750"/>
    <n v="825.00000000000023"/>
    <n v="330.00000000000011"/>
    <n v="0.4"/>
  </r>
  <r>
    <m/>
    <x v="0"/>
    <n v="1185732"/>
    <x v="142"/>
    <x v="3"/>
    <x v="39"/>
    <s v="Milwaukee"/>
    <x v="2"/>
    <n v="0.25000000000000006"/>
    <n v="1750"/>
    <n v="437.50000000000011"/>
    <n v="153.12500000000003"/>
    <n v="0.35"/>
  </r>
  <r>
    <m/>
    <x v="0"/>
    <n v="1185732"/>
    <x v="142"/>
    <x v="3"/>
    <x v="39"/>
    <s v="Milwaukee"/>
    <x v="3"/>
    <n v="0.25000000000000006"/>
    <n v="1500"/>
    <n v="375.00000000000006"/>
    <n v="131.25"/>
    <n v="0.35"/>
  </r>
  <r>
    <m/>
    <x v="0"/>
    <n v="1185732"/>
    <x v="142"/>
    <x v="3"/>
    <x v="39"/>
    <s v="Milwaukee"/>
    <x v="4"/>
    <n v="0.35000000000000003"/>
    <n v="1500"/>
    <n v="525"/>
    <n v="157.5"/>
    <n v="0.3"/>
  </r>
  <r>
    <m/>
    <x v="0"/>
    <n v="1185732"/>
    <x v="142"/>
    <x v="3"/>
    <x v="39"/>
    <s v="Milwaukee"/>
    <x v="5"/>
    <n v="0.4"/>
    <n v="2250"/>
    <n v="900"/>
    <n v="360"/>
    <n v="0.4"/>
  </r>
  <r>
    <m/>
    <x v="0"/>
    <n v="1185732"/>
    <x v="87"/>
    <x v="3"/>
    <x v="39"/>
    <s v="Milwaukee"/>
    <x v="0"/>
    <n v="0.44999999999999996"/>
    <n v="4000"/>
    <n v="1799.9999999999998"/>
    <n v="720"/>
    <n v="0.4"/>
  </r>
  <r>
    <m/>
    <x v="0"/>
    <n v="1185732"/>
    <x v="87"/>
    <x v="3"/>
    <x v="39"/>
    <s v="Milwaukee"/>
    <x v="1"/>
    <n v="0.35000000000000003"/>
    <n v="2500"/>
    <n v="875.00000000000011"/>
    <n v="350.00000000000006"/>
    <n v="0.4"/>
  </r>
  <r>
    <m/>
    <x v="0"/>
    <n v="1185732"/>
    <x v="87"/>
    <x v="3"/>
    <x v="39"/>
    <s v="Milwaukee"/>
    <x v="2"/>
    <n v="0.35000000000000003"/>
    <n v="1500"/>
    <n v="525"/>
    <n v="183.75"/>
    <n v="0.35"/>
  </r>
  <r>
    <m/>
    <x v="0"/>
    <n v="1185732"/>
    <x v="87"/>
    <x v="3"/>
    <x v="39"/>
    <s v="Milwaukee"/>
    <x v="3"/>
    <n v="0.35000000000000003"/>
    <n v="1500"/>
    <n v="525"/>
    <n v="183.75"/>
    <n v="0.35"/>
  </r>
  <r>
    <m/>
    <x v="0"/>
    <n v="1185732"/>
    <x v="87"/>
    <x v="3"/>
    <x v="39"/>
    <s v="Milwaukee"/>
    <x v="4"/>
    <n v="0.44999999999999996"/>
    <n v="1500"/>
    <n v="674.99999999999989"/>
    <n v="202.49999999999997"/>
    <n v="0.3"/>
  </r>
  <r>
    <m/>
    <x v="0"/>
    <n v="1185732"/>
    <x v="87"/>
    <x v="3"/>
    <x v="39"/>
    <s v="Milwaukee"/>
    <x v="5"/>
    <n v="0.49999999999999983"/>
    <n v="2750"/>
    <n v="1374.9999999999995"/>
    <n v="549.99999999999989"/>
    <n v="0.4"/>
  </r>
  <r>
    <m/>
    <x v="0"/>
    <n v="1185732"/>
    <x v="143"/>
    <x v="3"/>
    <x v="39"/>
    <s v="Milwaukee"/>
    <x v="0"/>
    <n v="0.44999999999999996"/>
    <n v="4250"/>
    <n v="1912.4999999999998"/>
    <n v="765"/>
    <n v="0.4"/>
  </r>
  <r>
    <m/>
    <x v="0"/>
    <n v="1185732"/>
    <x v="143"/>
    <x v="3"/>
    <x v="39"/>
    <s v="Milwaukee"/>
    <x v="1"/>
    <n v="0.35000000000000003"/>
    <n v="3250"/>
    <n v="1137.5"/>
    <n v="455"/>
    <n v="0.4"/>
  </r>
  <r>
    <m/>
    <x v="0"/>
    <n v="1185732"/>
    <x v="143"/>
    <x v="3"/>
    <x v="39"/>
    <s v="Milwaukee"/>
    <x v="2"/>
    <n v="0.35000000000000003"/>
    <n v="2700"/>
    <n v="945.00000000000011"/>
    <n v="330.75"/>
    <n v="0.35"/>
  </r>
  <r>
    <m/>
    <x v="0"/>
    <n v="1185732"/>
    <x v="143"/>
    <x v="3"/>
    <x v="39"/>
    <s v="Milwaukee"/>
    <x v="3"/>
    <n v="0.35000000000000003"/>
    <n v="2750"/>
    <n v="962.50000000000011"/>
    <n v="336.875"/>
    <n v="0.35"/>
  </r>
  <r>
    <m/>
    <x v="0"/>
    <n v="1185732"/>
    <x v="143"/>
    <x v="3"/>
    <x v="39"/>
    <s v="Milwaukee"/>
    <x v="4"/>
    <n v="0.6"/>
    <n v="2500"/>
    <n v="1500"/>
    <n v="450"/>
    <n v="0.3"/>
  </r>
  <r>
    <m/>
    <x v="0"/>
    <n v="1185732"/>
    <x v="143"/>
    <x v="3"/>
    <x v="39"/>
    <s v="Milwaukee"/>
    <x v="5"/>
    <n v="0.64999999999999991"/>
    <n v="3500"/>
    <n v="2274.9999999999995"/>
    <n v="909.99999999999989"/>
    <n v="0.4"/>
  </r>
  <r>
    <m/>
    <x v="0"/>
    <n v="1185732"/>
    <x v="144"/>
    <x v="3"/>
    <x v="39"/>
    <s v="Milwaukee"/>
    <x v="0"/>
    <n v="0.6"/>
    <n v="6000"/>
    <n v="3600"/>
    <n v="1440"/>
    <n v="0.4"/>
  </r>
  <r>
    <m/>
    <x v="0"/>
    <n v="1185732"/>
    <x v="144"/>
    <x v="3"/>
    <x v="39"/>
    <s v="Milwaukee"/>
    <x v="1"/>
    <n v="0.5"/>
    <n v="4000"/>
    <n v="2000"/>
    <n v="800"/>
    <n v="0.4"/>
  </r>
  <r>
    <m/>
    <x v="0"/>
    <n v="1185732"/>
    <x v="144"/>
    <x v="3"/>
    <x v="39"/>
    <s v="Milwaukee"/>
    <x v="2"/>
    <n v="0.5"/>
    <n v="3500"/>
    <n v="1750"/>
    <n v="612.5"/>
    <n v="0.35"/>
  </r>
  <r>
    <m/>
    <x v="0"/>
    <n v="1185732"/>
    <x v="144"/>
    <x v="3"/>
    <x v="39"/>
    <s v="Milwaukee"/>
    <x v="3"/>
    <n v="0.5"/>
    <n v="3000"/>
    <n v="1500"/>
    <n v="525"/>
    <n v="0.35"/>
  </r>
  <r>
    <m/>
    <x v="0"/>
    <n v="1185732"/>
    <x v="144"/>
    <x v="3"/>
    <x v="39"/>
    <s v="Milwaukee"/>
    <x v="4"/>
    <n v="0.6"/>
    <n v="3000"/>
    <n v="1800"/>
    <n v="540"/>
    <n v="0.3"/>
  </r>
  <r>
    <m/>
    <x v="0"/>
    <n v="1185732"/>
    <x v="144"/>
    <x v="3"/>
    <x v="39"/>
    <s v="Milwaukee"/>
    <x v="5"/>
    <n v="0.64999999999999991"/>
    <n v="4000"/>
    <n v="2599.9999999999995"/>
    <n v="1039.9999999999998"/>
    <n v="0.4"/>
  </r>
  <r>
    <s v="x"/>
    <x v="0"/>
    <n v="1185732"/>
    <x v="102"/>
    <x v="3"/>
    <x v="40"/>
    <s v="Indianapolis"/>
    <x v="0"/>
    <n v="0.35000000000000003"/>
    <n v="5000"/>
    <n v="1750.0000000000002"/>
    <n v="700.00000000000011"/>
    <n v="0.4"/>
  </r>
  <r>
    <m/>
    <x v="0"/>
    <n v="1185732"/>
    <x v="102"/>
    <x v="3"/>
    <x v="40"/>
    <s v="Indianapolis"/>
    <x v="1"/>
    <n v="0.35000000000000003"/>
    <n v="3000"/>
    <n v="1050"/>
    <n v="420"/>
    <n v="0.4"/>
  </r>
  <r>
    <m/>
    <x v="0"/>
    <n v="1185732"/>
    <x v="102"/>
    <x v="3"/>
    <x v="40"/>
    <s v="Indianapolis"/>
    <x v="2"/>
    <n v="0.25000000000000006"/>
    <n v="3000"/>
    <n v="750.00000000000011"/>
    <n v="300.00000000000006"/>
    <n v="0.4"/>
  </r>
  <r>
    <m/>
    <x v="0"/>
    <n v="1185732"/>
    <x v="102"/>
    <x v="3"/>
    <x v="40"/>
    <s v="Indianapolis"/>
    <x v="3"/>
    <n v="0.30000000000000004"/>
    <n v="1500"/>
    <n v="450.00000000000006"/>
    <n v="180.00000000000003"/>
    <n v="0.4"/>
  </r>
  <r>
    <m/>
    <x v="0"/>
    <n v="1185732"/>
    <x v="102"/>
    <x v="3"/>
    <x v="40"/>
    <s v="Indianapolis"/>
    <x v="4"/>
    <n v="0.44999999999999996"/>
    <n v="2000"/>
    <n v="899.99999999999989"/>
    <n v="360"/>
    <n v="0.4"/>
  </r>
  <r>
    <m/>
    <x v="0"/>
    <n v="1185732"/>
    <x v="102"/>
    <x v="3"/>
    <x v="40"/>
    <s v="Indianapolis"/>
    <x v="5"/>
    <n v="0.35000000000000003"/>
    <n v="3000"/>
    <n v="1050"/>
    <n v="420"/>
    <n v="0.4"/>
  </r>
  <r>
    <m/>
    <x v="0"/>
    <n v="1185732"/>
    <x v="103"/>
    <x v="3"/>
    <x v="40"/>
    <s v="Indianapolis"/>
    <x v="0"/>
    <n v="0.35000000000000003"/>
    <n v="5500"/>
    <n v="1925.0000000000002"/>
    <n v="770.00000000000011"/>
    <n v="0.4"/>
  </r>
  <r>
    <m/>
    <x v="0"/>
    <n v="1185732"/>
    <x v="103"/>
    <x v="3"/>
    <x v="40"/>
    <s v="Indianapolis"/>
    <x v="1"/>
    <n v="0.4"/>
    <n v="2000"/>
    <n v="800"/>
    <n v="320"/>
    <n v="0.4"/>
  </r>
  <r>
    <m/>
    <x v="0"/>
    <n v="1185732"/>
    <x v="103"/>
    <x v="3"/>
    <x v="40"/>
    <s v="Indianapolis"/>
    <x v="2"/>
    <n v="0.30000000000000004"/>
    <n v="3000"/>
    <n v="900.00000000000011"/>
    <n v="360.00000000000006"/>
    <n v="0.4"/>
  </r>
  <r>
    <m/>
    <x v="0"/>
    <n v="1185732"/>
    <x v="103"/>
    <x v="3"/>
    <x v="40"/>
    <s v="Indianapolis"/>
    <x v="3"/>
    <n v="0.35000000000000003"/>
    <n v="1750"/>
    <n v="612.50000000000011"/>
    <n v="245.00000000000006"/>
    <n v="0.4"/>
  </r>
  <r>
    <m/>
    <x v="0"/>
    <n v="1185732"/>
    <x v="103"/>
    <x v="3"/>
    <x v="40"/>
    <s v="Indianapolis"/>
    <x v="4"/>
    <n v="0.49999999999999994"/>
    <n v="2500"/>
    <n v="1249.9999999999998"/>
    <n v="499.99999999999994"/>
    <n v="0.4"/>
  </r>
  <r>
    <m/>
    <x v="0"/>
    <n v="1185732"/>
    <x v="103"/>
    <x v="3"/>
    <x v="40"/>
    <s v="Indianapolis"/>
    <x v="5"/>
    <n v="0.24999999999999994"/>
    <n v="3500"/>
    <n v="874.99999999999977"/>
    <n v="349.99999999999994"/>
    <n v="0.4"/>
  </r>
  <r>
    <m/>
    <x v="0"/>
    <n v="1185732"/>
    <x v="104"/>
    <x v="3"/>
    <x v="40"/>
    <s v="Indianapolis"/>
    <x v="0"/>
    <n v="0.30000000000000004"/>
    <n v="5700"/>
    <n v="1710.0000000000002"/>
    <n v="684.00000000000011"/>
    <n v="0.4"/>
  </r>
  <r>
    <m/>
    <x v="0"/>
    <n v="1185732"/>
    <x v="104"/>
    <x v="3"/>
    <x v="40"/>
    <s v="Indianapolis"/>
    <x v="1"/>
    <n v="0.30000000000000004"/>
    <n v="2750"/>
    <n v="825.00000000000011"/>
    <n v="330.00000000000006"/>
    <n v="0.4"/>
  </r>
  <r>
    <m/>
    <x v="0"/>
    <n v="1185732"/>
    <x v="104"/>
    <x v="3"/>
    <x v="40"/>
    <s v="Indianapolis"/>
    <x v="2"/>
    <n v="0.2"/>
    <n v="3250"/>
    <n v="650"/>
    <n v="260"/>
    <n v="0.4"/>
  </r>
  <r>
    <m/>
    <x v="0"/>
    <n v="1185732"/>
    <x v="104"/>
    <x v="3"/>
    <x v="40"/>
    <s v="Indianapolis"/>
    <x v="3"/>
    <n v="0.24999999999999994"/>
    <n v="1750"/>
    <n v="437.49999999999989"/>
    <n v="174.99999999999997"/>
    <n v="0.4"/>
  </r>
  <r>
    <m/>
    <x v="0"/>
    <n v="1185732"/>
    <x v="104"/>
    <x v="3"/>
    <x v="40"/>
    <s v="Indianapolis"/>
    <x v="4"/>
    <n v="0.4"/>
    <n v="2250"/>
    <n v="900"/>
    <n v="360"/>
    <n v="0.4"/>
  </r>
  <r>
    <m/>
    <x v="0"/>
    <n v="1185732"/>
    <x v="104"/>
    <x v="3"/>
    <x v="40"/>
    <s v="Indianapolis"/>
    <x v="5"/>
    <n v="0.30000000000000004"/>
    <n v="3250"/>
    <n v="975.00000000000011"/>
    <n v="390.00000000000006"/>
    <n v="0.4"/>
  </r>
  <r>
    <m/>
    <x v="0"/>
    <n v="1185732"/>
    <x v="105"/>
    <x v="3"/>
    <x v="40"/>
    <s v="Indianapolis"/>
    <x v="0"/>
    <n v="0.30000000000000004"/>
    <n v="5500"/>
    <n v="1650.0000000000002"/>
    <n v="660.00000000000011"/>
    <n v="0.4"/>
  </r>
  <r>
    <m/>
    <x v="0"/>
    <n v="1185732"/>
    <x v="105"/>
    <x v="3"/>
    <x v="40"/>
    <s v="Indianapolis"/>
    <x v="1"/>
    <n v="0.30000000000000004"/>
    <n v="2500"/>
    <n v="750.00000000000011"/>
    <n v="300.00000000000006"/>
    <n v="0.4"/>
  </r>
  <r>
    <m/>
    <x v="0"/>
    <n v="1185732"/>
    <x v="105"/>
    <x v="3"/>
    <x v="40"/>
    <s v="Indianapolis"/>
    <x v="2"/>
    <n v="0.2"/>
    <n v="2500"/>
    <n v="500"/>
    <n v="200"/>
    <n v="0.4"/>
  </r>
  <r>
    <m/>
    <x v="0"/>
    <n v="1185732"/>
    <x v="105"/>
    <x v="3"/>
    <x v="40"/>
    <s v="Indianapolis"/>
    <x v="3"/>
    <n v="0.24999999999999994"/>
    <n v="1750"/>
    <n v="437.49999999999989"/>
    <n v="174.99999999999997"/>
    <n v="0.4"/>
  </r>
  <r>
    <m/>
    <x v="0"/>
    <n v="1185732"/>
    <x v="105"/>
    <x v="3"/>
    <x v="40"/>
    <s v="Indianapolis"/>
    <x v="4"/>
    <n v="0.65"/>
    <n v="2000"/>
    <n v="1300"/>
    <n v="520"/>
    <n v="0.4"/>
  </r>
  <r>
    <m/>
    <x v="0"/>
    <n v="1185732"/>
    <x v="105"/>
    <x v="3"/>
    <x v="40"/>
    <s v="Indianapolis"/>
    <x v="5"/>
    <n v="0.5"/>
    <n v="3250"/>
    <n v="1625"/>
    <n v="650"/>
    <n v="0.4"/>
  </r>
  <r>
    <m/>
    <x v="0"/>
    <n v="1185732"/>
    <x v="106"/>
    <x v="3"/>
    <x v="40"/>
    <s v="Indianapolis"/>
    <x v="0"/>
    <n v="0.6"/>
    <n v="5950"/>
    <n v="3570"/>
    <n v="1428"/>
    <n v="0.4"/>
  </r>
  <r>
    <m/>
    <x v="0"/>
    <n v="1185732"/>
    <x v="106"/>
    <x v="3"/>
    <x v="40"/>
    <s v="Indianapolis"/>
    <x v="1"/>
    <n v="0.4"/>
    <n v="3000"/>
    <n v="1200"/>
    <n v="480"/>
    <n v="0.4"/>
  </r>
  <r>
    <m/>
    <x v="0"/>
    <n v="1185732"/>
    <x v="106"/>
    <x v="3"/>
    <x v="40"/>
    <s v="Indianapolis"/>
    <x v="2"/>
    <n v="0.35000000000000003"/>
    <n v="2750"/>
    <n v="962.50000000000011"/>
    <n v="385.00000000000006"/>
    <n v="0.4"/>
  </r>
  <r>
    <m/>
    <x v="0"/>
    <n v="1185732"/>
    <x v="106"/>
    <x v="3"/>
    <x v="40"/>
    <s v="Indianapolis"/>
    <x v="3"/>
    <n v="0.35000000000000003"/>
    <n v="2000"/>
    <n v="700.00000000000011"/>
    <n v="280.00000000000006"/>
    <n v="0.4"/>
  </r>
  <r>
    <m/>
    <x v="0"/>
    <n v="1185732"/>
    <x v="106"/>
    <x v="3"/>
    <x v="40"/>
    <s v="Indianapolis"/>
    <x v="4"/>
    <n v="0.44999999999999996"/>
    <n v="2250"/>
    <n v="1012.4999999999999"/>
    <n v="405"/>
    <n v="0.4"/>
  </r>
  <r>
    <m/>
    <x v="0"/>
    <n v="1185732"/>
    <x v="106"/>
    <x v="3"/>
    <x v="40"/>
    <s v="Indianapolis"/>
    <x v="5"/>
    <n v="0.54999999999999993"/>
    <n v="3500"/>
    <n v="1924.9999999999998"/>
    <n v="770"/>
    <n v="0.4"/>
  </r>
  <r>
    <m/>
    <x v="0"/>
    <n v="1185732"/>
    <x v="107"/>
    <x v="3"/>
    <x v="40"/>
    <s v="Indianapolis"/>
    <x v="0"/>
    <n v="0.45"/>
    <n v="6000"/>
    <n v="2700"/>
    <n v="1080"/>
    <n v="0.4"/>
  </r>
  <r>
    <m/>
    <x v="0"/>
    <n v="1185732"/>
    <x v="107"/>
    <x v="3"/>
    <x v="40"/>
    <s v="Indianapolis"/>
    <x v="1"/>
    <n v="0.40000000000000008"/>
    <n v="4250"/>
    <n v="1700.0000000000002"/>
    <n v="680.00000000000011"/>
    <n v="0.4"/>
  </r>
  <r>
    <m/>
    <x v="0"/>
    <n v="1185732"/>
    <x v="107"/>
    <x v="3"/>
    <x v="40"/>
    <s v="Indianapolis"/>
    <x v="2"/>
    <n v="0.35000000000000003"/>
    <n v="3000"/>
    <n v="1050"/>
    <n v="420"/>
    <n v="0.4"/>
  </r>
  <r>
    <m/>
    <x v="0"/>
    <n v="1185732"/>
    <x v="107"/>
    <x v="3"/>
    <x v="40"/>
    <s v="Indianapolis"/>
    <x v="3"/>
    <n v="0.35000000000000003"/>
    <n v="2750"/>
    <n v="962.50000000000011"/>
    <n v="385.00000000000006"/>
    <n v="0.4"/>
  </r>
  <r>
    <m/>
    <x v="0"/>
    <n v="1185732"/>
    <x v="107"/>
    <x v="3"/>
    <x v="40"/>
    <s v="Indianapolis"/>
    <x v="4"/>
    <n v="0.45"/>
    <n v="2750"/>
    <n v="1237.5"/>
    <n v="495"/>
    <n v="0.4"/>
  </r>
  <r>
    <m/>
    <x v="0"/>
    <n v="1185732"/>
    <x v="107"/>
    <x v="3"/>
    <x v="40"/>
    <s v="Indianapolis"/>
    <x v="5"/>
    <n v="0.65000000000000013"/>
    <n v="4250"/>
    <n v="2762.5000000000005"/>
    <n v="1105.0000000000002"/>
    <n v="0.4"/>
  </r>
  <r>
    <m/>
    <x v="0"/>
    <n v="1185732"/>
    <x v="108"/>
    <x v="3"/>
    <x v="40"/>
    <s v="Indianapolis"/>
    <x v="0"/>
    <n v="0.60000000000000009"/>
    <n v="6500"/>
    <n v="3900.0000000000005"/>
    <n v="1560.0000000000002"/>
    <n v="0.4"/>
  </r>
  <r>
    <m/>
    <x v="0"/>
    <n v="1185732"/>
    <x v="108"/>
    <x v="3"/>
    <x v="40"/>
    <s v="Indianapolis"/>
    <x v="1"/>
    <n v="0.55000000000000016"/>
    <n v="4000"/>
    <n v="2200.0000000000005"/>
    <n v="880.00000000000023"/>
    <n v="0.4"/>
  </r>
  <r>
    <m/>
    <x v="0"/>
    <n v="1185732"/>
    <x v="108"/>
    <x v="3"/>
    <x v="40"/>
    <s v="Indianapolis"/>
    <x v="2"/>
    <n v="0.5"/>
    <n v="3250"/>
    <n v="1625"/>
    <n v="650"/>
    <n v="0.4"/>
  </r>
  <r>
    <m/>
    <x v="0"/>
    <n v="1185732"/>
    <x v="108"/>
    <x v="3"/>
    <x v="40"/>
    <s v="Indianapolis"/>
    <x v="3"/>
    <n v="0.5"/>
    <n v="2750"/>
    <n v="1375"/>
    <n v="550"/>
    <n v="0.4"/>
  </r>
  <r>
    <m/>
    <x v="0"/>
    <n v="1185732"/>
    <x v="108"/>
    <x v="3"/>
    <x v="40"/>
    <s v="Indianapolis"/>
    <x v="4"/>
    <n v="0.60000000000000009"/>
    <n v="3000"/>
    <n v="1800.0000000000002"/>
    <n v="720.00000000000011"/>
    <n v="0.4"/>
  </r>
  <r>
    <m/>
    <x v="0"/>
    <n v="1185732"/>
    <x v="108"/>
    <x v="3"/>
    <x v="40"/>
    <s v="Indianapolis"/>
    <x v="5"/>
    <n v="0.65000000000000013"/>
    <n v="4750"/>
    <n v="3087.5000000000005"/>
    <n v="1235.0000000000002"/>
    <n v="0.4"/>
  </r>
  <r>
    <m/>
    <x v="0"/>
    <n v="1185732"/>
    <x v="109"/>
    <x v="3"/>
    <x v="40"/>
    <s v="Indianapolis"/>
    <x v="0"/>
    <n v="0.5"/>
    <n v="5250"/>
    <n v="2625"/>
    <n v="1050"/>
    <n v="0.4"/>
  </r>
  <r>
    <m/>
    <x v="0"/>
    <n v="1185732"/>
    <x v="109"/>
    <x v="3"/>
    <x v="40"/>
    <s v="Indianapolis"/>
    <x v="1"/>
    <n v="0.45000000000000007"/>
    <n v="3000"/>
    <n v="1350.0000000000002"/>
    <n v="540.00000000000011"/>
    <n v="0.4"/>
  </r>
  <r>
    <m/>
    <x v="0"/>
    <n v="1185732"/>
    <x v="109"/>
    <x v="3"/>
    <x v="40"/>
    <s v="Indianapolis"/>
    <x v="2"/>
    <n v="0.4"/>
    <n v="3000"/>
    <n v="1200"/>
    <n v="480"/>
    <n v="0.4"/>
  </r>
  <r>
    <m/>
    <x v="0"/>
    <n v="1185732"/>
    <x v="109"/>
    <x v="3"/>
    <x v="40"/>
    <s v="Indianapolis"/>
    <x v="3"/>
    <n v="0.4"/>
    <n v="2750"/>
    <n v="1100"/>
    <n v="440"/>
    <n v="0.4"/>
  </r>
  <r>
    <m/>
    <x v="0"/>
    <n v="1185732"/>
    <x v="109"/>
    <x v="3"/>
    <x v="40"/>
    <s v="Indianapolis"/>
    <x v="4"/>
    <n v="0.5"/>
    <n v="2500"/>
    <n v="1250"/>
    <n v="500"/>
    <n v="0.4"/>
  </r>
  <r>
    <m/>
    <x v="0"/>
    <n v="1185732"/>
    <x v="109"/>
    <x v="3"/>
    <x v="40"/>
    <s v="Indianapolis"/>
    <x v="5"/>
    <n v="0.55000000000000004"/>
    <n v="4250"/>
    <n v="2337.5"/>
    <n v="935"/>
    <n v="0.4"/>
  </r>
  <r>
    <m/>
    <x v="0"/>
    <n v="1185732"/>
    <x v="110"/>
    <x v="3"/>
    <x v="40"/>
    <s v="Indianapolis"/>
    <x v="0"/>
    <n v="0.35000000000000003"/>
    <n v="5500"/>
    <n v="1925.0000000000002"/>
    <n v="770.00000000000011"/>
    <n v="0.4"/>
  </r>
  <r>
    <m/>
    <x v="0"/>
    <n v="1185732"/>
    <x v="110"/>
    <x v="3"/>
    <x v="40"/>
    <s v="Indianapolis"/>
    <x v="1"/>
    <n v="0.3000000000000001"/>
    <n v="3500"/>
    <n v="1050.0000000000005"/>
    <n v="420.00000000000023"/>
    <n v="0.4"/>
  </r>
  <r>
    <m/>
    <x v="0"/>
    <n v="1185732"/>
    <x v="110"/>
    <x v="3"/>
    <x v="40"/>
    <s v="Indianapolis"/>
    <x v="2"/>
    <n v="0.25000000000000006"/>
    <n v="2500"/>
    <n v="625.00000000000011"/>
    <n v="250.00000000000006"/>
    <n v="0.4"/>
  </r>
  <r>
    <m/>
    <x v="0"/>
    <n v="1185732"/>
    <x v="110"/>
    <x v="3"/>
    <x v="40"/>
    <s v="Indianapolis"/>
    <x v="3"/>
    <n v="0.25000000000000006"/>
    <n v="2250"/>
    <n v="562.50000000000011"/>
    <n v="225.00000000000006"/>
    <n v="0.4"/>
  </r>
  <r>
    <m/>
    <x v="0"/>
    <n v="1185732"/>
    <x v="110"/>
    <x v="3"/>
    <x v="40"/>
    <s v="Indianapolis"/>
    <x v="4"/>
    <n v="0.35000000000000003"/>
    <n v="2250"/>
    <n v="787.50000000000011"/>
    <n v="315.00000000000006"/>
    <n v="0.4"/>
  </r>
  <r>
    <m/>
    <x v="0"/>
    <n v="1185732"/>
    <x v="110"/>
    <x v="3"/>
    <x v="40"/>
    <s v="Indianapolis"/>
    <x v="5"/>
    <n v="0.4"/>
    <n v="3000"/>
    <n v="1200"/>
    <n v="480"/>
    <n v="0.4"/>
  </r>
  <r>
    <m/>
    <x v="0"/>
    <n v="1185732"/>
    <x v="111"/>
    <x v="3"/>
    <x v="40"/>
    <s v="Indianapolis"/>
    <x v="0"/>
    <n v="0.44999999999999996"/>
    <n v="4250"/>
    <n v="1912.4999999999998"/>
    <n v="765"/>
    <n v="0.4"/>
  </r>
  <r>
    <m/>
    <x v="0"/>
    <n v="1185732"/>
    <x v="111"/>
    <x v="3"/>
    <x v="40"/>
    <s v="Indianapolis"/>
    <x v="1"/>
    <n v="0.35000000000000003"/>
    <n v="2750"/>
    <n v="962.50000000000011"/>
    <n v="385.00000000000006"/>
    <n v="0.4"/>
  </r>
  <r>
    <m/>
    <x v="0"/>
    <n v="1185732"/>
    <x v="111"/>
    <x v="3"/>
    <x v="40"/>
    <s v="Indianapolis"/>
    <x v="2"/>
    <n v="0.35000000000000003"/>
    <n v="1750"/>
    <n v="612.50000000000011"/>
    <n v="245.00000000000006"/>
    <n v="0.4"/>
  </r>
  <r>
    <m/>
    <x v="0"/>
    <n v="1185732"/>
    <x v="111"/>
    <x v="3"/>
    <x v="40"/>
    <s v="Indianapolis"/>
    <x v="3"/>
    <n v="0.35000000000000003"/>
    <n v="1750"/>
    <n v="612.50000000000011"/>
    <n v="245.00000000000006"/>
    <n v="0.4"/>
  </r>
  <r>
    <m/>
    <x v="0"/>
    <n v="1185732"/>
    <x v="111"/>
    <x v="3"/>
    <x v="40"/>
    <s v="Indianapolis"/>
    <x v="4"/>
    <n v="0.44999999999999996"/>
    <n v="1750"/>
    <n v="787.49999999999989"/>
    <n v="315"/>
    <n v="0.4"/>
  </r>
  <r>
    <m/>
    <x v="0"/>
    <n v="1185732"/>
    <x v="111"/>
    <x v="3"/>
    <x v="40"/>
    <s v="Indianapolis"/>
    <x v="5"/>
    <n v="0.49999999999999983"/>
    <n v="3000"/>
    <n v="1499.9999999999995"/>
    <n v="599.99999999999989"/>
    <n v="0.4"/>
  </r>
  <r>
    <m/>
    <x v="0"/>
    <n v="1185732"/>
    <x v="112"/>
    <x v="3"/>
    <x v="40"/>
    <s v="Indianapolis"/>
    <x v="0"/>
    <n v="0.44999999999999996"/>
    <n v="4500"/>
    <n v="2024.9999999999998"/>
    <n v="810"/>
    <n v="0.4"/>
  </r>
  <r>
    <m/>
    <x v="0"/>
    <n v="1185732"/>
    <x v="112"/>
    <x v="3"/>
    <x v="40"/>
    <s v="Indianapolis"/>
    <x v="1"/>
    <n v="0.35000000000000003"/>
    <n v="3500"/>
    <n v="1225.0000000000002"/>
    <n v="490.00000000000011"/>
    <n v="0.4"/>
  </r>
  <r>
    <m/>
    <x v="0"/>
    <n v="1185732"/>
    <x v="112"/>
    <x v="3"/>
    <x v="40"/>
    <s v="Indianapolis"/>
    <x v="2"/>
    <n v="0.35000000000000003"/>
    <n v="2950"/>
    <n v="1032.5"/>
    <n v="413"/>
    <n v="0.4"/>
  </r>
  <r>
    <m/>
    <x v="0"/>
    <n v="1185732"/>
    <x v="112"/>
    <x v="3"/>
    <x v="40"/>
    <s v="Indianapolis"/>
    <x v="3"/>
    <n v="0.4"/>
    <n v="3250"/>
    <n v="1300"/>
    <n v="520"/>
    <n v="0.4"/>
  </r>
  <r>
    <m/>
    <x v="0"/>
    <n v="1185732"/>
    <x v="112"/>
    <x v="3"/>
    <x v="40"/>
    <s v="Indianapolis"/>
    <x v="4"/>
    <n v="0.65"/>
    <n v="3000"/>
    <n v="1950"/>
    <n v="780"/>
    <n v="0.4"/>
  </r>
  <r>
    <m/>
    <x v="0"/>
    <n v="1185732"/>
    <x v="112"/>
    <x v="3"/>
    <x v="40"/>
    <s v="Indianapolis"/>
    <x v="5"/>
    <n v="0.7"/>
    <n v="4000"/>
    <n v="2800"/>
    <n v="1120"/>
    <n v="0.4"/>
  </r>
  <r>
    <m/>
    <x v="0"/>
    <n v="1185732"/>
    <x v="113"/>
    <x v="3"/>
    <x v="40"/>
    <s v="Indianapolis"/>
    <x v="0"/>
    <n v="0.65"/>
    <n v="6500"/>
    <n v="4225"/>
    <n v="1690"/>
    <n v="0.4"/>
  </r>
  <r>
    <m/>
    <x v="0"/>
    <n v="1185732"/>
    <x v="113"/>
    <x v="3"/>
    <x v="40"/>
    <s v="Indianapolis"/>
    <x v="1"/>
    <n v="0.55000000000000004"/>
    <n v="4500"/>
    <n v="2475"/>
    <n v="990"/>
    <n v="0.4"/>
  </r>
  <r>
    <m/>
    <x v="0"/>
    <n v="1185732"/>
    <x v="113"/>
    <x v="3"/>
    <x v="40"/>
    <s v="Indianapolis"/>
    <x v="2"/>
    <n v="0.55000000000000004"/>
    <n v="4000"/>
    <n v="2200"/>
    <n v="880"/>
    <n v="0.4"/>
  </r>
  <r>
    <m/>
    <x v="0"/>
    <n v="1185732"/>
    <x v="113"/>
    <x v="3"/>
    <x v="40"/>
    <s v="Indianapolis"/>
    <x v="3"/>
    <n v="0.55000000000000004"/>
    <n v="3500"/>
    <n v="1925.0000000000002"/>
    <n v="770.00000000000011"/>
    <n v="0.4"/>
  </r>
  <r>
    <m/>
    <x v="0"/>
    <n v="1185732"/>
    <x v="113"/>
    <x v="3"/>
    <x v="40"/>
    <s v="Indianapolis"/>
    <x v="4"/>
    <n v="0.65"/>
    <n v="3500"/>
    <n v="2275"/>
    <n v="910"/>
    <n v="0.4"/>
  </r>
  <r>
    <m/>
    <x v="0"/>
    <n v="1185732"/>
    <x v="113"/>
    <x v="3"/>
    <x v="40"/>
    <s v="Indianapolis"/>
    <x v="5"/>
    <n v="0.7"/>
    <n v="4500"/>
    <n v="3150"/>
    <n v="1260"/>
    <n v="0.4"/>
  </r>
  <r>
    <s v="x"/>
    <x v="0"/>
    <n v="1185732"/>
    <x v="145"/>
    <x v="0"/>
    <x v="41"/>
    <s v="Charleston"/>
    <x v="0"/>
    <n v="0.35000000000000003"/>
    <n v="4250"/>
    <n v="1487.5000000000002"/>
    <n v="595.00000000000011"/>
    <n v="0.4"/>
  </r>
  <r>
    <m/>
    <x v="0"/>
    <n v="1185732"/>
    <x v="145"/>
    <x v="0"/>
    <x v="41"/>
    <s v="Charleston"/>
    <x v="1"/>
    <n v="0.35000000000000003"/>
    <n v="2250"/>
    <n v="787.50000000000011"/>
    <n v="275.625"/>
    <n v="0.35"/>
  </r>
  <r>
    <m/>
    <x v="0"/>
    <n v="1185732"/>
    <x v="145"/>
    <x v="0"/>
    <x v="41"/>
    <s v="Charleston"/>
    <x v="2"/>
    <n v="0.25000000000000006"/>
    <n v="2250"/>
    <n v="562.50000000000011"/>
    <n v="196.87500000000003"/>
    <n v="0.35"/>
  </r>
  <r>
    <m/>
    <x v="0"/>
    <n v="1185732"/>
    <x v="145"/>
    <x v="0"/>
    <x v="41"/>
    <s v="Charleston"/>
    <x v="3"/>
    <n v="0.3"/>
    <n v="750"/>
    <n v="225"/>
    <n v="78.75"/>
    <n v="0.35"/>
  </r>
  <r>
    <m/>
    <x v="0"/>
    <n v="1185732"/>
    <x v="145"/>
    <x v="0"/>
    <x v="41"/>
    <s v="Charleston"/>
    <x v="4"/>
    <n v="0.45"/>
    <n v="1250"/>
    <n v="562.5"/>
    <n v="168.75"/>
    <n v="0.3"/>
  </r>
  <r>
    <m/>
    <x v="0"/>
    <n v="1185732"/>
    <x v="145"/>
    <x v="0"/>
    <x v="41"/>
    <s v="Charleston"/>
    <x v="5"/>
    <n v="0.35000000000000003"/>
    <n v="2250"/>
    <n v="787.50000000000011"/>
    <n v="236.25000000000003"/>
    <n v="0.3"/>
  </r>
  <r>
    <m/>
    <x v="0"/>
    <n v="1185732"/>
    <x v="216"/>
    <x v="0"/>
    <x v="41"/>
    <s v="Charleston"/>
    <x v="0"/>
    <n v="0.35000000000000003"/>
    <n v="4750"/>
    <n v="1662.5000000000002"/>
    <n v="665.00000000000011"/>
    <n v="0.4"/>
  </r>
  <r>
    <m/>
    <x v="0"/>
    <n v="1185732"/>
    <x v="216"/>
    <x v="0"/>
    <x v="41"/>
    <s v="Charleston"/>
    <x v="1"/>
    <n v="0.35000000000000003"/>
    <n v="1250"/>
    <n v="437.50000000000006"/>
    <n v="153.125"/>
    <n v="0.35"/>
  </r>
  <r>
    <m/>
    <x v="0"/>
    <n v="1185732"/>
    <x v="216"/>
    <x v="0"/>
    <x v="41"/>
    <s v="Charleston"/>
    <x v="2"/>
    <n v="0.25000000000000006"/>
    <n v="1750"/>
    <n v="437.50000000000011"/>
    <n v="153.12500000000003"/>
    <n v="0.35"/>
  </r>
  <r>
    <m/>
    <x v="0"/>
    <n v="1185732"/>
    <x v="216"/>
    <x v="0"/>
    <x v="41"/>
    <s v="Charleston"/>
    <x v="3"/>
    <n v="0.3"/>
    <n v="500"/>
    <n v="150"/>
    <n v="52.5"/>
    <n v="0.35"/>
  </r>
  <r>
    <m/>
    <x v="0"/>
    <n v="1185732"/>
    <x v="216"/>
    <x v="0"/>
    <x v="41"/>
    <s v="Charleston"/>
    <x v="4"/>
    <n v="0.45"/>
    <n v="1250"/>
    <n v="562.5"/>
    <n v="168.75"/>
    <n v="0.3"/>
  </r>
  <r>
    <m/>
    <x v="0"/>
    <n v="1185732"/>
    <x v="216"/>
    <x v="0"/>
    <x v="41"/>
    <s v="Charleston"/>
    <x v="5"/>
    <n v="0.35000000000000003"/>
    <n v="2250"/>
    <n v="787.50000000000011"/>
    <n v="236.25000000000003"/>
    <n v="0.3"/>
  </r>
  <r>
    <m/>
    <x v="0"/>
    <n v="1185732"/>
    <x v="250"/>
    <x v="0"/>
    <x v="41"/>
    <s v="Charleston"/>
    <x v="0"/>
    <n v="0.35000000000000003"/>
    <n v="4450"/>
    <n v="1557.5000000000002"/>
    <n v="623.00000000000011"/>
    <n v="0.4"/>
  </r>
  <r>
    <m/>
    <x v="0"/>
    <n v="1185732"/>
    <x v="250"/>
    <x v="0"/>
    <x v="41"/>
    <s v="Charleston"/>
    <x v="1"/>
    <n v="0.35000000000000003"/>
    <n v="1500"/>
    <n v="525"/>
    <n v="183.75"/>
    <n v="0.35"/>
  </r>
  <r>
    <m/>
    <x v="0"/>
    <n v="1185732"/>
    <x v="250"/>
    <x v="0"/>
    <x v="41"/>
    <s v="Charleston"/>
    <x v="2"/>
    <n v="0.25000000000000006"/>
    <n v="1750"/>
    <n v="437.50000000000011"/>
    <n v="153.12500000000003"/>
    <n v="0.35"/>
  </r>
  <r>
    <m/>
    <x v="0"/>
    <n v="1185732"/>
    <x v="250"/>
    <x v="0"/>
    <x v="41"/>
    <s v="Charleston"/>
    <x v="3"/>
    <n v="0.3"/>
    <n v="250"/>
    <n v="75"/>
    <n v="26.25"/>
    <n v="0.35"/>
  </r>
  <r>
    <m/>
    <x v="0"/>
    <n v="1185732"/>
    <x v="250"/>
    <x v="0"/>
    <x v="41"/>
    <s v="Charleston"/>
    <x v="4"/>
    <n v="0.45"/>
    <n v="750"/>
    <n v="337.5"/>
    <n v="101.25"/>
    <n v="0.3"/>
  </r>
  <r>
    <m/>
    <x v="0"/>
    <n v="1185732"/>
    <x v="250"/>
    <x v="0"/>
    <x v="41"/>
    <s v="Charleston"/>
    <x v="5"/>
    <n v="0.35000000000000003"/>
    <n v="1750"/>
    <n v="612.50000000000011"/>
    <n v="183.75000000000003"/>
    <n v="0.3"/>
  </r>
  <r>
    <m/>
    <x v="0"/>
    <n v="1185732"/>
    <x v="251"/>
    <x v="0"/>
    <x v="41"/>
    <s v="Charleston"/>
    <x v="0"/>
    <n v="0.35000000000000003"/>
    <n v="4250"/>
    <n v="1487.5000000000002"/>
    <n v="595.00000000000011"/>
    <n v="0.4"/>
  </r>
  <r>
    <m/>
    <x v="0"/>
    <n v="1185732"/>
    <x v="251"/>
    <x v="0"/>
    <x v="41"/>
    <s v="Charleston"/>
    <x v="1"/>
    <n v="0.35000000000000003"/>
    <n v="1250"/>
    <n v="437.50000000000006"/>
    <n v="153.125"/>
    <n v="0.35"/>
  </r>
  <r>
    <m/>
    <x v="0"/>
    <n v="1185732"/>
    <x v="251"/>
    <x v="0"/>
    <x v="41"/>
    <s v="Charleston"/>
    <x v="2"/>
    <n v="0.25000000000000006"/>
    <n v="1250"/>
    <n v="312.50000000000006"/>
    <n v="109.37500000000001"/>
    <n v="0.35"/>
  </r>
  <r>
    <m/>
    <x v="0"/>
    <n v="1185732"/>
    <x v="251"/>
    <x v="0"/>
    <x v="41"/>
    <s v="Charleston"/>
    <x v="3"/>
    <n v="0.3"/>
    <n v="500"/>
    <n v="150"/>
    <n v="52.5"/>
    <n v="0.35"/>
  </r>
  <r>
    <m/>
    <x v="0"/>
    <n v="1185732"/>
    <x v="251"/>
    <x v="0"/>
    <x v="41"/>
    <s v="Charleston"/>
    <x v="4"/>
    <n v="0.45"/>
    <n v="500"/>
    <n v="225"/>
    <n v="67.5"/>
    <n v="0.3"/>
  </r>
  <r>
    <m/>
    <x v="0"/>
    <n v="1185732"/>
    <x v="251"/>
    <x v="0"/>
    <x v="41"/>
    <s v="Charleston"/>
    <x v="5"/>
    <n v="0.35000000000000003"/>
    <n v="2000"/>
    <n v="700.00000000000011"/>
    <n v="210.00000000000003"/>
    <n v="0.3"/>
  </r>
  <r>
    <m/>
    <x v="0"/>
    <n v="1185732"/>
    <x v="252"/>
    <x v="0"/>
    <x v="41"/>
    <s v="Charleston"/>
    <x v="0"/>
    <n v="0.49999999999999994"/>
    <n v="4700"/>
    <n v="2349.9999999999995"/>
    <n v="939.99999999999989"/>
    <n v="0.4"/>
  </r>
  <r>
    <m/>
    <x v="0"/>
    <n v="1185732"/>
    <x v="252"/>
    <x v="0"/>
    <x v="41"/>
    <s v="Charleston"/>
    <x v="1"/>
    <n v="0.45"/>
    <n v="1750"/>
    <n v="787.5"/>
    <n v="275.625"/>
    <n v="0.35"/>
  </r>
  <r>
    <m/>
    <x v="0"/>
    <n v="1185732"/>
    <x v="252"/>
    <x v="0"/>
    <x v="41"/>
    <s v="Charleston"/>
    <x v="2"/>
    <n v="0.4"/>
    <n v="1500"/>
    <n v="600"/>
    <n v="210"/>
    <n v="0.35"/>
  </r>
  <r>
    <m/>
    <x v="0"/>
    <n v="1185732"/>
    <x v="252"/>
    <x v="0"/>
    <x v="41"/>
    <s v="Charleston"/>
    <x v="3"/>
    <n v="0.4"/>
    <n v="1000"/>
    <n v="400"/>
    <n v="140"/>
    <n v="0.35"/>
  </r>
  <r>
    <m/>
    <x v="0"/>
    <n v="1185732"/>
    <x v="252"/>
    <x v="0"/>
    <x v="41"/>
    <s v="Charleston"/>
    <x v="4"/>
    <n v="0.49999999999999994"/>
    <n v="1250"/>
    <n v="624.99999999999989"/>
    <n v="187.49999999999997"/>
    <n v="0.3"/>
  </r>
  <r>
    <m/>
    <x v="0"/>
    <n v="1185732"/>
    <x v="252"/>
    <x v="0"/>
    <x v="41"/>
    <s v="Charleston"/>
    <x v="5"/>
    <n v="0.54999999999999993"/>
    <n v="2500"/>
    <n v="1374.9999999999998"/>
    <n v="412.49999999999994"/>
    <n v="0.3"/>
  </r>
  <r>
    <m/>
    <x v="0"/>
    <n v="1185732"/>
    <x v="220"/>
    <x v="0"/>
    <x v="41"/>
    <s v="Charleston"/>
    <x v="0"/>
    <n v="0.49999999999999994"/>
    <n v="5000"/>
    <n v="2499.9999999999995"/>
    <n v="999.99999999999989"/>
    <n v="0.4"/>
  </r>
  <r>
    <m/>
    <x v="0"/>
    <n v="1185732"/>
    <x v="220"/>
    <x v="0"/>
    <x v="41"/>
    <s v="Charleston"/>
    <x v="1"/>
    <n v="0.45"/>
    <n v="2500"/>
    <n v="1125"/>
    <n v="393.75"/>
    <n v="0.35"/>
  </r>
  <r>
    <m/>
    <x v="0"/>
    <n v="1185732"/>
    <x v="220"/>
    <x v="0"/>
    <x v="41"/>
    <s v="Charleston"/>
    <x v="2"/>
    <n v="0.4"/>
    <n v="1750"/>
    <n v="700"/>
    <n v="244.99999999999997"/>
    <n v="0.35"/>
  </r>
  <r>
    <m/>
    <x v="0"/>
    <n v="1185732"/>
    <x v="220"/>
    <x v="0"/>
    <x v="41"/>
    <s v="Charleston"/>
    <x v="3"/>
    <n v="0.4"/>
    <n v="1500"/>
    <n v="600"/>
    <n v="210"/>
    <n v="0.35"/>
  </r>
  <r>
    <m/>
    <x v="0"/>
    <n v="1185732"/>
    <x v="220"/>
    <x v="0"/>
    <x v="41"/>
    <s v="Charleston"/>
    <x v="4"/>
    <n v="0.49999999999999994"/>
    <n v="1500"/>
    <n v="749.99999999999989"/>
    <n v="224.99999999999997"/>
    <n v="0.3"/>
  </r>
  <r>
    <m/>
    <x v="0"/>
    <n v="1185732"/>
    <x v="220"/>
    <x v="0"/>
    <x v="41"/>
    <s v="Charleston"/>
    <x v="5"/>
    <n v="0.54999999999999993"/>
    <n v="3000"/>
    <n v="1649.9999999999998"/>
    <n v="494.99999999999989"/>
    <n v="0.3"/>
  </r>
  <r>
    <m/>
    <x v="0"/>
    <n v="1185732"/>
    <x v="253"/>
    <x v="0"/>
    <x v="41"/>
    <s v="Charleston"/>
    <x v="0"/>
    <n v="0.49999999999999994"/>
    <n v="5250"/>
    <n v="2624.9999999999995"/>
    <n v="1049.9999999999998"/>
    <n v="0.4"/>
  </r>
  <r>
    <m/>
    <x v="0"/>
    <n v="1185732"/>
    <x v="253"/>
    <x v="0"/>
    <x v="41"/>
    <s v="Charleston"/>
    <x v="1"/>
    <n v="0.45"/>
    <n v="2750"/>
    <n v="1237.5"/>
    <n v="433.125"/>
    <n v="0.35"/>
  </r>
  <r>
    <m/>
    <x v="0"/>
    <n v="1185732"/>
    <x v="253"/>
    <x v="0"/>
    <x v="41"/>
    <s v="Charleston"/>
    <x v="2"/>
    <n v="0.4"/>
    <n v="2000"/>
    <n v="800"/>
    <n v="280"/>
    <n v="0.35"/>
  </r>
  <r>
    <m/>
    <x v="0"/>
    <n v="1185732"/>
    <x v="253"/>
    <x v="0"/>
    <x v="41"/>
    <s v="Charleston"/>
    <x v="3"/>
    <n v="0.4"/>
    <n v="1500"/>
    <n v="600"/>
    <n v="210"/>
    <n v="0.35"/>
  </r>
  <r>
    <m/>
    <x v="0"/>
    <n v="1185732"/>
    <x v="253"/>
    <x v="0"/>
    <x v="41"/>
    <s v="Charleston"/>
    <x v="4"/>
    <n v="0.49999999999999994"/>
    <n v="1750"/>
    <n v="874.99999999999989"/>
    <n v="262.49999999999994"/>
    <n v="0.3"/>
  </r>
  <r>
    <m/>
    <x v="0"/>
    <n v="1185732"/>
    <x v="253"/>
    <x v="0"/>
    <x v="41"/>
    <s v="Charleston"/>
    <x v="5"/>
    <n v="0.54999999999999993"/>
    <n v="3500"/>
    <n v="1924.9999999999998"/>
    <n v="577.49999999999989"/>
    <n v="0.3"/>
  </r>
  <r>
    <m/>
    <x v="0"/>
    <n v="1185732"/>
    <x v="254"/>
    <x v="0"/>
    <x v="41"/>
    <s v="Charleston"/>
    <x v="0"/>
    <n v="0.49999999999999994"/>
    <n v="5000"/>
    <n v="2499.9999999999995"/>
    <n v="999.99999999999989"/>
    <n v="0.4"/>
  </r>
  <r>
    <m/>
    <x v="0"/>
    <n v="1185732"/>
    <x v="254"/>
    <x v="0"/>
    <x v="41"/>
    <s v="Charleston"/>
    <x v="1"/>
    <n v="0.45"/>
    <n v="2750"/>
    <n v="1237.5"/>
    <n v="433.125"/>
    <n v="0.35"/>
  </r>
  <r>
    <m/>
    <x v="0"/>
    <n v="1185732"/>
    <x v="254"/>
    <x v="0"/>
    <x v="41"/>
    <s v="Charleston"/>
    <x v="2"/>
    <n v="0.4"/>
    <n v="2000"/>
    <n v="800"/>
    <n v="280"/>
    <n v="0.35"/>
  </r>
  <r>
    <m/>
    <x v="0"/>
    <n v="1185732"/>
    <x v="254"/>
    <x v="0"/>
    <x v="41"/>
    <s v="Charleston"/>
    <x v="3"/>
    <n v="0.4"/>
    <n v="1500"/>
    <n v="600"/>
    <n v="210"/>
    <n v="0.35"/>
  </r>
  <r>
    <m/>
    <x v="0"/>
    <n v="1185732"/>
    <x v="254"/>
    <x v="0"/>
    <x v="41"/>
    <s v="Charleston"/>
    <x v="4"/>
    <n v="0.49999999999999994"/>
    <n v="1250"/>
    <n v="624.99999999999989"/>
    <n v="187.49999999999997"/>
    <n v="0.3"/>
  </r>
  <r>
    <m/>
    <x v="0"/>
    <n v="1185732"/>
    <x v="254"/>
    <x v="0"/>
    <x v="41"/>
    <s v="Charleston"/>
    <x v="5"/>
    <n v="0.54999999999999993"/>
    <n v="3000"/>
    <n v="1649.9999999999998"/>
    <n v="494.99999999999989"/>
    <n v="0.3"/>
  </r>
  <r>
    <m/>
    <x v="0"/>
    <n v="1185732"/>
    <x v="255"/>
    <x v="0"/>
    <x v="41"/>
    <s v="Charleston"/>
    <x v="0"/>
    <n v="0.49999999999999994"/>
    <n v="4250"/>
    <n v="2124.9999999999995"/>
    <n v="849.99999999999989"/>
    <n v="0.4"/>
  </r>
  <r>
    <m/>
    <x v="0"/>
    <n v="1185732"/>
    <x v="255"/>
    <x v="0"/>
    <x v="41"/>
    <s v="Charleston"/>
    <x v="1"/>
    <n v="0.45"/>
    <n v="2250"/>
    <n v="1012.5"/>
    <n v="354.375"/>
    <n v="0.35"/>
  </r>
  <r>
    <m/>
    <x v="0"/>
    <n v="1185732"/>
    <x v="255"/>
    <x v="0"/>
    <x v="41"/>
    <s v="Charleston"/>
    <x v="2"/>
    <n v="0.4"/>
    <n v="1250"/>
    <n v="500"/>
    <n v="175"/>
    <n v="0.35"/>
  </r>
  <r>
    <m/>
    <x v="0"/>
    <n v="1185732"/>
    <x v="255"/>
    <x v="0"/>
    <x v="41"/>
    <s v="Charleston"/>
    <x v="3"/>
    <n v="0.4"/>
    <n v="1000"/>
    <n v="400"/>
    <n v="140"/>
    <n v="0.35"/>
  </r>
  <r>
    <m/>
    <x v="0"/>
    <n v="1185732"/>
    <x v="255"/>
    <x v="0"/>
    <x v="41"/>
    <s v="Charleston"/>
    <x v="4"/>
    <n v="0.49999999999999994"/>
    <n v="1000"/>
    <n v="499.99999999999994"/>
    <n v="149.99999999999997"/>
    <n v="0.3"/>
  </r>
  <r>
    <m/>
    <x v="0"/>
    <n v="1185732"/>
    <x v="255"/>
    <x v="0"/>
    <x v="41"/>
    <s v="Charleston"/>
    <x v="5"/>
    <n v="0.54999999999999993"/>
    <n v="2000"/>
    <n v="1099.9999999999998"/>
    <n v="329.99999999999994"/>
    <n v="0.3"/>
  </r>
  <r>
    <m/>
    <x v="0"/>
    <n v="1185732"/>
    <x v="224"/>
    <x v="0"/>
    <x v="41"/>
    <s v="Charleston"/>
    <x v="0"/>
    <n v="0.54999999999999993"/>
    <n v="3750"/>
    <n v="2062.4999999999995"/>
    <n v="824.99999999999989"/>
    <n v="0.4"/>
  </r>
  <r>
    <m/>
    <x v="0"/>
    <n v="1185732"/>
    <x v="224"/>
    <x v="0"/>
    <x v="41"/>
    <s v="Charleston"/>
    <x v="1"/>
    <n v="0.5"/>
    <n v="2000"/>
    <n v="1000"/>
    <n v="350"/>
    <n v="0.35"/>
  </r>
  <r>
    <m/>
    <x v="0"/>
    <n v="1185732"/>
    <x v="224"/>
    <x v="0"/>
    <x v="41"/>
    <s v="Charleston"/>
    <x v="2"/>
    <n v="0.5"/>
    <n v="1000"/>
    <n v="500"/>
    <n v="175"/>
    <n v="0.35"/>
  </r>
  <r>
    <m/>
    <x v="0"/>
    <n v="1185732"/>
    <x v="224"/>
    <x v="0"/>
    <x v="41"/>
    <s v="Charleston"/>
    <x v="3"/>
    <n v="0.5"/>
    <n v="750"/>
    <n v="375"/>
    <n v="131.25"/>
    <n v="0.35"/>
  </r>
  <r>
    <m/>
    <x v="0"/>
    <n v="1185732"/>
    <x v="224"/>
    <x v="0"/>
    <x v="41"/>
    <s v="Charleston"/>
    <x v="4"/>
    <n v="0.6"/>
    <n v="750"/>
    <n v="450"/>
    <n v="135"/>
    <n v="0.3"/>
  </r>
  <r>
    <m/>
    <x v="0"/>
    <n v="1185732"/>
    <x v="224"/>
    <x v="0"/>
    <x v="41"/>
    <s v="Charleston"/>
    <x v="5"/>
    <n v="0.64999999999999991"/>
    <n v="2000"/>
    <n v="1299.9999999999998"/>
    <n v="389.99999999999994"/>
    <n v="0.3"/>
  </r>
  <r>
    <m/>
    <x v="0"/>
    <n v="1185732"/>
    <x v="256"/>
    <x v="0"/>
    <x v="41"/>
    <s v="Charleston"/>
    <x v="0"/>
    <n v="0.6"/>
    <n v="3500"/>
    <n v="2100"/>
    <n v="840"/>
    <n v="0.4"/>
  </r>
  <r>
    <m/>
    <x v="0"/>
    <n v="1185732"/>
    <x v="256"/>
    <x v="0"/>
    <x v="41"/>
    <s v="Charleston"/>
    <x v="1"/>
    <n v="0.5"/>
    <n v="1750"/>
    <n v="875"/>
    <n v="306.25"/>
    <n v="0.35"/>
  </r>
  <r>
    <m/>
    <x v="0"/>
    <n v="1185732"/>
    <x v="256"/>
    <x v="0"/>
    <x v="41"/>
    <s v="Charleston"/>
    <x v="2"/>
    <n v="0.5"/>
    <n v="1700"/>
    <n v="850"/>
    <n v="297.5"/>
    <n v="0.35"/>
  </r>
  <r>
    <m/>
    <x v="0"/>
    <n v="1185732"/>
    <x v="256"/>
    <x v="0"/>
    <x v="41"/>
    <s v="Charleston"/>
    <x v="3"/>
    <n v="0.5"/>
    <n v="1500"/>
    <n v="750"/>
    <n v="262.5"/>
    <n v="0.35"/>
  </r>
  <r>
    <m/>
    <x v="0"/>
    <n v="1185732"/>
    <x v="256"/>
    <x v="0"/>
    <x v="41"/>
    <s v="Charleston"/>
    <x v="4"/>
    <n v="0.6"/>
    <n v="1250"/>
    <n v="750"/>
    <n v="225"/>
    <n v="0.3"/>
  </r>
  <r>
    <m/>
    <x v="0"/>
    <n v="1185732"/>
    <x v="256"/>
    <x v="0"/>
    <x v="41"/>
    <s v="Charleston"/>
    <x v="5"/>
    <n v="0.64999999999999991"/>
    <n v="2250"/>
    <n v="1462.4999999999998"/>
    <n v="438.74999999999994"/>
    <n v="0.3"/>
  </r>
  <r>
    <m/>
    <x v="0"/>
    <n v="1185732"/>
    <x v="257"/>
    <x v="0"/>
    <x v="41"/>
    <s v="Charleston"/>
    <x v="0"/>
    <n v="0.6"/>
    <n v="4500"/>
    <n v="2700"/>
    <n v="1080"/>
    <n v="0.4"/>
  </r>
  <r>
    <m/>
    <x v="0"/>
    <n v="1185732"/>
    <x v="257"/>
    <x v="0"/>
    <x v="41"/>
    <s v="Charleston"/>
    <x v="1"/>
    <n v="0.5"/>
    <n v="2500"/>
    <n v="1250"/>
    <n v="437.5"/>
    <n v="0.35"/>
  </r>
  <r>
    <m/>
    <x v="0"/>
    <n v="1185732"/>
    <x v="257"/>
    <x v="0"/>
    <x v="41"/>
    <s v="Charleston"/>
    <x v="2"/>
    <n v="0.5"/>
    <n v="2250"/>
    <n v="1125"/>
    <n v="393.75"/>
    <n v="0.35"/>
  </r>
  <r>
    <m/>
    <x v="0"/>
    <n v="1185732"/>
    <x v="257"/>
    <x v="0"/>
    <x v="41"/>
    <s v="Charleston"/>
    <x v="3"/>
    <n v="0.5"/>
    <n v="1750"/>
    <n v="875"/>
    <n v="306.25"/>
    <n v="0.35"/>
  </r>
  <r>
    <m/>
    <x v="0"/>
    <n v="1185732"/>
    <x v="257"/>
    <x v="0"/>
    <x v="41"/>
    <s v="Charleston"/>
    <x v="4"/>
    <n v="0.6"/>
    <n v="1750"/>
    <n v="1050"/>
    <n v="315"/>
    <n v="0.3"/>
  </r>
  <r>
    <m/>
    <x v="0"/>
    <n v="1185732"/>
    <x v="257"/>
    <x v="0"/>
    <x v="41"/>
    <s v="Charleston"/>
    <x v="5"/>
    <n v="0.64999999999999991"/>
    <n v="2750"/>
    <n v="1787.4999999999998"/>
    <n v="536.24999999999989"/>
    <n v="0.3"/>
  </r>
  <r>
    <s v="x"/>
    <x v="0"/>
    <n v="1185732"/>
    <x v="102"/>
    <x v="0"/>
    <x v="42"/>
    <s v="Baltimore"/>
    <x v="0"/>
    <n v="0.4"/>
    <n v="5250"/>
    <n v="2100"/>
    <n v="735"/>
    <n v="0.35"/>
  </r>
  <r>
    <m/>
    <x v="0"/>
    <n v="1185732"/>
    <x v="102"/>
    <x v="0"/>
    <x v="42"/>
    <s v="Baltimore"/>
    <x v="1"/>
    <n v="0.4"/>
    <n v="3250"/>
    <n v="1300"/>
    <n v="454.99999999999994"/>
    <n v="0.35"/>
  </r>
  <r>
    <m/>
    <x v="0"/>
    <n v="1185732"/>
    <x v="102"/>
    <x v="0"/>
    <x v="42"/>
    <s v="Baltimore"/>
    <x v="2"/>
    <n v="0.30000000000000004"/>
    <n v="3250"/>
    <n v="975.00000000000011"/>
    <n v="390.00000000000006"/>
    <n v="0.4"/>
  </r>
  <r>
    <m/>
    <x v="0"/>
    <n v="1185732"/>
    <x v="102"/>
    <x v="0"/>
    <x v="42"/>
    <s v="Baltimore"/>
    <x v="3"/>
    <n v="0.35"/>
    <n v="1750"/>
    <n v="612.5"/>
    <n v="245"/>
    <n v="0.4"/>
  </r>
  <r>
    <m/>
    <x v="0"/>
    <n v="1185732"/>
    <x v="102"/>
    <x v="0"/>
    <x v="42"/>
    <s v="Baltimore"/>
    <x v="4"/>
    <n v="0.5"/>
    <n v="2250"/>
    <n v="1125"/>
    <n v="337.5"/>
    <n v="0.3"/>
  </r>
  <r>
    <m/>
    <x v="0"/>
    <n v="1185732"/>
    <x v="102"/>
    <x v="0"/>
    <x v="42"/>
    <s v="Baltimore"/>
    <x v="5"/>
    <n v="0.4"/>
    <n v="3250"/>
    <n v="1300"/>
    <n v="520"/>
    <n v="0.4"/>
  </r>
  <r>
    <m/>
    <x v="0"/>
    <n v="1185732"/>
    <x v="37"/>
    <x v="0"/>
    <x v="42"/>
    <s v="Baltimore"/>
    <x v="0"/>
    <n v="0.4"/>
    <n v="5750"/>
    <n v="2300"/>
    <n v="805"/>
    <n v="0.35"/>
  </r>
  <r>
    <m/>
    <x v="0"/>
    <n v="1185732"/>
    <x v="37"/>
    <x v="0"/>
    <x v="42"/>
    <s v="Baltimore"/>
    <x v="1"/>
    <n v="0.4"/>
    <n v="2250"/>
    <n v="900"/>
    <n v="315"/>
    <n v="0.35"/>
  </r>
  <r>
    <m/>
    <x v="0"/>
    <n v="1185732"/>
    <x v="37"/>
    <x v="0"/>
    <x v="42"/>
    <s v="Baltimore"/>
    <x v="2"/>
    <n v="0.30000000000000004"/>
    <n v="2750"/>
    <n v="825.00000000000011"/>
    <n v="330.00000000000006"/>
    <n v="0.4"/>
  </r>
  <r>
    <m/>
    <x v="0"/>
    <n v="1185732"/>
    <x v="37"/>
    <x v="0"/>
    <x v="42"/>
    <s v="Baltimore"/>
    <x v="3"/>
    <n v="0.35"/>
    <n v="1500"/>
    <n v="525"/>
    <n v="210"/>
    <n v="0.4"/>
  </r>
  <r>
    <m/>
    <x v="0"/>
    <n v="1185732"/>
    <x v="37"/>
    <x v="0"/>
    <x v="42"/>
    <s v="Baltimore"/>
    <x v="4"/>
    <n v="0.5"/>
    <n v="2250"/>
    <n v="1125"/>
    <n v="337.5"/>
    <n v="0.3"/>
  </r>
  <r>
    <m/>
    <x v="0"/>
    <n v="1185732"/>
    <x v="37"/>
    <x v="0"/>
    <x v="42"/>
    <s v="Baltimore"/>
    <x v="5"/>
    <n v="0.4"/>
    <n v="3250"/>
    <n v="1300"/>
    <n v="520"/>
    <n v="0.4"/>
  </r>
  <r>
    <m/>
    <x v="0"/>
    <n v="1185732"/>
    <x v="258"/>
    <x v="0"/>
    <x v="42"/>
    <s v="Baltimore"/>
    <x v="0"/>
    <n v="0.4"/>
    <n v="5450"/>
    <n v="2180"/>
    <n v="763"/>
    <n v="0.35"/>
  </r>
  <r>
    <m/>
    <x v="0"/>
    <n v="1185732"/>
    <x v="258"/>
    <x v="0"/>
    <x v="42"/>
    <s v="Baltimore"/>
    <x v="1"/>
    <n v="0.4"/>
    <n v="2500"/>
    <n v="1000"/>
    <n v="350"/>
    <n v="0.35"/>
  </r>
  <r>
    <m/>
    <x v="0"/>
    <n v="1185732"/>
    <x v="258"/>
    <x v="0"/>
    <x v="42"/>
    <s v="Baltimore"/>
    <x v="2"/>
    <n v="0.30000000000000004"/>
    <n v="2750"/>
    <n v="825.00000000000011"/>
    <n v="330.00000000000006"/>
    <n v="0.4"/>
  </r>
  <r>
    <m/>
    <x v="0"/>
    <n v="1185732"/>
    <x v="258"/>
    <x v="0"/>
    <x v="42"/>
    <s v="Baltimore"/>
    <x v="3"/>
    <n v="0.35"/>
    <n v="1250"/>
    <n v="437.5"/>
    <n v="175"/>
    <n v="0.4"/>
  </r>
  <r>
    <m/>
    <x v="0"/>
    <n v="1185732"/>
    <x v="258"/>
    <x v="0"/>
    <x v="42"/>
    <s v="Baltimore"/>
    <x v="4"/>
    <n v="0.5"/>
    <n v="1750"/>
    <n v="875"/>
    <n v="262.5"/>
    <n v="0.3"/>
  </r>
  <r>
    <m/>
    <x v="0"/>
    <n v="1185732"/>
    <x v="258"/>
    <x v="0"/>
    <x v="42"/>
    <s v="Baltimore"/>
    <x v="5"/>
    <n v="0.4"/>
    <n v="2750"/>
    <n v="1100"/>
    <n v="440"/>
    <n v="0.4"/>
  </r>
  <r>
    <m/>
    <x v="0"/>
    <n v="1185732"/>
    <x v="259"/>
    <x v="0"/>
    <x v="42"/>
    <s v="Baltimore"/>
    <x v="0"/>
    <n v="0.4"/>
    <n v="5250"/>
    <n v="2100"/>
    <n v="735"/>
    <n v="0.35"/>
  </r>
  <r>
    <m/>
    <x v="0"/>
    <n v="1185732"/>
    <x v="259"/>
    <x v="0"/>
    <x v="42"/>
    <s v="Baltimore"/>
    <x v="1"/>
    <n v="0.4"/>
    <n v="2250"/>
    <n v="900"/>
    <n v="315"/>
    <n v="0.35"/>
  </r>
  <r>
    <m/>
    <x v="0"/>
    <n v="1185732"/>
    <x v="259"/>
    <x v="0"/>
    <x v="42"/>
    <s v="Baltimore"/>
    <x v="2"/>
    <n v="0.30000000000000004"/>
    <n v="2250"/>
    <n v="675.00000000000011"/>
    <n v="270.00000000000006"/>
    <n v="0.4"/>
  </r>
  <r>
    <m/>
    <x v="0"/>
    <n v="1185732"/>
    <x v="259"/>
    <x v="0"/>
    <x v="42"/>
    <s v="Baltimore"/>
    <x v="3"/>
    <n v="0.35"/>
    <n v="1500"/>
    <n v="525"/>
    <n v="210"/>
    <n v="0.4"/>
  </r>
  <r>
    <m/>
    <x v="0"/>
    <n v="1185732"/>
    <x v="259"/>
    <x v="0"/>
    <x v="42"/>
    <s v="Baltimore"/>
    <x v="4"/>
    <n v="0.5"/>
    <n v="1500"/>
    <n v="750"/>
    <n v="225"/>
    <n v="0.3"/>
  </r>
  <r>
    <m/>
    <x v="0"/>
    <n v="1185732"/>
    <x v="259"/>
    <x v="0"/>
    <x v="42"/>
    <s v="Baltimore"/>
    <x v="5"/>
    <n v="0.4"/>
    <n v="3000"/>
    <n v="1200"/>
    <n v="480"/>
    <n v="0.4"/>
  </r>
  <r>
    <m/>
    <x v="0"/>
    <n v="1185732"/>
    <x v="236"/>
    <x v="0"/>
    <x v="42"/>
    <s v="Baltimore"/>
    <x v="0"/>
    <n v="0.54999999999999993"/>
    <n v="5700"/>
    <n v="3134.9999999999995"/>
    <n v="1097.2499999999998"/>
    <n v="0.35"/>
  </r>
  <r>
    <m/>
    <x v="0"/>
    <n v="1185732"/>
    <x v="236"/>
    <x v="0"/>
    <x v="42"/>
    <s v="Baltimore"/>
    <x v="1"/>
    <n v="0.5"/>
    <n v="2750"/>
    <n v="1375"/>
    <n v="481.24999999999994"/>
    <n v="0.35"/>
  </r>
  <r>
    <m/>
    <x v="0"/>
    <n v="1185732"/>
    <x v="236"/>
    <x v="0"/>
    <x v="42"/>
    <s v="Baltimore"/>
    <x v="2"/>
    <n v="0.45"/>
    <n v="3000"/>
    <n v="1350"/>
    <n v="540"/>
    <n v="0.4"/>
  </r>
  <r>
    <m/>
    <x v="0"/>
    <n v="1185732"/>
    <x v="236"/>
    <x v="0"/>
    <x v="42"/>
    <s v="Baltimore"/>
    <x v="3"/>
    <n v="0.45"/>
    <n v="2500"/>
    <n v="1125"/>
    <n v="450"/>
    <n v="0.4"/>
  </r>
  <r>
    <m/>
    <x v="0"/>
    <n v="1185732"/>
    <x v="236"/>
    <x v="0"/>
    <x v="42"/>
    <s v="Baltimore"/>
    <x v="4"/>
    <n v="0.54999999999999993"/>
    <n v="2750"/>
    <n v="1512.4999999999998"/>
    <n v="453.74999999999994"/>
    <n v="0.3"/>
  </r>
  <r>
    <m/>
    <x v="0"/>
    <n v="1185732"/>
    <x v="236"/>
    <x v="0"/>
    <x v="42"/>
    <s v="Baltimore"/>
    <x v="5"/>
    <n v="0.6"/>
    <n v="4000"/>
    <n v="2400"/>
    <n v="960"/>
    <n v="0.4"/>
  </r>
  <r>
    <m/>
    <x v="0"/>
    <n v="1185732"/>
    <x v="41"/>
    <x v="0"/>
    <x v="42"/>
    <s v="Baltimore"/>
    <x v="0"/>
    <n v="0.54999999999999993"/>
    <n v="6500"/>
    <n v="3574.9999999999995"/>
    <n v="1251.2499999999998"/>
    <n v="0.35"/>
  </r>
  <r>
    <m/>
    <x v="0"/>
    <n v="1185732"/>
    <x v="41"/>
    <x v="0"/>
    <x v="42"/>
    <s v="Baltimore"/>
    <x v="1"/>
    <n v="0.5"/>
    <n v="4000"/>
    <n v="2000"/>
    <n v="700"/>
    <n v="0.35"/>
  </r>
  <r>
    <m/>
    <x v="0"/>
    <n v="1185732"/>
    <x v="41"/>
    <x v="0"/>
    <x v="42"/>
    <s v="Baltimore"/>
    <x v="2"/>
    <n v="0.45"/>
    <n v="3250"/>
    <n v="1462.5"/>
    <n v="585"/>
    <n v="0.4"/>
  </r>
  <r>
    <m/>
    <x v="0"/>
    <n v="1185732"/>
    <x v="41"/>
    <x v="0"/>
    <x v="42"/>
    <s v="Baltimore"/>
    <x v="3"/>
    <n v="0.45"/>
    <n v="3000"/>
    <n v="1350"/>
    <n v="540"/>
    <n v="0.4"/>
  </r>
  <r>
    <m/>
    <x v="0"/>
    <n v="1185732"/>
    <x v="41"/>
    <x v="0"/>
    <x v="42"/>
    <s v="Baltimore"/>
    <x v="4"/>
    <n v="0.54999999999999993"/>
    <n v="3000"/>
    <n v="1649.9999999999998"/>
    <n v="494.99999999999989"/>
    <n v="0.3"/>
  </r>
  <r>
    <m/>
    <x v="0"/>
    <n v="1185732"/>
    <x v="41"/>
    <x v="0"/>
    <x v="42"/>
    <s v="Baltimore"/>
    <x v="5"/>
    <n v="0.6"/>
    <n v="4500"/>
    <n v="2700"/>
    <n v="1080"/>
    <n v="0.4"/>
  </r>
  <r>
    <m/>
    <x v="0"/>
    <n v="1185732"/>
    <x v="260"/>
    <x v="0"/>
    <x v="42"/>
    <s v="Baltimore"/>
    <x v="0"/>
    <n v="0.54999999999999993"/>
    <n v="6750"/>
    <n v="3712.4999999999995"/>
    <n v="1299.3749999999998"/>
    <n v="0.35"/>
  </r>
  <r>
    <m/>
    <x v="0"/>
    <n v="1185732"/>
    <x v="260"/>
    <x v="0"/>
    <x v="42"/>
    <s v="Baltimore"/>
    <x v="1"/>
    <n v="0.5"/>
    <n v="4250"/>
    <n v="2125"/>
    <n v="743.75"/>
    <n v="0.35"/>
  </r>
  <r>
    <m/>
    <x v="0"/>
    <n v="1185732"/>
    <x v="260"/>
    <x v="0"/>
    <x v="42"/>
    <s v="Baltimore"/>
    <x v="2"/>
    <n v="0.45"/>
    <n v="3500"/>
    <n v="1575"/>
    <n v="630"/>
    <n v="0.4"/>
  </r>
  <r>
    <m/>
    <x v="0"/>
    <n v="1185732"/>
    <x v="260"/>
    <x v="0"/>
    <x v="42"/>
    <s v="Baltimore"/>
    <x v="3"/>
    <n v="0.45"/>
    <n v="3000"/>
    <n v="1350"/>
    <n v="540"/>
    <n v="0.4"/>
  </r>
  <r>
    <m/>
    <x v="0"/>
    <n v="1185732"/>
    <x v="260"/>
    <x v="0"/>
    <x v="42"/>
    <s v="Baltimore"/>
    <x v="4"/>
    <n v="0.54999999999999993"/>
    <n v="3250"/>
    <n v="1787.4999999999998"/>
    <n v="536.24999999999989"/>
    <n v="0.3"/>
  </r>
  <r>
    <m/>
    <x v="0"/>
    <n v="1185732"/>
    <x v="260"/>
    <x v="0"/>
    <x v="42"/>
    <s v="Baltimore"/>
    <x v="5"/>
    <n v="0.6"/>
    <n v="5000"/>
    <n v="3000"/>
    <n v="1200"/>
    <n v="0.4"/>
  </r>
  <r>
    <m/>
    <x v="0"/>
    <n v="1185732"/>
    <x v="261"/>
    <x v="0"/>
    <x v="42"/>
    <s v="Baltimore"/>
    <x v="0"/>
    <n v="0.54999999999999993"/>
    <n v="6500"/>
    <n v="3574.9999999999995"/>
    <n v="1251.2499999999998"/>
    <n v="0.35"/>
  </r>
  <r>
    <m/>
    <x v="0"/>
    <n v="1185732"/>
    <x v="261"/>
    <x v="0"/>
    <x v="42"/>
    <s v="Baltimore"/>
    <x v="1"/>
    <n v="0.5"/>
    <n v="4250"/>
    <n v="2125"/>
    <n v="743.75"/>
    <n v="0.35"/>
  </r>
  <r>
    <m/>
    <x v="0"/>
    <n v="1185732"/>
    <x v="261"/>
    <x v="0"/>
    <x v="42"/>
    <s v="Baltimore"/>
    <x v="2"/>
    <n v="0.45"/>
    <n v="3500"/>
    <n v="1575"/>
    <n v="630"/>
    <n v="0.4"/>
  </r>
  <r>
    <m/>
    <x v="0"/>
    <n v="1185732"/>
    <x v="261"/>
    <x v="0"/>
    <x v="42"/>
    <s v="Baltimore"/>
    <x v="3"/>
    <n v="0.45"/>
    <n v="2500"/>
    <n v="1125"/>
    <n v="450"/>
    <n v="0.4"/>
  </r>
  <r>
    <m/>
    <x v="0"/>
    <n v="1185732"/>
    <x v="261"/>
    <x v="0"/>
    <x v="42"/>
    <s v="Baltimore"/>
    <x v="4"/>
    <n v="0.54999999999999993"/>
    <n v="2250"/>
    <n v="1237.4999999999998"/>
    <n v="371.24999999999994"/>
    <n v="0.3"/>
  </r>
  <r>
    <m/>
    <x v="0"/>
    <n v="1185732"/>
    <x v="261"/>
    <x v="0"/>
    <x v="42"/>
    <s v="Baltimore"/>
    <x v="5"/>
    <n v="0.6"/>
    <n v="4000"/>
    <n v="2400"/>
    <n v="960"/>
    <n v="0.4"/>
  </r>
  <r>
    <m/>
    <x v="0"/>
    <n v="1185732"/>
    <x v="239"/>
    <x v="0"/>
    <x v="42"/>
    <s v="Baltimore"/>
    <x v="0"/>
    <n v="0.54999999999999993"/>
    <n v="5250"/>
    <n v="2887.4999999999995"/>
    <n v="1010.6249999999998"/>
    <n v="0.35"/>
  </r>
  <r>
    <m/>
    <x v="0"/>
    <n v="1185732"/>
    <x v="239"/>
    <x v="0"/>
    <x v="42"/>
    <s v="Baltimore"/>
    <x v="1"/>
    <n v="0.5"/>
    <n v="3250"/>
    <n v="1625"/>
    <n v="568.75"/>
    <n v="0.35"/>
  </r>
  <r>
    <m/>
    <x v="0"/>
    <n v="1185732"/>
    <x v="239"/>
    <x v="0"/>
    <x v="42"/>
    <s v="Baltimore"/>
    <x v="2"/>
    <n v="0.45"/>
    <n v="2250"/>
    <n v="1012.5"/>
    <n v="405"/>
    <n v="0.4"/>
  </r>
  <r>
    <m/>
    <x v="0"/>
    <n v="1185732"/>
    <x v="239"/>
    <x v="0"/>
    <x v="42"/>
    <s v="Baltimore"/>
    <x v="3"/>
    <n v="0.45"/>
    <n v="2000"/>
    <n v="900"/>
    <n v="360"/>
    <n v="0.4"/>
  </r>
  <r>
    <m/>
    <x v="0"/>
    <n v="1185732"/>
    <x v="239"/>
    <x v="0"/>
    <x v="42"/>
    <s v="Baltimore"/>
    <x v="4"/>
    <n v="0.54999999999999993"/>
    <n v="2000"/>
    <n v="1099.9999999999998"/>
    <n v="329.99999999999994"/>
    <n v="0.3"/>
  </r>
  <r>
    <m/>
    <x v="0"/>
    <n v="1185732"/>
    <x v="239"/>
    <x v="0"/>
    <x v="42"/>
    <s v="Baltimore"/>
    <x v="5"/>
    <n v="0.6"/>
    <n v="3000"/>
    <n v="1800"/>
    <n v="720"/>
    <n v="0.4"/>
  </r>
  <r>
    <m/>
    <x v="0"/>
    <n v="1185732"/>
    <x v="45"/>
    <x v="0"/>
    <x v="42"/>
    <s v="Baltimore"/>
    <x v="0"/>
    <n v="0.6"/>
    <n v="4750"/>
    <n v="2850"/>
    <n v="997.49999999999989"/>
    <n v="0.35"/>
  </r>
  <r>
    <m/>
    <x v="0"/>
    <n v="1185732"/>
    <x v="45"/>
    <x v="0"/>
    <x v="42"/>
    <s v="Baltimore"/>
    <x v="1"/>
    <n v="0.55000000000000004"/>
    <n v="3000"/>
    <n v="1650.0000000000002"/>
    <n v="577.5"/>
    <n v="0.35"/>
  </r>
  <r>
    <m/>
    <x v="0"/>
    <n v="1185732"/>
    <x v="45"/>
    <x v="0"/>
    <x v="42"/>
    <s v="Baltimore"/>
    <x v="2"/>
    <n v="0.55000000000000004"/>
    <n v="2000"/>
    <n v="1100"/>
    <n v="440"/>
    <n v="0.4"/>
  </r>
  <r>
    <m/>
    <x v="0"/>
    <n v="1185732"/>
    <x v="45"/>
    <x v="0"/>
    <x v="42"/>
    <s v="Baltimore"/>
    <x v="3"/>
    <n v="0.55000000000000004"/>
    <n v="1750"/>
    <n v="962.50000000000011"/>
    <n v="385.00000000000006"/>
    <n v="0.4"/>
  </r>
  <r>
    <m/>
    <x v="0"/>
    <n v="1185732"/>
    <x v="45"/>
    <x v="0"/>
    <x v="42"/>
    <s v="Baltimore"/>
    <x v="4"/>
    <n v="0.65"/>
    <n v="1750"/>
    <n v="1137.5"/>
    <n v="341.25"/>
    <n v="0.3"/>
  </r>
  <r>
    <m/>
    <x v="0"/>
    <n v="1185732"/>
    <x v="45"/>
    <x v="0"/>
    <x v="42"/>
    <s v="Baltimore"/>
    <x v="5"/>
    <n v="0.7"/>
    <n v="3000"/>
    <n v="2100"/>
    <n v="840"/>
    <n v="0.4"/>
  </r>
  <r>
    <m/>
    <x v="0"/>
    <n v="1185732"/>
    <x v="262"/>
    <x v="0"/>
    <x v="42"/>
    <s v="Baltimore"/>
    <x v="0"/>
    <n v="0.65"/>
    <n v="4500"/>
    <n v="2925"/>
    <n v="1023.7499999999999"/>
    <n v="0.35"/>
  </r>
  <r>
    <m/>
    <x v="0"/>
    <n v="1185732"/>
    <x v="262"/>
    <x v="0"/>
    <x v="42"/>
    <s v="Baltimore"/>
    <x v="1"/>
    <n v="0.55000000000000004"/>
    <n v="3250"/>
    <n v="1787.5000000000002"/>
    <n v="625.625"/>
    <n v="0.35"/>
  </r>
  <r>
    <m/>
    <x v="0"/>
    <n v="1185732"/>
    <x v="262"/>
    <x v="0"/>
    <x v="42"/>
    <s v="Baltimore"/>
    <x v="2"/>
    <n v="0.55000000000000004"/>
    <n v="3200"/>
    <n v="1760.0000000000002"/>
    <n v="704.00000000000011"/>
    <n v="0.4"/>
  </r>
  <r>
    <m/>
    <x v="0"/>
    <n v="1185732"/>
    <x v="262"/>
    <x v="0"/>
    <x v="42"/>
    <s v="Baltimore"/>
    <x v="3"/>
    <n v="0.55000000000000004"/>
    <n v="3000"/>
    <n v="1650.0000000000002"/>
    <n v="660.00000000000011"/>
    <n v="0.4"/>
  </r>
  <r>
    <m/>
    <x v="0"/>
    <n v="1185732"/>
    <x v="262"/>
    <x v="0"/>
    <x v="42"/>
    <s v="Baltimore"/>
    <x v="4"/>
    <n v="0.65"/>
    <n v="2750"/>
    <n v="1787.5"/>
    <n v="536.25"/>
    <n v="0.3"/>
  </r>
  <r>
    <m/>
    <x v="0"/>
    <n v="1185732"/>
    <x v="262"/>
    <x v="0"/>
    <x v="42"/>
    <s v="Baltimore"/>
    <x v="5"/>
    <n v="0.7"/>
    <n v="3750"/>
    <n v="2625"/>
    <n v="1050"/>
    <n v="0.4"/>
  </r>
  <r>
    <m/>
    <x v="0"/>
    <n v="1185732"/>
    <x v="263"/>
    <x v="0"/>
    <x v="42"/>
    <s v="Baltimore"/>
    <x v="0"/>
    <n v="0.65"/>
    <n v="6000"/>
    <n v="3900"/>
    <n v="1365"/>
    <n v="0.35"/>
  </r>
  <r>
    <m/>
    <x v="0"/>
    <n v="1185732"/>
    <x v="263"/>
    <x v="0"/>
    <x v="42"/>
    <s v="Baltimore"/>
    <x v="1"/>
    <n v="0.55000000000000004"/>
    <n v="4000"/>
    <n v="2200"/>
    <n v="770"/>
    <n v="0.35"/>
  </r>
  <r>
    <m/>
    <x v="0"/>
    <n v="1185732"/>
    <x v="263"/>
    <x v="0"/>
    <x v="42"/>
    <s v="Baltimore"/>
    <x v="2"/>
    <n v="0.55000000000000004"/>
    <n v="3750"/>
    <n v="2062.5"/>
    <n v="825"/>
    <n v="0.4"/>
  </r>
  <r>
    <m/>
    <x v="0"/>
    <n v="1185732"/>
    <x v="263"/>
    <x v="0"/>
    <x v="42"/>
    <s v="Baltimore"/>
    <x v="3"/>
    <n v="0.55000000000000004"/>
    <n v="3250"/>
    <n v="1787.5000000000002"/>
    <n v="715.00000000000011"/>
    <n v="0.4"/>
  </r>
  <r>
    <m/>
    <x v="0"/>
    <n v="1185732"/>
    <x v="263"/>
    <x v="0"/>
    <x v="42"/>
    <s v="Baltimore"/>
    <x v="4"/>
    <n v="0.65"/>
    <n v="3250"/>
    <n v="2112.5"/>
    <n v="633.75"/>
    <n v="0.3"/>
  </r>
  <r>
    <m/>
    <x v="0"/>
    <n v="1185732"/>
    <x v="263"/>
    <x v="0"/>
    <x v="42"/>
    <s v="Baltimore"/>
    <x v="5"/>
    <n v="0.7"/>
    <n v="4250"/>
    <n v="2975"/>
    <n v="1190"/>
    <n v="0.4"/>
  </r>
  <r>
    <s v="x"/>
    <x v="0"/>
    <n v="1185732"/>
    <x v="136"/>
    <x v="0"/>
    <x v="43"/>
    <s v="Wilmington"/>
    <x v="0"/>
    <n v="0.35000000000000003"/>
    <n v="4750"/>
    <n v="1662.5000000000002"/>
    <n v="581.875"/>
    <n v="0.35"/>
  </r>
  <r>
    <m/>
    <x v="0"/>
    <n v="1185732"/>
    <x v="136"/>
    <x v="0"/>
    <x v="43"/>
    <s v="Wilmington"/>
    <x v="1"/>
    <n v="0.35000000000000003"/>
    <n v="2750"/>
    <n v="962.50000000000011"/>
    <n v="336.875"/>
    <n v="0.35"/>
  </r>
  <r>
    <m/>
    <x v="0"/>
    <n v="1185732"/>
    <x v="136"/>
    <x v="0"/>
    <x v="43"/>
    <s v="Wilmington"/>
    <x v="2"/>
    <n v="0.25000000000000006"/>
    <n v="2750"/>
    <n v="687.50000000000011"/>
    <n v="275.00000000000006"/>
    <n v="0.4"/>
  </r>
  <r>
    <m/>
    <x v="0"/>
    <n v="1185732"/>
    <x v="136"/>
    <x v="0"/>
    <x v="43"/>
    <s v="Wilmington"/>
    <x v="3"/>
    <n v="0.3"/>
    <n v="1250"/>
    <n v="375"/>
    <n v="150"/>
    <n v="0.4"/>
  </r>
  <r>
    <m/>
    <x v="0"/>
    <n v="1185732"/>
    <x v="136"/>
    <x v="0"/>
    <x v="43"/>
    <s v="Wilmington"/>
    <x v="4"/>
    <n v="0.45"/>
    <n v="1750"/>
    <n v="787.5"/>
    <n v="236.25"/>
    <n v="0.3"/>
  </r>
  <r>
    <m/>
    <x v="0"/>
    <n v="1185732"/>
    <x v="136"/>
    <x v="0"/>
    <x v="43"/>
    <s v="Wilmington"/>
    <x v="5"/>
    <n v="0.35000000000000003"/>
    <n v="2750"/>
    <n v="962.50000000000011"/>
    <n v="385.00000000000006"/>
    <n v="0.4"/>
  </r>
  <r>
    <m/>
    <x v="0"/>
    <n v="1185732"/>
    <x v="264"/>
    <x v="0"/>
    <x v="43"/>
    <s v="Wilmington"/>
    <x v="0"/>
    <n v="0.35000000000000003"/>
    <n v="5250"/>
    <n v="1837.5000000000002"/>
    <n v="643.125"/>
    <n v="0.35"/>
  </r>
  <r>
    <m/>
    <x v="0"/>
    <n v="1185732"/>
    <x v="264"/>
    <x v="0"/>
    <x v="43"/>
    <s v="Wilmington"/>
    <x v="1"/>
    <n v="0.35000000000000003"/>
    <n v="1750"/>
    <n v="612.50000000000011"/>
    <n v="214.37500000000003"/>
    <n v="0.35"/>
  </r>
  <r>
    <m/>
    <x v="0"/>
    <n v="1185732"/>
    <x v="264"/>
    <x v="0"/>
    <x v="43"/>
    <s v="Wilmington"/>
    <x v="2"/>
    <n v="0.25000000000000006"/>
    <n v="2250"/>
    <n v="562.50000000000011"/>
    <n v="225.00000000000006"/>
    <n v="0.4"/>
  </r>
  <r>
    <m/>
    <x v="0"/>
    <n v="1185732"/>
    <x v="264"/>
    <x v="0"/>
    <x v="43"/>
    <s v="Wilmington"/>
    <x v="3"/>
    <n v="0.3"/>
    <n v="1000"/>
    <n v="300"/>
    <n v="120"/>
    <n v="0.4"/>
  </r>
  <r>
    <m/>
    <x v="0"/>
    <n v="1185732"/>
    <x v="264"/>
    <x v="0"/>
    <x v="43"/>
    <s v="Wilmington"/>
    <x v="4"/>
    <n v="0.45"/>
    <n v="1750"/>
    <n v="787.5"/>
    <n v="236.25"/>
    <n v="0.3"/>
  </r>
  <r>
    <m/>
    <x v="0"/>
    <n v="1185732"/>
    <x v="264"/>
    <x v="0"/>
    <x v="43"/>
    <s v="Wilmington"/>
    <x v="5"/>
    <n v="0.35000000000000003"/>
    <n v="2750"/>
    <n v="962.50000000000011"/>
    <n v="385.00000000000006"/>
    <n v="0.4"/>
  </r>
  <r>
    <m/>
    <x v="0"/>
    <n v="1185732"/>
    <x v="173"/>
    <x v="0"/>
    <x v="43"/>
    <s v="Wilmington"/>
    <x v="0"/>
    <n v="0.35000000000000003"/>
    <n v="4950"/>
    <n v="1732.5000000000002"/>
    <n v="606.375"/>
    <n v="0.35"/>
  </r>
  <r>
    <m/>
    <x v="0"/>
    <n v="1185732"/>
    <x v="173"/>
    <x v="0"/>
    <x v="43"/>
    <s v="Wilmington"/>
    <x v="1"/>
    <n v="0.35000000000000003"/>
    <n v="2000"/>
    <n v="700.00000000000011"/>
    <n v="245.00000000000003"/>
    <n v="0.35"/>
  </r>
  <r>
    <m/>
    <x v="0"/>
    <n v="1185732"/>
    <x v="173"/>
    <x v="0"/>
    <x v="43"/>
    <s v="Wilmington"/>
    <x v="2"/>
    <n v="0.25000000000000006"/>
    <n v="2250"/>
    <n v="562.50000000000011"/>
    <n v="225.00000000000006"/>
    <n v="0.4"/>
  </r>
  <r>
    <m/>
    <x v="0"/>
    <n v="1185732"/>
    <x v="173"/>
    <x v="0"/>
    <x v="43"/>
    <s v="Wilmington"/>
    <x v="3"/>
    <n v="0.3"/>
    <n v="750"/>
    <n v="225"/>
    <n v="90"/>
    <n v="0.4"/>
  </r>
  <r>
    <m/>
    <x v="0"/>
    <n v="1185732"/>
    <x v="173"/>
    <x v="0"/>
    <x v="43"/>
    <s v="Wilmington"/>
    <x v="4"/>
    <n v="0.45"/>
    <n v="1250"/>
    <n v="562.5"/>
    <n v="168.75"/>
    <n v="0.3"/>
  </r>
  <r>
    <m/>
    <x v="0"/>
    <n v="1185732"/>
    <x v="173"/>
    <x v="0"/>
    <x v="43"/>
    <s v="Wilmington"/>
    <x v="5"/>
    <n v="0.35000000000000003"/>
    <n v="2250"/>
    <n v="787.50000000000011"/>
    <n v="315.00000000000006"/>
    <n v="0.4"/>
  </r>
  <r>
    <m/>
    <x v="0"/>
    <n v="1185732"/>
    <x v="265"/>
    <x v="0"/>
    <x v="43"/>
    <s v="Wilmington"/>
    <x v="0"/>
    <n v="0.35000000000000003"/>
    <n v="4750"/>
    <n v="1662.5000000000002"/>
    <n v="581.875"/>
    <n v="0.35"/>
  </r>
  <r>
    <m/>
    <x v="0"/>
    <n v="1185732"/>
    <x v="265"/>
    <x v="0"/>
    <x v="43"/>
    <s v="Wilmington"/>
    <x v="1"/>
    <n v="0.35000000000000003"/>
    <n v="1750"/>
    <n v="612.50000000000011"/>
    <n v="214.37500000000003"/>
    <n v="0.35"/>
  </r>
  <r>
    <m/>
    <x v="0"/>
    <n v="1185732"/>
    <x v="265"/>
    <x v="0"/>
    <x v="43"/>
    <s v="Wilmington"/>
    <x v="2"/>
    <n v="0.25000000000000006"/>
    <n v="1750"/>
    <n v="437.50000000000011"/>
    <n v="175.00000000000006"/>
    <n v="0.4"/>
  </r>
  <r>
    <m/>
    <x v="0"/>
    <n v="1185732"/>
    <x v="265"/>
    <x v="0"/>
    <x v="43"/>
    <s v="Wilmington"/>
    <x v="3"/>
    <n v="0.3"/>
    <n v="1000"/>
    <n v="300"/>
    <n v="120"/>
    <n v="0.4"/>
  </r>
  <r>
    <m/>
    <x v="0"/>
    <n v="1185732"/>
    <x v="265"/>
    <x v="0"/>
    <x v="43"/>
    <s v="Wilmington"/>
    <x v="4"/>
    <n v="0.45"/>
    <n v="1000"/>
    <n v="450"/>
    <n v="135"/>
    <n v="0.3"/>
  </r>
  <r>
    <m/>
    <x v="0"/>
    <n v="1185732"/>
    <x v="265"/>
    <x v="0"/>
    <x v="43"/>
    <s v="Wilmington"/>
    <x v="5"/>
    <n v="0.35000000000000003"/>
    <n v="2500"/>
    <n v="875.00000000000011"/>
    <n v="350.00000000000006"/>
    <n v="0.4"/>
  </r>
  <r>
    <m/>
    <x v="0"/>
    <n v="1185732"/>
    <x v="61"/>
    <x v="0"/>
    <x v="43"/>
    <s v="Wilmington"/>
    <x v="0"/>
    <n v="0.49999999999999994"/>
    <n v="5200"/>
    <n v="2599.9999999999995"/>
    <n v="909.99999999999977"/>
    <n v="0.35"/>
  </r>
  <r>
    <m/>
    <x v="0"/>
    <n v="1185732"/>
    <x v="61"/>
    <x v="0"/>
    <x v="43"/>
    <s v="Wilmington"/>
    <x v="1"/>
    <n v="0.45"/>
    <n v="2250"/>
    <n v="1012.5"/>
    <n v="354.375"/>
    <n v="0.35"/>
  </r>
  <r>
    <m/>
    <x v="0"/>
    <n v="1185732"/>
    <x v="61"/>
    <x v="0"/>
    <x v="43"/>
    <s v="Wilmington"/>
    <x v="2"/>
    <n v="0.4"/>
    <n v="2500"/>
    <n v="1000"/>
    <n v="400"/>
    <n v="0.4"/>
  </r>
  <r>
    <m/>
    <x v="0"/>
    <n v="1185732"/>
    <x v="61"/>
    <x v="0"/>
    <x v="43"/>
    <s v="Wilmington"/>
    <x v="3"/>
    <n v="0.4"/>
    <n v="2000"/>
    <n v="800"/>
    <n v="320"/>
    <n v="0.4"/>
  </r>
  <r>
    <m/>
    <x v="0"/>
    <n v="1185732"/>
    <x v="61"/>
    <x v="0"/>
    <x v="43"/>
    <s v="Wilmington"/>
    <x v="4"/>
    <n v="0.49999999999999994"/>
    <n v="2250"/>
    <n v="1124.9999999999998"/>
    <n v="337.49999999999994"/>
    <n v="0.3"/>
  </r>
  <r>
    <m/>
    <x v="0"/>
    <n v="1185732"/>
    <x v="61"/>
    <x v="0"/>
    <x v="43"/>
    <s v="Wilmington"/>
    <x v="5"/>
    <n v="0.54999999999999993"/>
    <n v="3500"/>
    <n v="1924.9999999999998"/>
    <n v="770"/>
    <n v="0.4"/>
  </r>
  <r>
    <m/>
    <x v="0"/>
    <n v="1185732"/>
    <x v="266"/>
    <x v="0"/>
    <x v="43"/>
    <s v="Wilmington"/>
    <x v="0"/>
    <n v="0.49999999999999994"/>
    <n v="6000"/>
    <n v="2999.9999999999995"/>
    <n v="1049.9999999999998"/>
    <n v="0.35"/>
  </r>
  <r>
    <m/>
    <x v="0"/>
    <n v="1185732"/>
    <x v="266"/>
    <x v="0"/>
    <x v="43"/>
    <s v="Wilmington"/>
    <x v="1"/>
    <n v="0.45"/>
    <n v="3500"/>
    <n v="1575"/>
    <n v="551.25"/>
    <n v="0.35"/>
  </r>
  <r>
    <m/>
    <x v="0"/>
    <n v="1185732"/>
    <x v="266"/>
    <x v="0"/>
    <x v="43"/>
    <s v="Wilmington"/>
    <x v="2"/>
    <n v="0.4"/>
    <n v="2750"/>
    <n v="1100"/>
    <n v="440"/>
    <n v="0.4"/>
  </r>
  <r>
    <m/>
    <x v="0"/>
    <n v="1185732"/>
    <x v="266"/>
    <x v="0"/>
    <x v="43"/>
    <s v="Wilmington"/>
    <x v="3"/>
    <n v="0.4"/>
    <n v="2500"/>
    <n v="1000"/>
    <n v="400"/>
    <n v="0.4"/>
  </r>
  <r>
    <m/>
    <x v="0"/>
    <n v="1185732"/>
    <x v="266"/>
    <x v="0"/>
    <x v="43"/>
    <s v="Wilmington"/>
    <x v="4"/>
    <n v="0.49999999999999994"/>
    <n v="2500"/>
    <n v="1249.9999999999998"/>
    <n v="374.99999999999994"/>
    <n v="0.3"/>
  </r>
  <r>
    <m/>
    <x v="0"/>
    <n v="1185732"/>
    <x v="266"/>
    <x v="0"/>
    <x v="43"/>
    <s v="Wilmington"/>
    <x v="5"/>
    <n v="0.54999999999999993"/>
    <n v="4000"/>
    <n v="2199.9999999999995"/>
    <n v="879.99999999999989"/>
    <n v="0.4"/>
  </r>
  <r>
    <m/>
    <x v="0"/>
    <n v="1185732"/>
    <x v="176"/>
    <x v="0"/>
    <x v="43"/>
    <s v="Wilmington"/>
    <x v="0"/>
    <n v="0.49999999999999994"/>
    <n v="6250"/>
    <n v="3124.9999999999995"/>
    <n v="1093.7499999999998"/>
    <n v="0.35"/>
  </r>
  <r>
    <m/>
    <x v="0"/>
    <n v="1185732"/>
    <x v="176"/>
    <x v="0"/>
    <x v="43"/>
    <s v="Wilmington"/>
    <x v="1"/>
    <n v="0.45"/>
    <n v="3750"/>
    <n v="1687.5"/>
    <n v="590.625"/>
    <n v="0.35"/>
  </r>
  <r>
    <m/>
    <x v="0"/>
    <n v="1185732"/>
    <x v="176"/>
    <x v="0"/>
    <x v="43"/>
    <s v="Wilmington"/>
    <x v="2"/>
    <n v="0.4"/>
    <n v="3000"/>
    <n v="1200"/>
    <n v="480"/>
    <n v="0.4"/>
  </r>
  <r>
    <m/>
    <x v="0"/>
    <n v="1185732"/>
    <x v="176"/>
    <x v="0"/>
    <x v="43"/>
    <s v="Wilmington"/>
    <x v="3"/>
    <n v="0.4"/>
    <n v="2500"/>
    <n v="1000"/>
    <n v="400"/>
    <n v="0.4"/>
  </r>
  <r>
    <m/>
    <x v="0"/>
    <n v="1185732"/>
    <x v="176"/>
    <x v="0"/>
    <x v="43"/>
    <s v="Wilmington"/>
    <x v="4"/>
    <n v="0.49999999999999994"/>
    <n v="2750"/>
    <n v="1374.9999999999998"/>
    <n v="412.49999999999994"/>
    <n v="0.3"/>
  </r>
  <r>
    <m/>
    <x v="0"/>
    <n v="1185732"/>
    <x v="176"/>
    <x v="0"/>
    <x v="43"/>
    <s v="Wilmington"/>
    <x v="5"/>
    <n v="0.54999999999999993"/>
    <n v="4500"/>
    <n v="2474.9999999999995"/>
    <n v="989.99999999999989"/>
    <n v="0.4"/>
  </r>
  <r>
    <m/>
    <x v="0"/>
    <n v="1185732"/>
    <x v="117"/>
    <x v="0"/>
    <x v="43"/>
    <s v="Wilmington"/>
    <x v="0"/>
    <n v="0.49999999999999994"/>
    <n v="6000"/>
    <n v="2999.9999999999995"/>
    <n v="1049.9999999999998"/>
    <n v="0.35"/>
  </r>
  <r>
    <m/>
    <x v="0"/>
    <n v="1185732"/>
    <x v="117"/>
    <x v="0"/>
    <x v="43"/>
    <s v="Wilmington"/>
    <x v="1"/>
    <n v="0.45"/>
    <n v="3750"/>
    <n v="1687.5"/>
    <n v="590.625"/>
    <n v="0.35"/>
  </r>
  <r>
    <m/>
    <x v="0"/>
    <n v="1185732"/>
    <x v="117"/>
    <x v="0"/>
    <x v="43"/>
    <s v="Wilmington"/>
    <x v="2"/>
    <n v="0.4"/>
    <n v="3000"/>
    <n v="1200"/>
    <n v="480"/>
    <n v="0.4"/>
  </r>
  <r>
    <m/>
    <x v="0"/>
    <n v="1185732"/>
    <x v="117"/>
    <x v="0"/>
    <x v="43"/>
    <s v="Wilmington"/>
    <x v="3"/>
    <n v="0.4"/>
    <n v="2000"/>
    <n v="800"/>
    <n v="320"/>
    <n v="0.4"/>
  </r>
  <r>
    <m/>
    <x v="0"/>
    <n v="1185732"/>
    <x v="117"/>
    <x v="0"/>
    <x v="43"/>
    <s v="Wilmington"/>
    <x v="4"/>
    <n v="0.49999999999999994"/>
    <n v="1750"/>
    <n v="874.99999999999989"/>
    <n v="262.49999999999994"/>
    <n v="0.3"/>
  </r>
  <r>
    <m/>
    <x v="0"/>
    <n v="1185732"/>
    <x v="117"/>
    <x v="0"/>
    <x v="43"/>
    <s v="Wilmington"/>
    <x v="5"/>
    <n v="0.54999999999999993"/>
    <n v="3500"/>
    <n v="1924.9999999999998"/>
    <n v="770"/>
    <n v="0.4"/>
  </r>
  <r>
    <m/>
    <x v="0"/>
    <n v="1185732"/>
    <x v="63"/>
    <x v="0"/>
    <x v="43"/>
    <s v="Wilmington"/>
    <x v="0"/>
    <n v="0.49999999999999994"/>
    <n v="4750"/>
    <n v="2374.9999999999995"/>
    <n v="831.24999999999977"/>
    <n v="0.35"/>
  </r>
  <r>
    <m/>
    <x v="0"/>
    <n v="1185732"/>
    <x v="63"/>
    <x v="0"/>
    <x v="43"/>
    <s v="Wilmington"/>
    <x v="1"/>
    <n v="0.45"/>
    <n v="2750"/>
    <n v="1237.5"/>
    <n v="433.125"/>
    <n v="0.35"/>
  </r>
  <r>
    <m/>
    <x v="0"/>
    <n v="1185732"/>
    <x v="63"/>
    <x v="0"/>
    <x v="43"/>
    <s v="Wilmington"/>
    <x v="2"/>
    <n v="0.4"/>
    <n v="1750"/>
    <n v="700"/>
    <n v="280"/>
    <n v="0.4"/>
  </r>
  <r>
    <m/>
    <x v="0"/>
    <n v="1185732"/>
    <x v="63"/>
    <x v="0"/>
    <x v="43"/>
    <s v="Wilmington"/>
    <x v="3"/>
    <n v="0.4"/>
    <n v="1500"/>
    <n v="600"/>
    <n v="240"/>
    <n v="0.4"/>
  </r>
  <r>
    <m/>
    <x v="0"/>
    <n v="1185732"/>
    <x v="63"/>
    <x v="0"/>
    <x v="43"/>
    <s v="Wilmington"/>
    <x v="4"/>
    <n v="0.49999999999999994"/>
    <n v="1500"/>
    <n v="749.99999999999989"/>
    <n v="224.99999999999997"/>
    <n v="0.3"/>
  </r>
  <r>
    <m/>
    <x v="0"/>
    <n v="1185732"/>
    <x v="63"/>
    <x v="0"/>
    <x v="43"/>
    <s v="Wilmington"/>
    <x v="5"/>
    <n v="0.54999999999999993"/>
    <n v="2500"/>
    <n v="1374.9999999999998"/>
    <n v="549.99999999999989"/>
    <n v="0.4"/>
  </r>
  <r>
    <m/>
    <x v="0"/>
    <n v="1185732"/>
    <x v="267"/>
    <x v="0"/>
    <x v="43"/>
    <s v="Wilmington"/>
    <x v="0"/>
    <n v="0.54999999999999993"/>
    <n v="4250"/>
    <n v="2337.4999999999995"/>
    <n v="818.12499999999977"/>
    <n v="0.35"/>
  </r>
  <r>
    <m/>
    <x v="0"/>
    <n v="1185732"/>
    <x v="267"/>
    <x v="0"/>
    <x v="43"/>
    <s v="Wilmington"/>
    <x v="1"/>
    <n v="0.5"/>
    <n v="2500"/>
    <n v="1250"/>
    <n v="437.5"/>
    <n v="0.35"/>
  </r>
  <r>
    <m/>
    <x v="0"/>
    <n v="1185732"/>
    <x v="267"/>
    <x v="0"/>
    <x v="43"/>
    <s v="Wilmington"/>
    <x v="2"/>
    <n v="0.5"/>
    <n v="1500"/>
    <n v="750"/>
    <n v="300"/>
    <n v="0.4"/>
  </r>
  <r>
    <m/>
    <x v="0"/>
    <n v="1185732"/>
    <x v="267"/>
    <x v="0"/>
    <x v="43"/>
    <s v="Wilmington"/>
    <x v="3"/>
    <n v="0.5"/>
    <n v="1250"/>
    <n v="625"/>
    <n v="250"/>
    <n v="0.4"/>
  </r>
  <r>
    <m/>
    <x v="0"/>
    <n v="1185732"/>
    <x v="267"/>
    <x v="0"/>
    <x v="43"/>
    <s v="Wilmington"/>
    <x v="4"/>
    <n v="0.6"/>
    <n v="1250"/>
    <n v="750"/>
    <n v="225"/>
    <n v="0.3"/>
  </r>
  <r>
    <m/>
    <x v="0"/>
    <n v="1185732"/>
    <x v="267"/>
    <x v="0"/>
    <x v="43"/>
    <s v="Wilmington"/>
    <x v="5"/>
    <n v="0.64999999999999991"/>
    <n v="2500"/>
    <n v="1624.9999999999998"/>
    <n v="650"/>
    <n v="0.4"/>
  </r>
  <r>
    <m/>
    <x v="0"/>
    <n v="1185732"/>
    <x v="268"/>
    <x v="0"/>
    <x v="43"/>
    <s v="Wilmington"/>
    <x v="0"/>
    <n v="0.6"/>
    <n v="4000"/>
    <n v="2400"/>
    <n v="840"/>
    <n v="0.35"/>
  </r>
  <r>
    <m/>
    <x v="0"/>
    <n v="1185732"/>
    <x v="268"/>
    <x v="0"/>
    <x v="43"/>
    <s v="Wilmington"/>
    <x v="1"/>
    <n v="0.5"/>
    <n v="2750"/>
    <n v="1375"/>
    <n v="481.24999999999994"/>
    <n v="0.35"/>
  </r>
  <r>
    <m/>
    <x v="0"/>
    <n v="1185732"/>
    <x v="268"/>
    <x v="0"/>
    <x v="43"/>
    <s v="Wilmington"/>
    <x v="2"/>
    <n v="0.5"/>
    <n v="2700"/>
    <n v="1350"/>
    <n v="540"/>
    <n v="0.4"/>
  </r>
  <r>
    <m/>
    <x v="0"/>
    <n v="1185732"/>
    <x v="268"/>
    <x v="0"/>
    <x v="43"/>
    <s v="Wilmington"/>
    <x v="3"/>
    <n v="0.5"/>
    <n v="2500"/>
    <n v="1250"/>
    <n v="500"/>
    <n v="0.4"/>
  </r>
  <r>
    <m/>
    <x v="0"/>
    <n v="1185732"/>
    <x v="268"/>
    <x v="0"/>
    <x v="43"/>
    <s v="Wilmington"/>
    <x v="4"/>
    <n v="0.6"/>
    <n v="2250"/>
    <n v="1350"/>
    <n v="405"/>
    <n v="0.3"/>
  </r>
  <r>
    <m/>
    <x v="0"/>
    <n v="1185732"/>
    <x v="268"/>
    <x v="0"/>
    <x v="43"/>
    <s v="Wilmington"/>
    <x v="5"/>
    <n v="0.64999999999999991"/>
    <n v="3250"/>
    <n v="2112.4999999999995"/>
    <n v="844.99999999999989"/>
    <n v="0.4"/>
  </r>
  <r>
    <m/>
    <x v="0"/>
    <n v="1185732"/>
    <x v="269"/>
    <x v="0"/>
    <x v="43"/>
    <s v="Wilmington"/>
    <x v="0"/>
    <n v="0.6"/>
    <n v="5500"/>
    <n v="3300"/>
    <n v="1155"/>
    <n v="0.35"/>
  </r>
  <r>
    <m/>
    <x v="0"/>
    <n v="1185732"/>
    <x v="269"/>
    <x v="0"/>
    <x v="43"/>
    <s v="Wilmington"/>
    <x v="1"/>
    <n v="0.5"/>
    <n v="3500"/>
    <n v="1750"/>
    <n v="612.5"/>
    <n v="0.35"/>
  </r>
  <r>
    <m/>
    <x v="0"/>
    <n v="1185732"/>
    <x v="269"/>
    <x v="0"/>
    <x v="43"/>
    <s v="Wilmington"/>
    <x v="2"/>
    <n v="0.5"/>
    <n v="3250"/>
    <n v="1625"/>
    <n v="650"/>
    <n v="0.4"/>
  </r>
  <r>
    <m/>
    <x v="0"/>
    <n v="1185732"/>
    <x v="269"/>
    <x v="0"/>
    <x v="43"/>
    <s v="Wilmington"/>
    <x v="3"/>
    <n v="0.5"/>
    <n v="2750"/>
    <n v="1375"/>
    <n v="550"/>
    <n v="0.4"/>
  </r>
  <r>
    <m/>
    <x v="0"/>
    <n v="1185732"/>
    <x v="269"/>
    <x v="0"/>
    <x v="43"/>
    <s v="Wilmington"/>
    <x v="4"/>
    <n v="0.6"/>
    <n v="2750"/>
    <n v="1650"/>
    <n v="495"/>
    <n v="0.3"/>
  </r>
  <r>
    <m/>
    <x v="0"/>
    <n v="1185732"/>
    <x v="269"/>
    <x v="0"/>
    <x v="43"/>
    <s v="Wilmington"/>
    <x v="5"/>
    <n v="0.64999999999999991"/>
    <n v="3750"/>
    <n v="2437.4999999999995"/>
    <n v="974.99999999999989"/>
    <n v="0.4"/>
  </r>
  <r>
    <s v="x"/>
    <x v="0"/>
    <n v="1185732"/>
    <x v="48"/>
    <x v="0"/>
    <x v="44"/>
    <s v="Newark"/>
    <x v="0"/>
    <n v="0.4"/>
    <n v="5000"/>
    <n v="2000"/>
    <n v="800"/>
    <n v="0.4"/>
  </r>
  <r>
    <m/>
    <x v="0"/>
    <n v="1185732"/>
    <x v="48"/>
    <x v="0"/>
    <x v="44"/>
    <s v="Newark"/>
    <x v="1"/>
    <n v="0.4"/>
    <n v="3000"/>
    <n v="1200"/>
    <n v="480"/>
    <n v="0.4"/>
  </r>
  <r>
    <m/>
    <x v="0"/>
    <n v="1185732"/>
    <x v="48"/>
    <x v="0"/>
    <x v="44"/>
    <s v="Newark"/>
    <x v="2"/>
    <n v="0.30000000000000004"/>
    <n v="3000"/>
    <n v="900.00000000000011"/>
    <n v="270"/>
    <n v="0.3"/>
  </r>
  <r>
    <m/>
    <x v="0"/>
    <n v="1185732"/>
    <x v="48"/>
    <x v="0"/>
    <x v="44"/>
    <s v="Newark"/>
    <x v="3"/>
    <n v="0.35"/>
    <n v="1500"/>
    <n v="525"/>
    <n v="157.5"/>
    <n v="0.3"/>
  </r>
  <r>
    <m/>
    <x v="0"/>
    <n v="1185732"/>
    <x v="48"/>
    <x v="0"/>
    <x v="44"/>
    <s v="Newark"/>
    <x v="4"/>
    <n v="0.5"/>
    <n v="2000"/>
    <n v="1000"/>
    <n v="300"/>
    <n v="0.3"/>
  </r>
  <r>
    <m/>
    <x v="0"/>
    <n v="1185732"/>
    <x v="48"/>
    <x v="0"/>
    <x v="44"/>
    <s v="Newark"/>
    <x v="5"/>
    <n v="0.4"/>
    <n v="3000"/>
    <n v="1200"/>
    <n v="420"/>
    <n v="0.35"/>
  </r>
  <r>
    <m/>
    <x v="0"/>
    <n v="1185732"/>
    <x v="49"/>
    <x v="0"/>
    <x v="44"/>
    <s v="Newark"/>
    <x v="0"/>
    <n v="0.4"/>
    <n v="5500"/>
    <n v="2200"/>
    <n v="880"/>
    <n v="0.4"/>
  </r>
  <r>
    <m/>
    <x v="0"/>
    <n v="1185732"/>
    <x v="49"/>
    <x v="0"/>
    <x v="44"/>
    <s v="Newark"/>
    <x v="1"/>
    <n v="0.4"/>
    <n v="2000"/>
    <n v="800"/>
    <n v="320"/>
    <n v="0.4"/>
  </r>
  <r>
    <m/>
    <x v="0"/>
    <n v="1185732"/>
    <x v="49"/>
    <x v="0"/>
    <x v="44"/>
    <s v="Newark"/>
    <x v="2"/>
    <n v="0.30000000000000004"/>
    <n v="2500"/>
    <n v="750.00000000000011"/>
    <n v="225.00000000000003"/>
    <n v="0.3"/>
  </r>
  <r>
    <m/>
    <x v="0"/>
    <n v="1185732"/>
    <x v="49"/>
    <x v="0"/>
    <x v="44"/>
    <s v="Newark"/>
    <x v="3"/>
    <n v="0.35"/>
    <n v="1250"/>
    <n v="437.5"/>
    <n v="131.25"/>
    <n v="0.3"/>
  </r>
  <r>
    <m/>
    <x v="0"/>
    <n v="1185732"/>
    <x v="49"/>
    <x v="0"/>
    <x v="44"/>
    <s v="Newark"/>
    <x v="4"/>
    <n v="0.5"/>
    <n v="2000"/>
    <n v="1000"/>
    <n v="300"/>
    <n v="0.3"/>
  </r>
  <r>
    <m/>
    <x v="0"/>
    <n v="1185732"/>
    <x v="49"/>
    <x v="0"/>
    <x v="44"/>
    <s v="Newark"/>
    <x v="5"/>
    <n v="0.4"/>
    <n v="3000"/>
    <n v="1200"/>
    <n v="420"/>
    <n v="0.35"/>
  </r>
  <r>
    <m/>
    <x v="0"/>
    <n v="1185732"/>
    <x v="14"/>
    <x v="0"/>
    <x v="44"/>
    <s v="Newark"/>
    <x v="0"/>
    <n v="0.4"/>
    <n v="5200"/>
    <n v="2080"/>
    <n v="832"/>
    <n v="0.4"/>
  </r>
  <r>
    <m/>
    <x v="0"/>
    <n v="1185732"/>
    <x v="14"/>
    <x v="0"/>
    <x v="44"/>
    <s v="Newark"/>
    <x v="1"/>
    <n v="0.4"/>
    <n v="2250"/>
    <n v="900"/>
    <n v="360"/>
    <n v="0.4"/>
  </r>
  <r>
    <m/>
    <x v="0"/>
    <n v="1185732"/>
    <x v="14"/>
    <x v="0"/>
    <x v="44"/>
    <s v="Newark"/>
    <x v="2"/>
    <n v="0.30000000000000004"/>
    <n v="2500"/>
    <n v="750.00000000000011"/>
    <n v="225.00000000000003"/>
    <n v="0.3"/>
  </r>
  <r>
    <m/>
    <x v="0"/>
    <n v="1185732"/>
    <x v="14"/>
    <x v="0"/>
    <x v="44"/>
    <s v="Newark"/>
    <x v="3"/>
    <n v="0.35"/>
    <n v="1000"/>
    <n v="350"/>
    <n v="105"/>
    <n v="0.3"/>
  </r>
  <r>
    <m/>
    <x v="0"/>
    <n v="1185732"/>
    <x v="14"/>
    <x v="0"/>
    <x v="44"/>
    <s v="Newark"/>
    <x v="4"/>
    <n v="0.5"/>
    <n v="1500"/>
    <n v="750"/>
    <n v="225"/>
    <n v="0.3"/>
  </r>
  <r>
    <m/>
    <x v="0"/>
    <n v="1185732"/>
    <x v="14"/>
    <x v="0"/>
    <x v="44"/>
    <s v="Newark"/>
    <x v="5"/>
    <n v="0.4"/>
    <n v="2500"/>
    <n v="1000"/>
    <n v="350"/>
    <n v="0.35"/>
  </r>
  <r>
    <m/>
    <x v="0"/>
    <n v="1185732"/>
    <x v="50"/>
    <x v="0"/>
    <x v="44"/>
    <s v="Newark"/>
    <x v="0"/>
    <n v="0.4"/>
    <n v="5000"/>
    <n v="2000"/>
    <n v="800"/>
    <n v="0.4"/>
  </r>
  <r>
    <m/>
    <x v="0"/>
    <n v="1185732"/>
    <x v="50"/>
    <x v="0"/>
    <x v="44"/>
    <s v="Newark"/>
    <x v="1"/>
    <n v="0.4"/>
    <n v="2000"/>
    <n v="800"/>
    <n v="320"/>
    <n v="0.4"/>
  </r>
  <r>
    <m/>
    <x v="0"/>
    <n v="1185732"/>
    <x v="50"/>
    <x v="0"/>
    <x v="44"/>
    <s v="Newark"/>
    <x v="2"/>
    <n v="0.30000000000000004"/>
    <n v="2000"/>
    <n v="600.00000000000011"/>
    <n v="180.00000000000003"/>
    <n v="0.3"/>
  </r>
  <r>
    <m/>
    <x v="0"/>
    <n v="1185732"/>
    <x v="50"/>
    <x v="0"/>
    <x v="44"/>
    <s v="Newark"/>
    <x v="3"/>
    <n v="0.35"/>
    <n v="1250"/>
    <n v="437.5"/>
    <n v="131.25"/>
    <n v="0.3"/>
  </r>
  <r>
    <m/>
    <x v="0"/>
    <n v="1185732"/>
    <x v="50"/>
    <x v="0"/>
    <x v="44"/>
    <s v="Newark"/>
    <x v="4"/>
    <n v="0.5"/>
    <n v="1250"/>
    <n v="625"/>
    <n v="187.5"/>
    <n v="0.3"/>
  </r>
  <r>
    <m/>
    <x v="0"/>
    <n v="1185732"/>
    <x v="50"/>
    <x v="0"/>
    <x v="44"/>
    <s v="Newark"/>
    <x v="5"/>
    <n v="0.4"/>
    <n v="2750"/>
    <n v="1100"/>
    <n v="385"/>
    <n v="0.35"/>
  </r>
  <r>
    <m/>
    <x v="0"/>
    <n v="1185732"/>
    <x v="51"/>
    <x v="0"/>
    <x v="44"/>
    <s v="Newark"/>
    <x v="0"/>
    <n v="0.54999999999999993"/>
    <n v="5450"/>
    <n v="2997.4999999999995"/>
    <n v="1198.9999999999998"/>
    <n v="0.4"/>
  </r>
  <r>
    <m/>
    <x v="0"/>
    <n v="1185732"/>
    <x v="51"/>
    <x v="0"/>
    <x v="44"/>
    <s v="Newark"/>
    <x v="1"/>
    <n v="0.5"/>
    <n v="2500"/>
    <n v="1250"/>
    <n v="500"/>
    <n v="0.4"/>
  </r>
  <r>
    <m/>
    <x v="0"/>
    <n v="1185732"/>
    <x v="51"/>
    <x v="0"/>
    <x v="44"/>
    <s v="Newark"/>
    <x v="2"/>
    <n v="0.45"/>
    <n v="2750"/>
    <n v="1237.5"/>
    <n v="371.25"/>
    <n v="0.3"/>
  </r>
  <r>
    <m/>
    <x v="0"/>
    <n v="1185732"/>
    <x v="51"/>
    <x v="0"/>
    <x v="44"/>
    <s v="Newark"/>
    <x v="3"/>
    <n v="0.45"/>
    <n v="2250"/>
    <n v="1012.5"/>
    <n v="303.75"/>
    <n v="0.3"/>
  </r>
  <r>
    <m/>
    <x v="0"/>
    <n v="1185732"/>
    <x v="51"/>
    <x v="0"/>
    <x v="44"/>
    <s v="Newark"/>
    <x v="4"/>
    <n v="0.54999999999999993"/>
    <n v="2500"/>
    <n v="1374.9999999999998"/>
    <n v="412.49999999999994"/>
    <n v="0.3"/>
  </r>
  <r>
    <m/>
    <x v="0"/>
    <n v="1185732"/>
    <x v="51"/>
    <x v="0"/>
    <x v="44"/>
    <s v="Newark"/>
    <x v="5"/>
    <n v="0.6"/>
    <n v="3750"/>
    <n v="2250"/>
    <n v="787.5"/>
    <n v="0.35"/>
  </r>
  <r>
    <m/>
    <x v="0"/>
    <n v="1185732"/>
    <x v="52"/>
    <x v="0"/>
    <x v="44"/>
    <s v="Newark"/>
    <x v="0"/>
    <n v="0.54999999999999993"/>
    <n v="6250"/>
    <n v="3437.4999999999995"/>
    <n v="1375"/>
    <n v="0.4"/>
  </r>
  <r>
    <m/>
    <x v="0"/>
    <n v="1185732"/>
    <x v="52"/>
    <x v="0"/>
    <x v="44"/>
    <s v="Newark"/>
    <x v="1"/>
    <n v="0.5"/>
    <n v="3750"/>
    <n v="1875"/>
    <n v="750"/>
    <n v="0.4"/>
  </r>
  <r>
    <m/>
    <x v="0"/>
    <n v="1185732"/>
    <x v="52"/>
    <x v="0"/>
    <x v="44"/>
    <s v="Newark"/>
    <x v="2"/>
    <n v="0.45"/>
    <n v="3000"/>
    <n v="1350"/>
    <n v="405"/>
    <n v="0.3"/>
  </r>
  <r>
    <m/>
    <x v="0"/>
    <n v="1185732"/>
    <x v="52"/>
    <x v="0"/>
    <x v="44"/>
    <s v="Newark"/>
    <x v="3"/>
    <n v="0.45"/>
    <n v="2750"/>
    <n v="1237.5"/>
    <n v="371.25"/>
    <n v="0.3"/>
  </r>
  <r>
    <m/>
    <x v="0"/>
    <n v="1185732"/>
    <x v="52"/>
    <x v="0"/>
    <x v="44"/>
    <s v="Newark"/>
    <x v="4"/>
    <n v="0.54999999999999993"/>
    <n v="2750"/>
    <n v="1512.4999999999998"/>
    <n v="453.74999999999994"/>
    <n v="0.3"/>
  </r>
  <r>
    <m/>
    <x v="0"/>
    <n v="1185732"/>
    <x v="52"/>
    <x v="0"/>
    <x v="44"/>
    <s v="Newark"/>
    <x v="5"/>
    <n v="0.6"/>
    <n v="4250"/>
    <n v="2550"/>
    <n v="892.5"/>
    <n v="0.35"/>
  </r>
  <r>
    <m/>
    <x v="0"/>
    <n v="1185732"/>
    <x v="18"/>
    <x v="0"/>
    <x v="44"/>
    <s v="Newark"/>
    <x v="0"/>
    <n v="0.54999999999999993"/>
    <n v="6500"/>
    <n v="3574.9999999999995"/>
    <n v="1430"/>
    <n v="0.4"/>
  </r>
  <r>
    <m/>
    <x v="0"/>
    <n v="1185732"/>
    <x v="18"/>
    <x v="0"/>
    <x v="44"/>
    <s v="Newark"/>
    <x v="1"/>
    <n v="0.5"/>
    <n v="4000"/>
    <n v="2000"/>
    <n v="800"/>
    <n v="0.4"/>
  </r>
  <r>
    <m/>
    <x v="0"/>
    <n v="1185732"/>
    <x v="18"/>
    <x v="0"/>
    <x v="44"/>
    <s v="Newark"/>
    <x v="2"/>
    <n v="0.45"/>
    <n v="3250"/>
    <n v="1462.5"/>
    <n v="438.75"/>
    <n v="0.3"/>
  </r>
  <r>
    <m/>
    <x v="0"/>
    <n v="1185732"/>
    <x v="18"/>
    <x v="0"/>
    <x v="44"/>
    <s v="Newark"/>
    <x v="3"/>
    <n v="0.45"/>
    <n v="2750"/>
    <n v="1237.5"/>
    <n v="371.25"/>
    <n v="0.3"/>
  </r>
  <r>
    <m/>
    <x v="0"/>
    <n v="1185732"/>
    <x v="18"/>
    <x v="0"/>
    <x v="44"/>
    <s v="Newark"/>
    <x v="4"/>
    <n v="0.54999999999999993"/>
    <n v="3000"/>
    <n v="1649.9999999999998"/>
    <n v="494.99999999999989"/>
    <n v="0.3"/>
  </r>
  <r>
    <m/>
    <x v="0"/>
    <n v="1185732"/>
    <x v="18"/>
    <x v="0"/>
    <x v="44"/>
    <s v="Newark"/>
    <x v="5"/>
    <n v="0.6"/>
    <n v="4750"/>
    <n v="2850"/>
    <n v="997.49999999999989"/>
    <n v="0.35"/>
  </r>
  <r>
    <m/>
    <x v="0"/>
    <n v="1185732"/>
    <x v="53"/>
    <x v="0"/>
    <x v="44"/>
    <s v="Newark"/>
    <x v="0"/>
    <n v="0.54999999999999993"/>
    <n v="6250"/>
    <n v="3437.4999999999995"/>
    <n v="1375"/>
    <n v="0.4"/>
  </r>
  <r>
    <m/>
    <x v="0"/>
    <n v="1185732"/>
    <x v="53"/>
    <x v="0"/>
    <x v="44"/>
    <s v="Newark"/>
    <x v="1"/>
    <n v="0.5"/>
    <n v="4000"/>
    <n v="2000"/>
    <n v="800"/>
    <n v="0.4"/>
  </r>
  <r>
    <m/>
    <x v="0"/>
    <n v="1185732"/>
    <x v="53"/>
    <x v="0"/>
    <x v="44"/>
    <s v="Newark"/>
    <x v="2"/>
    <n v="0.45"/>
    <n v="3250"/>
    <n v="1462.5"/>
    <n v="438.75"/>
    <n v="0.3"/>
  </r>
  <r>
    <m/>
    <x v="0"/>
    <n v="1185732"/>
    <x v="53"/>
    <x v="0"/>
    <x v="44"/>
    <s v="Newark"/>
    <x v="3"/>
    <n v="0.45"/>
    <n v="2250"/>
    <n v="1012.5"/>
    <n v="303.75"/>
    <n v="0.3"/>
  </r>
  <r>
    <m/>
    <x v="0"/>
    <n v="1185732"/>
    <x v="53"/>
    <x v="0"/>
    <x v="44"/>
    <s v="Newark"/>
    <x v="4"/>
    <n v="0.54999999999999993"/>
    <n v="2000"/>
    <n v="1099.9999999999998"/>
    <n v="329.99999999999994"/>
    <n v="0.3"/>
  </r>
  <r>
    <m/>
    <x v="0"/>
    <n v="1185732"/>
    <x v="53"/>
    <x v="0"/>
    <x v="44"/>
    <s v="Newark"/>
    <x v="5"/>
    <n v="0.6"/>
    <n v="3750"/>
    <n v="2250"/>
    <n v="787.5"/>
    <n v="0.35"/>
  </r>
  <r>
    <m/>
    <x v="0"/>
    <n v="1185732"/>
    <x v="54"/>
    <x v="0"/>
    <x v="44"/>
    <s v="Newark"/>
    <x v="0"/>
    <n v="0.54999999999999993"/>
    <n v="5000"/>
    <n v="2749.9999999999995"/>
    <n v="1099.9999999999998"/>
    <n v="0.4"/>
  </r>
  <r>
    <m/>
    <x v="0"/>
    <n v="1185732"/>
    <x v="54"/>
    <x v="0"/>
    <x v="44"/>
    <s v="Newark"/>
    <x v="1"/>
    <n v="0.5"/>
    <n v="3000"/>
    <n v="1500"/>
    <n v="600"/>
    <n v="0.4"/>
  </r>
  <r>
    <m/>
    <x v="0"/>
    <n v="1185732"/>
    <x v="54"/>
    <x v="0"/>
    <x v="44"/>
    <s v="Newark"/>
    <x v="2"/>
    <n v="0.45"/>
    <n v="2000"/>
    <n v="900"/>
    <n v="270"/>
    <n v="0.3"/>
  </r>
  <r>
    <m/>
    <x v="0"/>
    <n v="1185732"/>
    <x v="54"/>
    <x v="0"/>
    <x v="44"/>
    <s v="Newark"/>
    <x v="3"/>
    <n v="0.45"/>
    <n v="1750"/>
    <n v="787.5"/>
    <n v="236.25"/>
    <n v="0.3"/>
  </r>
  <r>
    <m/>
    <x v="0"/>
    <n v="1185732"/>
    <x v="54"/>
    <x v="0"/>
    <x v="44"/>
    <s v="Newark"/>
    <x v="4"/>
    <n v="0.54999999999999993"/>
    <n v="1750"/>
    <n v="962.49999999999989"/>
    <n v="288.74999999999994"/>
    <n v="0.3"/>
  </r>
  <r>
    <m/>
    <x v="0"/>
    <n v="1185732"/>
    <x v="54"/>
    <x v="0"/>
    <x v="44"/>
    <s v="Newark"/>
    <x v="5"/>
    <n v="0.6"/>
    <n v="2750"/>
    <n v="1650"/>
    <n v="577.5"/>
    <n v="0.35"/>
  </r>
  <r>
    <m/>
    <x v="0"/>
    <n v="1185732"/>
    <x v="55"/>
    <x v="0"/>
    <x v="44"/>
    <s v="Newark"/>
    <x v="0"/>
    <n v="0.6"/>
    <n v="4500"/>
    <n v="2700"/>
    <n v="1080"/>
    <n v="0.4"/>
  </r>
  <r>
    <m/>
    <x v="0"/>
    <n v="1185732"/>
    <x v="55"/>
    <x v="0"/>
    <x v="44"/>
    <s v="Newark"/>
    <x v="1"/>
    <n v="0.55000000000000004"/>
    <n v="2750"/>
    <n v="1512.5000000000002"/>
    <n v="605.00000000000011"/>
    <n v="0.4"/>
  </r>
  <r>
    <m/>
    <x v="0"/>
    <n v="1185732"/>
    <x v="55"/>
    <x v="0"/>
    <x v="44"/>
    <s v="Newark"/>
    <x v="2"/>
    <n v="0.55000000000000004"/>
    <n v="1750"/>
    <n v="962.50000000000011"/>
    <n v="288.75"/>
    <n v="0.3"/>
  </r>
  <r>
    <m/>
    <x v="0"/>
    <n v="1185732"/>
    <x v="55"/>
    <x v="0"/>
    <x v="44"/>
    <s v="Newark"/>
    <x v="3"/>
    <n v="0.55000000000000004"/>
    <n v="1500"/>
    <n v="825.00000000000011"/>
    <n v="247.50000000000003"/>
    <n v="0.3"/>
  </r>
  <r>
    <m/>
    <x v="0"/>
    <n v="1185732"/>
    <x v="55"/>
    <x v="0"/>
    <x v="44"/>
    <s v="Newark"/>
    <x v="4"/>
    <n v="0.65"/>
    <n v="1500"/>
    <n v="975"/>
    <n v="292.5"/>
    <n v="0.3"/>
  </r>
  <r>
    <m/>
    <x v="0"/>
    <n v="1185732"/>
    <x v="55"/>
    <x v="0"/>
    <x v="44"/>
    <s v="Newark"/>
    <x v="5"/>
    <n v="0.7"/>
    <n v="2750"/>
    <n v="1924.9999999999998"/>
    <n v="673.74999999999989"/>
    <n v="0.35"/>
  </r>
  <r>
    <m/>
    <x v="0"/>
    <n v="1185732"/>
    <x v="56"/>
    <x v="0"/>
    <x v="44"/>
    <s v="Newark"/>
    <x v="0"/>
    <n v="0.65"/>
    <n v="4250"/>
    <n v="2762.5"/>
    <n v="1105"/>
    <n v="0.4"/>
  </r>
  <r>
    <m/>
    <x v="0"/>
    <n v="1185732"/>
    <x v="56"/>
    <x v="0"/>
    <x v="44"/>
    <s v="Newark"/>
    <x v="1"/>
    <n v="0.55000000000000004"/>
    <n v="3000"/>
    <n v="1650.0000000000002"/>
    <n v="660.00000000000011"/>
    <n v="0.4"/>
  </r>
  <r>
    <m/>
    <x v="0"/>
    <n v="1185732"/>
    <x v="56"/>
    <x v="0"/>
    <x v="44"/>
    <s v="Newark"/>
    <x v="2"/>
    <n v="0.55000000000000004"/>
    <n v="2950"/>
    <n v="1622.5000000000002"/>
    <n v="486.75000000000006"/>
    <n v="0.3"/>
  </r>
  <r>
    <m/>
    <x v="0"/>
    <n v="1185732"/>
    <x v="56"/>
    <x v="0"/>
    <x v="44"/>
    <s v="Newark"/>
    <x v="3"/>
    <n v="0.55000000000000004"/>
    <n v="2750"/>
    <n v="1512.5000000000002"/>
    <n v="453.75000000000006"/>
    <n v="0.3"/>
  </r>
  <r>
    <m/>
    <x v="0"/>
    <n v="1185732"/>
    <x v="56"/>
    <x v="0"/>
    <x v="44"/>
    <s v="Newark"/>
    <x v="4"/>
    <n v="0.65"/>
    <n v="2500"/>
    <n v="1625"/>
    <n v="487.5"/>
    <n v="0.3"/>
  </r>
  <r>
    <m/>
    <x v="0"/>
    <n v="1185732"/>
    <x v="56"/>
    <x v="0"/>
    <x v="44"/>
    <s v="Newark"/>
    <x v="5"/>
    <n v="0.7"/>
    <n v="3500"/>
    <n v="2450"/>
    <n v="857.5"/>
    <n v="0.35"/>
  </r>
  <r>
    <m/>
    <x v="0"/>
    <n v="1185732"/>
    <x v="57"/>
    <x v="0"/>
    <x v="44"/>
    <s v="Newark"/>
    <x v="0"/>
    <n v="0.65"/>
    <n v="5750"/>
    <n v="3737.5"/>
    <n v="1495"/>
    <n v="0.4"/>
  </r>
  <r>
    <m/>
    <x v="0"/>
    <n v="1185732"/>
    <x v="57"/>
    <x v="0"/>
    <x v="44"/>
    <s v="Newark"/>
    <x v="1"/>
    <n v="0.55000000000000004"/>
    <n v="3750"/>
    <n v="2062.5"/>
    <n v="825"/>
    <n v="0.4"/>
  </r>
  <r>
    <m/>
    <x v="0"/>
    <n v="1185732"/>
    <x v="57"/>
    <x v="0"/>
    <x v="44"/>
    <s v="Newark"/>
    <x v="2"/>
    <n v="0.55000000000000004"/>
    <n v="3500"/>
    <n v="1925.0000000000002"/>
    <n v="577.5"/>
    <n v="0.3"/>
  </r>
  <r>
    <m/>
    <x v="0"/>
    <n v="1185732"/>
    <x v="57"/>
    <x v="0"/>
    <x v="44"/>
    <s v="Newark"/>
    <x v="3"/>
    <n v="0.55000000000000004"/>
    <n v="3000"/>
    <n v="1650.0000000000002"/>
    <n v="495.00000000000006"/>
    <n v="0.3"/>
  </r>
  <r>
    <m/>
    <x v="0"/>
    <n v="1185732"/>
    <x v="57"/>
    <x v="0"/>
    <x v="44"/>
    <s v="Newark"/>
    <x v="4"/>
    <n v="0.65"/>
    <n v="3000"/>
    <n v="1950"/>
    <n v="585"/>
    <n v="0.3"/>
  </r>
  <r>
    <m/>
    <x v="0"/>
    <n v="1185732"/>
    <x v="57"/>
    <x v="0"/>
    <x v="44"/>
    <s v="Newark"/>
    <x v="5"/>
    <n v="0.7"/>
    <n v="4000"/>
    <n v="2800"/>
    <n v="979.99999999999989"/>
    <n v="0.35"/>
  </r>
  <r>
    <s v="x"/>
    <x v="0"/>
    <n v="1185732"/>
    <x v="136"/>
    <x v="0"/>
    <x v="45"/>
    <s v="Hartford"/>
    <x v="0"/>
    <n v="0.35000000000000003"/>
    <n v="4250"/>
    <n v="1487.5000000000002"/>
    <n v="520.625"/>
    <n v="0.35"/>
  </r>
  <r>
    <m/>
    <x v="0"/>
    <n v="1185732"/>
    <x v="136"/>
    <x v="0"/>
    <x v="45"/>
    <s v="Hartford"/>
    <x v="1"/>
    <n v="0.35000000000000003"/>
    <n v="2250"/>
    <n v="787.50000000000011"/>
    <n v="275.625"/>
    <n v="0.35"/>
  </r>
  <r>
    <m/>
    <x v="0"/>
    <n v="1185732"/>
    <x v="136"/>
    <x v="0"/>
    <x v="45"/>
    <s v="Hartford"/>
    <x v="2"/>
    <n v="0.25000000000000006"/>
    <n v="2250"/>
    <n v="562.50000000000011"/>
    <n v="225.00000000000006"/>
    <n v="0.4"/>
  </r>
  <r>
    <m/>
    <x v="0"/>
    <n v="1185732"/>
    <x v="136"/>
    <x v="0"/>
    <x v="45"/>
    <s v="Hartford"/>
    <x v="3"/>
    <n v="0.3"/>
    <n v="750"/>
    <n v="225"/>
    <n v="90"/>
    <n v="0.4"/>
  </r>
  <r>
    <m/>
    <x v="0"/>
    <n v="1185732"/>
    <x v="136"/>
    <x v="0"/>
    <x v="45"/>
    <s v="Hartford"/>
    <x v="4"/>
    <n v="0.45"/>
    <n v="1250"/>
    <n v="562.5"/>
    <n v="168.75"/>
    <n v="0.3"/>
  </r>
  <r>
    <m/>
    <x v="0"/>
    <n v="1185732"/>
    <x v="136"/>
    <x v="0"/>
    <x v="45"/>
    <s v="Hartford"/>
    <x v="5"/>
    <n v="0.35000000000000003"/>
    <n v="2250"/>
    <n v="787.50000000000011"/>
    <n v="315.00000000000006"/>
    <n v="0.4"/>
  </r>
  <r>
    <m/>
    <x v="0"/>
    <n v="1185732"/>
    <x v="264"/>
    <x v="0"/>
    <x v="45"/>
    <s v="Hartford"/>
    <x v="0"/>
    <n v="0.35000000000000003"/>
    <n v="4750"/>
    <n v="1662.5000000000002"/>
    <n v="581.875"/>
    <n v="0.35"/>
  </r>
  <r>
    <m/>
    <x v="0"/>
    <n v="1185732"/>
    <x v="264"/>
    <x v="0"/>
    <x v="45"/>
    <s v="Hartford"/>
    <x v="1"/>
    <n v="0.35000000000000003"/>
    <n v="1250"/>
    <n v="437.50000000000006"/>
    <n v="153.125"/>
    <n v="0.35"/>
  </r>
  <r>
    <m/>
    <x v="0"/>
    <n v="1185732"/>
    <x v="264"/>
    <x v="0"/>
    <x v="45"/>
    <s v="Hartford"/>
    <x v="2"/>
    <n v="0.25000000000000006"/>
    <n v="1750"/>
    <n v="437.50000000000011"/>
    <n v="175.00000000000006"/>
    <n v="0.4"/>
  </r>
  <r>
    <m/>
    <x v="0"/>
    <n v="1185732"/>
    <x v="264"/>
    <x v="0"/>
    <x v="45"/>
    <s v="Hartford"/>
    <x v="3"/>
    <n v="0.3"/>
    <n v="500"/>
    <n v="150"/>
    <n v="60"/>
    <n v="0.4"/>
  </r>
  <r>
    <m/>
    <x v="0"/>
    <n v="1185732"/>
    <x v="264"/>
    <x v="0"/>
    <x v="45"/>
    <s v="Hartford"/>
    <x v="4"/>
    <n v="0.45"/>
    <n v="1250"/>
    <n v="562.5"/>
    <n v="168.75"/>
    <n v="0.3"/>
  </r>
  <r>
    <m/>
    <x v="0"/>
    <n v="1185732"/>
    <x v="264"/>
    <x v="0"/>
    <x v="45"/>
    <s v="Hartford"/>
    <x v="5"/>
    <n v="0.35000000000000003"/>
    <n v="2250"/>
    <n v="787.50000000000011"/>
    <n v="315.00000000000006"/>
    <n v="0.4"/>
  </r>
  <r>
    <m/>
    <x v="0"/>
    <n v="1185732"/>
    <x v="173"/>
    <x v="0"/>
    <x v="45"/>
    <s v="Hartford"/>
    <x v="0"/>
    <n v="0.35000000000000003"/>
    <n v="4450"/>
    <n v="1557.5000000000002"/>
    <n v="545.125"/>
    <n v="0.35"/>
  </r>
  <r>
    <m/>
    <x v="0"/>
    <n v="1185732"/>
    <x v="173"/>
    <x v="0"/>
    <x v="45"/>
    <s v="Hartford"/>
    <x v="1"/>
    <n v="0.35000000000000003"/>
    <n v="1500"/>
    <n v="525"/>
    <n v="183.75"/>
    <n v="0.35"/>
  </r>
  <r>
    <m/>
    <x v="0"/>
    <n v="1185732"/>
    <x v="173"/>
    <x v="0"/>
    <x v="45"/>
    <s v="Hartford"/>
    <x v="2"/>
    <n v="0.25000000000000006"/>
    <n v="1750"/>
    <n v="437.50000000000011"/>
    <n v="175.00000000000006"/>
    <n v="0.4"/>
  </r>
  <r>
    <m/>
    <x v="0"/>
    <n v="1185732"/>
    <x v="173"/>
    <x v="0"/>
    <x v="45"/>
    <s v="Hartford"/>
    <x v="3"/>
    <n v="0.3"/>
    <n v="250"/>
    <n v="75"/>
    <n v="30"/>
    <n v="0.4"/>
  </r>
  <r>
    <m/>
    <x v="0"/>
    <n v="1185732"/>
    <x v="173"/>
    <x v="0"/>
    <x v="45"/>
    <s v="Hartford"/>
    <x v="4"/>
    <n v="0.45"/>
    <n v="750"/>
    <n v="337.5"/>
    <n v="101.25"/>
    <n v="0.3"/>
  </r>
  <r>
    <m/>
    <x v="0"/>
    <n v="1185732"/>
    <x v="173"/>
    <x v="0"/>
    <x v="45"/>
    <s v="Hartford"/>
    <x v="5"/>
    <n v="0.35000000000000003"/>
    <n v="1750"/>
    <n v="612.50000000000011"/>
    <n v="245.00000000000006"/>
    <n v="0.4"/>
  </r>
  <r>
    <m/>
    <x v="0"/>
    <n v="1185732"/>
    <x v="265"/>
    <x v="0"/>
    <x v="45"/>
    <s v="Hartford"/>
    <x v="0"/>
    <n v="0.35000000000000003"/>
    <n v="4250"/>
    <n v="1487.5000000000002"/>
    <n v="520.625"/>
    <n v="0.35"/>
  </r>
  <r>
    <m/>
    <x v="0"/>
    <n v="1185732"/>
    <x v="265"/>
    <x v="0"/>
    <x v="45"/>
    <s v="Hartford"/>
    <x v="1"/>
    <n v="0.35000000000000003"/>
    <n v="1250"/>
    <n v="437.50000000000006"/>
    <n v="153.125"/>
    <n v="0.35"/>
  </r>
  <r>
    <m/>
    <x v="0"/>
    <n v="1185732"/>
    <x v="265"/>
    <x v="0"/>
    <x v="45"/>
    <s v="Hartford"/>
    <x v="2"/>
    <n v="0.25000000000000006"/>
    <n v="1250"/>
    <n v="312.50000000000006"/>
    <n v="125.00000000000003"/>
    <n v="0.4"/>
  </r>
  <r>
    <m/>
    <x v="0"/>
    <n v="1185732"/>
    <x v="265"/>
    <x v="0"/>
    <x v="45"/>
    <s v="Hartford"/>
    <x v="3"/>
    <n v="0.3"/>
    <n v="500"/>
    <n v="150"/>
    <n v="60"/>
    <n v="0.4"/>
  </r>
  <r>
    <m/>
    <x v="0"/>
    <n v="1185732"/>
    <x v="265"/>
    <x v="0"/>
    <x v="45"/>
    <s v="Hartford"/>
    <x v="4"/>
    <n v="0.45"/>
    <n v="500"/>
    <n v="225"/>
    <n v="67.5"/>
    <n v="0.3"/>
  </r>
  <r>
    <m/>
    <x v="0"/>
    <n v="1185732"/>
    <x v="265"/>
    <x v="0"/>
    <x v="45"/>
    <s v="Hartford"/>
    <x v="5"/>
    <n v="0.35000000000000003"/>
    <n v="2000"/>
    <n v="700.00000000000011"/>
    <n v="280.00000000000006"/>
    <n v="0.4"/>
  </r>
  <r>
    <m/>
    <x v="0"/>
    <n v="1185732"/>
    <x v="61"/>
    <x v="0"/>
    <x v="45"/>
    <s v="Hartford"/>
    <x v="0"/>
    <n v="0.49999999999999994"/>
    <n v="4700"/>
    <n v="2349.9999999999995"/>
    <n v="822.49999999999977"/>
    <n v="0.35"/>
  </r>
  <r>
    <m/>
    <x v="0"/>
    <n v="1185732"/>
    <x v="61"/>
    <x v="0"/>
    <x v="45"/>
    <s v="Hartford"/>
    <x v="1"/>
    <n v="0.45"/>
    <n v="1750"/>
    <n v="787.5"/>
    <n v="275.625"/>
    <n v="0.35"/>
  </r>
  <r>
    <m/>
    <x v="0"/>
    <n v="1185732"/>
    <x v="61"/>
    <x v="0"/>
    <x v="45"/>
    <s v="Hartford"/>
    <x v="2"/>
    <n v="0.4"/>
    <n v="2000"/>
    <n v="800"/>
    <n v="320"/>
    <n v="0.4"/>
  </r>
  <r>
    <m/>
    <x v="0"/>
    <n v="1185732"/>
    <x v="61"/>
    <x v="0"/>
    <x v="45"/>
    <s v="Hartford"/>
    <x v="3"/>
    <n v="0.4"/>
    <n v="1500"/>
    <n v="600"/>
    <n v="240"/>
    <n v="0.4"/>
  </r>
  <r>
    <m/>
    <x v="0"/>
    <n v="1185732"/>
    <x v="61"/>
    <x v="0"/>
    <x v="45"/>
    <s v="Hartford"/>
    <x v="4"/>
    <n v="0.49999999999999994"/>
    <n v="1750"/>
    <n v="874.99999999999989"/>
    <n v="262.49999999999994"/>
    <n v="0.3"/>
  </r>
  <r>
    <m/>
    <x v="0"/>
    <n v="1185732"/>
    <x v="61"/>
    <x v="0"/>
    <x v="45"/>
    <s v="Hartford"/>
    <x v="5"/>
    <n v="0.54999999999999993"/>
    <n v="3000"/>
    <n v="1649.9999999999998"/>
    <n v="660"/>
    <n v="0.4"/>
  </r>
  <r>
    <m/>
    <x v="0"/>
    <n v="1185732"/>
    <x v="266"/>
    <x v="0"/>
    <x v="45"/>
    <s v="Hartford"/>
    <x v="0"/>
    <n v="0.49999999999999994"/>
    <n v="5500"/>
    <n v="2749.9999999999995"/>
    <n v="962.49999999999977"/>
    <n v="0.35"/>
  </r>
  <r>
    <m/>
    <x v="0"/>
    <n v="1185732"/>
    <x v="266"/>
    <x v="0"/>
    <x v="45"/>
    <s v="Hartford"/>
    <x v="1"/>
    <n v="0.45"/>
    <n v="3000"/>
    <n v="1350"/>
    <n v="472.49999999999994"/>
    <n v="0.35"/>
  </r>
  <r>
    <m/>
    <x v="0"/>
    <n v="1185732"/>
    <x v="266"/>
    <x v="0"/>
    <x v="45"/>
    <s v="Hartford"/>
    <x v="2"/>
    <n v="0.4"/>
    <n v="2250"/>
    <n v="900"/>
    <n v="360"/>
    <n v="0.4"/>
  </r>
  <r>
    <m/>
    <x v="0"/>
    <n v="1185732"/>
    <x v="266"/>
    <x v="0"/>
    <x v="45"/>
    <s v="Hartford"/>
    <x v="3"/>
    <n v="0.4"/>
    <n v="2000"/>
    <n v="800"/>
    <n v="320"/>
    <n v="0.4"/>
  </r>
  <r>
    <m/>
    <x v="0"/>
    <n v="1185732"/>
    <x v="266"/>
    <x v="0"/>
    <x v="45"/>
    <s v="Hartford"/>
    <x v="4"/>
    <n v="0.49999999999999994"/>
    <n v="2000"/>
    <n v="999.99999999999989"/>
    <n v="299.99999999999994"/>
    <n v="0.3"/>
  </r>
  <r>
    <m/>
    <x v="0"/>
    <n v="1185732"/>
    <x v="266"/>
    <x v="0"/>
    <x v="45"/>
    <s v="Hartford"/>
    <x v="5"/>
    <n v="0.54999999999999993"/>
    <n v="3500"/>
    <n v="1924.9999999999998"/>
    <n v="770"/>
    <n v="0.4"/>
  </r>
  <r>
    <m/>
    <x v="0"/>
    <n v="1185732"/>
    <x v="176"/>
    <x v="0"/>
    <x v="45"/>
    <s v="Hartford"/>
    <x v="0"/>
    <n v="0.49999999999999994"/>
    <n v="5750"/>
    <n v="2874.9999999999995"/>
    <n v="1006.2499999999998"/>
    <n v="0.35"/>
  </r>
  <r>
    <m/>
    <x v="0"/>
    <n v="1185732"/>
    <x v="176"/>
    <x v="0"/>
    <x v="45"/>
    <s v="Hartford"/>
    <x v="1"/>
    <n v="0.45"/>
    <n v="3250"/>
    <n v="1462.5"/>
    <n v="511.87499999999994"/>
    <n v="0.35"/>
  </r>
  <r>
    <m/>
    <x v="0"/>
    <n v="1185732"/>
    <x v="176"/>
    <x v="0"/>
    <x v="45"/>
    <s v="Hartford"/>
    <x v="2"/>
    <n v="0.4"/>
    <n v="2500"/>
    <n v="1000"/>
    <n v="400"/>
    <n v="0.4"/>
  </r>
  <r>
    <m/>
    <x v="0"/>
    <n v="1185732"/>
    <x v="176"/>
    <x v="0"/>
    <x v="45"/>
    <s v="Hartford"/>
    <x v="3"/>
    <n v="0.4"/>
    <n v="2000"/>
    <n v="800"/>
    <n v="320"/>
    <n v="0.4"/>
  </r>
  <r>
    <m/>
    <x v="0"/>
    <n v="1185732"/>
    <x v="176"/>
    <x v="0"/>
    <x v="45"/>
    <s v="Hartford"/>
    <x v="4"/>
    <n v="0.49999999999999994"/>
    <n v="2250"/>
    <n v="1124.9999999999998"/>
    <n v="337.49999999999994"/>
    <n v="0.3"/>
  </r>
  <r>
    <m/>
    <x v="0"/>
    <n v="1185732"/>
    <x v="176"/>
    <x v="0"/>
    <x v="45"/>
    <s v="Hartford"/>
    <x v="5"/>
    <n v="0.54999999999999993"/>
    <n v="4000"/>
    <n v="2199.9999999999995"/>
    <n v="879.99999999999989"/>
    <n v="0.4"/>
  </r>
  <r>
    <m/>
    <x v="0"/>
    <n v="1185732"/>
    <x v="117"/>
    <x v="0"/>
    <x v="45"/>
    <s v="Hartford"/>
    <x v="0"/>
    <n v="0.49999999999999994"/>
    <n v="5500"/>
    <n v="2749.9999999999995"/>
    <n v="962.49999999999977"/>
    <n v="0.35"/>
  </r>
  <r>
    <m/>
    <x v="0"/>
    <n v="1185732"/>
    <x v="117"/>
    <x v="0"/>
    <x v="45"/>
    <s v="Hartford"/>
    <x v="1"/>
    <n v="0.45"/>
    <n v="3250"/>
    <n v="1462.5"/>
    <n v="511.87499999999994"/>
    <n v="0.35"/>
  </r>
  <r>
    <m/>
    <x v="0"/>
    <n v="1185732"/>
    <x v="117"/>
    <x v="0"/>
    <x v="45"/>
    <s v="Hartford"/>
    <x v="2"/>
    <n v="0.4"/>
    <n v="2500"/>
    <n v="1000"/>
    <n v="400"/>
    <n v="0.4"/>
  </r>
  <r>
    <m/>
    <x v="0"/>
    <n v="1185732"/>
    <x v="117"/>
    <x v="0"/>
    <x v="45"/>
    <s v="Hartford"/>
    <x v="3"/>
    <n v="0.4"/>
    <n v="1500"/>
    <n v="600"/>
    <n v="240"/>
    <n v="0.4"/>
  </r>
  <r>
    <m/>
    <x v="0"/>
    <n v="1185732"/>
    <x v="117"/>
    <x v="0"/>
    <x v="45"/>
    <s v="Hartford"/>
    <x v="4"/>
    <n v="0.49999999999999994"/>
    <n v="1250"/>
    <n v="624.99999999999989"/>
    <n v="187.49999999999997"/>
    <n v="0.3"/>
  </r>
  <r>
    <m/>
    <x v="0"/>
    <n v="1185732"/>
    <x v="117"/>
    <x v="0"/>
    <x v="45"/>
    <s v="Hartford"/>
    <x v="5"/>
    <n v="0.54999999999999993"/>
    <n v="3000"/>
    <n v="1649.9999999999998"/>
    <n v="660"/>
    <n v="0.4"/>
  </r>
  <r>
    <m/>
    <x v="0"/>
    <n v="1185732"/>
    <x v="63"/>
    <x v="0"/>
    <x v="45"/>
    <s v="Hartford"/>
    <x v="0"/>
    <n v="0.49999999999999994"/>
    <n v="4250"/>
    <n v="2124.9999999999995"/>
    <n v="743.74999999999977"/>
    <n v="0.35"/>
  </r>
  <r>
    <m/>
    <x v="0"/>
    <n v="1185732"/>
    <x v="63"/>
    <x v="0"/>
    <x v="45"/>
    <s v="Hartford"/>
    <x v="1"/>
    <n v="0.45"/>
    <n v="2250"/>
    <n v="1012.5"/>
    <n v="354.375"/>
    <n v="0.35"/>
  </r>
  <r>
    <m/>
    <x v="0"/>
    <n v="1185732"/>
    <x v="63"/>
    <x v="0"/>
    <x v="45"/>
    <s v="Hartford"/>
    <x v="2"/>
    <n v="0.4"/>
    <n v="1250"/>
    <n v="500"/>
    <n v="200"/>
    <n v="0.4"/>
  </r>
  <r>
    <m/>
    <x v="0"/>
    <n v="1185732"/>
    <x v="63"/>
    <x v="0"/>
    <x v="45"/>
    <s v="Hartford"/>
    <x v="3"/>
    <n v="0.4"/>
    <n v="1000"/>
    <n v="400"/>
    <n v="160"/>
    <n v="0.4"/>
  </r>
  <r>
    <m/>
    <x v="0"/>
    <n v="1185732"/>
    <x v="63"/>
    <x v="0"/>
    <x v="45"/>
    <s v="Hartford"/>
    <x v="4"/>
    <n v="0.49999999999999994"/>
    <n v="1000"/>
    <n v="499.99999999999994"/>
    <n v="149.99999999999997"/>
    <n v="0.3"/>
  </r>
  <r>
    <m/>
    <x v="0"/>
    <n v="1185732"/>
    <x v="63"/>
    <x v="0"/>
    <x v="45"/>
    <s v="Hartford"/>
    <x v="5"/>
    <n v="0.54999999999999993"/>
    <n v="2000"/>
    <n v="1099.9999999999998"/>
    <n v="439.99999999999994"/>
    <n v="0.4"/>
  </r>
  <r>
    <m/>
    <x v="0"/>
    <n v="1185732"/>
    <x v="267"/>
    <x v="0"/>
    <x v="45"/>
    <s v="Hartford"/>
    <x v="0"/>
    <n v="0.54999999999999993"/>
    <n v="3750"/>
    <n v="2062.4999999999995"/>
    <n v="721.87499999999977"/>
    <n v="0.35"/>
  </r>
  <r>
    <m/>
    <x v="0"/>
    <n v="1185732"/>
    <x v="267"/>
    <x v="0"/>
    <x v="45"/>
    <s v="Hartford"/>
    <x v="1"/>
    <n v="0.5"/>
    <n v="2000"/>
    <n v="1000"/>
    <n v="350"/>
    <n v="0.35"/>
  </r>
  <r>
    <m/>
    <x v="0"/>
    <n v="1185732"/>
    <x v="267"/>
    <x v="0"/>
    <x v="45"/>
    <s v="Hartford"/>
    <x v="2"/>
    <n v="0.5"/>
    <n v="1000"/>
    <n v="500"/>
    <n v="200"/>
    <n v="0.4"/>
  </r>
  <r>
    <m/>
    <x v="0"/>
    <n v="1185732"/>
    <x v="267"/>
    <x v="0"/>
    <x v="45"/>
    <s v="Hartford"/>
    <x v="3"/>
    <n v="0.5"/>
    <n v="750"/>
    <n v="375"/>
    <n v="150"/>
    <n v="0.4"/>
  </r>
  <r>
    <m/>
    <x v="0"/>
    <n v="1185732"/>
    <x v="267"/>
    <x v="0"/>
    <x v="45"/>
    <s v="Hartford"/>
    <x v="4"/>
    <n v="0.6"/>
    <n v="750"/>
    <n v="450"/>
    <n v="135"/>
    <n v="0.3"/>
  </r>
  <r>
    <m/>
    <x v="0"/>
    <n v="1185732"/>
    <x v="267"/>
    <x v="0"/>
    <x v="45"/>
    <s v="Hartford"/>
    <x v="5"/>
    <n v="0.64999999999999991"/>
    <n v="2000"/>
    <n v="1299.9999999999998"/>
    <n v="519.99999999999989"/>
    <n v="0.4"/>
  </r>
  <r>
    <m/>
    <x v="0"/>
    <n v="1185732"/>
    <x v="268"/>
    <x v="0"/>
    <x v="45"/>
    <s v="Hartford"/>
    <x v="0"/>
    <n v="0.6"/>
    <n v="3500"/>
    <n v="2100"/>
    <n v="735"/>
    <n v="0.35"/>
  </r>
  <r>
    <m/>
    <x v="0"/>
    <n v="1185732"/>
    <x v="268"/>
    <x v="0"/>
    <x v="45"/>
    <s v="Hartford"/>
    <x v="1"/>
    <n v="0.5"/>
    <n v="2250"/>
    <n v="1125"/>
    <n v="393.75"/>
    <n v="0.35"/>
  </r>
  <r>
    <m/>
    <x v="0"/>
    <n v="1185732"/>
    <x v="268"/>
    <x v="0"/>
    <x v="45"/>
    <s v="Hartford"/>
    <x v="2"/>
    <n v="0.5"/>
    <n v="2200"/>
    <n v="1100"/>
    <n v="440"/>
    <n v="0.4"/>
  </r>
  <r>
    <m/>
    <x v="0"/>
    <n v="1185732"/>
    <x v="268"/>
    <x v="0"/>
    <x v="45"/>
    <s v="Hartford"/>
    <x v="3"/>
    <n v="0.5"/>
    <n v="2000"/>
    <n v="1000"/>
    <n v="400"/>
    <n v="0.4"/>
  </r>
  <r>
    <m/>
    <x v="0"/>
    <n v="1185732"/>
    <x v="268"/>
    <x v="0"/>
    <x v="45"/>
    <s v="Hartford"/>
    <x v="4"/>
    <n v="0.6"/>
    <n v="1750"/>
    <n v="1050"/>
    <n v="315"/>
    <n v="0.3"/>
  </r>
  <r>
    <m/>
    <x v="0"/>
    <n v="1185732"/>
    <x v="268"/>
    <x v="0"/>
    <x v="45"/>
    <s v="Hartford"/>
    <x v="5"/>
    <n v="0.64999999999999991"/>
    <n v="2750"/>
    <n v="1787.4999999999998"/>
    <n v="715"/>
    <n v="0.4"/>
  </r>
  <r>
    <m/>
    <x v="0"/>
    <n v="1185732"/>
    <x v="269"/>
    <x v="0"/>
    <x v="45"/>
    <s v="Hartford"/>
    <x v="0"/>
    <n v="0.6"/>
    <n v="5000"/>
    <n v="3000"/>
    <n v="1050"/>
    <n v="0.35"/>
  </r>
  <r>
    <m/>
    <x v="0"/>
    <n v="1185732"/>
    <x v="269"/>
    <x v="0"/>
    <x v="45"/>
    <s v="Hartford"/>
    <x v="1"/>
    <n v="0.5"/>
    <n v="3000"/>
    <n v="1500"/>
    <n v="525"/>
    <n v="0.35"/>
  </r>
  <r>
    <m/>
    <x v="0"/>
    <n v="1185732"/>
    <x v="269"/>
    <x v="0"/>
    <x v="45"/>
    <s v="Hartford"/>
    <x v="2"/>
    <n v="0.5"/>
    <n v="2750"/>
    <n v="1375"/>
    <n v="550"/>
    <n v="0.4"/>
  </r>
  <r>
    <m/>
    <x v="0"/>
    <n v="1185732"/>
    <x v="269"/>
    <x v="0"/>
    <x v="45"/>
    <s v="Hartford"/>
    <x v="3"/>
    <n v="0.5"/>
    <n v="2250"/>
    <n v="1125"/>
    <n v="450"/>
    <n v="0.4"/>
  </r>
  <r>
    <m/>
    <x v="0"/>
    <n v="1185732"/>
    <x v="269"/>
    <x v="0"/>
    <x v="45"/>
    <s v="Hartford"/>
    <x v="4"/>
    <n v="0.6"/>
    <n v="2250"/>
    <n v="1350"/>
    <n v="405"/>
    <n v="0.3"/>
  </r>
  <r>
    <m/>
    <x v="0"/>
    <n v="1185732"/>
    <x v="269"/>
    <x v="0"/>
    <x v="45"/>
    <s v="Hartford"/>
    <x v="5"/>
    <n v="0.64999999999999991"/>
    <n v="3250"/>
    <n v="2112.4999999999995"/>
    <n v="844.99999999999989"/>
    <n v="0.4"/>
  </r>
  <r>
    <s v="x"/>
    <x v="0"/>
    <n v="1185732"/>
    <x v="102"/>
    <x v="0"/>
    <x v="46"/>
    <s v="Providence"/>
    <x v="0"/>
    <n v="0.4"/>
    <n v="4500"/>
    <n v="1800"/>
    <n v="540"/>
    <n v="0.3"/>
  </r>
  <r>
    <m/>
    <x v="0"/>
    <n v="1185732"/>
    <x v="102"/>
    <x v="0"/>
    <x v="46"/>
    <s v="Providence"/>
    <x v="1"/>
    <n v="0.4"/>
    <n v="2500"/>
    <n v="1000"/>
    <n v="300"/>
    <n v="0.3"/>
  </r>
  <r>
    <m/>
    <x v="0"/>
    <n v="1185732"/>
    <x v="102"/>
    <x v="0"/>
    <x v="46"/>
    <s v="Providence"/>
    <x v="2"/>
    <n v="0.30000000000000004"/>
    <n v="2500"/>
    <n v="750.00000000000011"/>
    <n v="187.50000000000003"/>
    <n v="0.25"/>
  </r>
  <r>
    <m/>
    <x v="0"/>
    <n v="1185732"/>
    <x v="102"/>
    <x v="0"/>
    <x v="46"/>
    <s v="Providence"/>
    <x v="3"/>
    <n v="0.35"/>
    <n v="1000"/>
    <n v="350"/>
    <n v="87.5"/>
    <n v="0.25"/>
  </r>
  <r>
    <m/>
    <x v="0"/>
    <n v="1185732"/>
    <x v="102"/>
    <x v="0"/>
    <x v="46"/>
    <s v="Providence"/>
    <x v="4"/>
    <n v="0.5"/>
    <n v="1500"/>
    <n v="750"/>
    <n v="187.5"/>
    <n v="0.25"/>
  </r>
  <r>
    <m/>
    <x v="0"/>
    <n v="1185732"/>
    <x v="102"/>
    <x v="0"/>
    <x v="46"/>
    <s v="Providence"/>
    <x v="5"/>
    <n v="0.4"/>
    <n v="2500"/>
    <n v="1000"/>
    <n v="300"/>
    <n v="0.3"/>
  </r>
  <r>
    <m/>
    <x v="0"/>
    <n v="1185732"/>
    <x v="37"/>
    <x v="0"/>
    <x v="46"/>
    <s v="Providence"/>
    <x v="0"/>
    <n v="0.4"/>
    <n v="5000"/>
    <n v="2000"/>
    <n v="600"/>
    <n v="0.3"/>
  </r>
  <r>
    <m/>
    <x v="0"/>
    <n v="1185732"/>
    <x v="37"/>
    <x v="0"/>
    <x v="46"/>
    <s v="Providence"/>
    <x v="1"/>
    <n v="0.4"/>
    <n v="1500"/>
    <n v="600"/>
    <n v="180"/>
    <n v="0.3"/>
  </r>
  <r>
    <m/>
    <x v="0"/>
    <n v="1185732"/>
    <x v="37"/>
    <x v="0"/>
    <x v="46"/>
    <s v="Providence"/>
    <x v="2"/>
    <n v="0.30000000000000004"/>
    <n v="2000"/>
    <n v="600.00000000000011"/>
    <n v="150.00000000000003"/>
    <n v="0.25"/>
  </r>
  <r>
    <m/>
    <x v="0"/>
    <n v="1185732"/>
    <x v="37"/>
    <x v="0"/>
    <x v="46"/>
    <s v="Providence"/>
    <x v="3"/>
    <n v="0.35"/>
    <n v="2500"/>
    <n v="875"/>
    <n v="218.75"/>
    <n v="0.25"/>
  </r>
  <r>
    <m/>
    <x v="0"/>
    <n v="1185732"/>
    <x v="37"/>
    <x v="0"/>
    <x v="46"/>
    <s v="Providence"/>
    <x v="4"/>
    <n v="0.5"/>
    <n v="1500"/>
    <n v="750"/>
    <n v="187.5"/>
    <n v="0.25"/>
  </r>
  <r>
    <m/>
    <x v="0"/>
    <n v="1185732"/>
    <x v="37"/>
    <x v="0"/>
    <x v="46"/>
    <s v="Providence"/>
    <x v="5"/>
    <n v="0.4"/>
    <n v="2500"/>
    <n v="1000"/>
    <n v="300"/>
    <n v="0.3"/>
  </r>
  <r>
    <m/>
    <x v="0"/>
    <n v="1185732"/>
    <x v="258"/>
    <x v="0"/>
    <x v="46"/>
    <s v="Providence"/>
    <x v="0"/>
    <n v="0.4"/>
    <n v="4700"/>
    <n v="1880"/>
    <n v="564"/>
    <n v="0.3"/>
  </r>
  <r>
    <m/>
    <x v="0"/>
    <n v="1185732"/>
    <x v="258"/>
    <x v="0"/>
    <x v="46"/>
    <s v="Providence"/>
    <x v="1"/>
    <n v="0.4"/>
    <n v="1750"/>
    <n v="700"/>
    <n v="210"/>
    <n v="0.3"/>
  </r>
  <r>
    <m/>
    <x v="0"/>
    <n v="1185732"/>
    <x v="258"/>
    <x v="0"/>
    <x v="46"/>
    <s v="Providence"/>
    <x v="2"/>
    <n v="0.30000000000000004"/>
    <n v="2000"/>
    <n v="600.00000000000011"/>
    <n v="150.00000000000003"/>
    <n v="0.25"/>
  </r>
  <r>
    <m/>
    <x v="0"/>
    <n v="1185732"/>
    <x v="258"/>
    <x v="0"/>
    <x v="46"/>
    <s v="Providence"/>
    <x v="3"/>
    <n v="0.35"/>
    <n v="3000"/>
    <n v="1050"/>
    <n v="262.5"/>
    <n v="0.25"/>
  </r>
  <r>
    <m/>
    <x v="0"/>
    <n v="1185732"/>
    <x v="258"/>
    <x v="0"/>
    <x v="46"/>
    <s v="Providence"/>
    <x v="4"/>
    <n v="0.5"/>
    <n v="1000"/>
    <n v="500"/>
    <n v="125"/>
    <n v="0.25"/>
  </r>
  <r>
    <m/>
    <x v="0"/>
    <n v="1185732"/>
    <x v="258"/>
    <x v="0"/>
    <x v="46"/>
    <s v="Providence"/>
    <x v="5"/>
    <n v="0.4"/>
    <n v="2000"/>
    <n v="800"/>
    <n v="240"/>
    <n v="0.3"/>
  </r>
  <r>
    <m/>
    <x v="0"/>
    <n v="1185732"/>
    <x v="259"/>
    <x v="0"/>
    <x v="46"/>
    <s v="Providence"/>
    <x v="0"/>
    <n v="0.4"/>
    <n v="4500"/>
    <n v="1800"/>
    <n v="540"/>
    <n v="0.3"/>
  </r>
  <r>
    <m/>
    <x v="0"/>
    <n v="1185732"/>
    <x v="259"/>
    <x v="0"/>
    <x v="46"/>
    <s v="Providence"/>
    <x v="1"/>
    <n v="0.4"/>
    <n v="1500"/>
    <n v="600"/>
    <n v="180"/>
    <n v="0.3"/>
  </r>
  <r>
    <m/>
    <x v="0"/>
    <n v="1185732"/>
    <x v="259"/>
    <x v="0"/>
    <x v="46"/>
    <s v="Providence"/>
    <x v="2"/>
    <n v="0.30000000000000004"/>
    <n v="1500"/>
    <n v="450.00000000000006"/>
    <n v="112.50000000000001"/>
    <n v="0.25"/>
  </r>
  <r>
    <m/>
    <x v="0"/>
    <n v="1185732"/>
    <x v="259"/>
    <x v="0"/>
    <x v="46"/>
    <s v="Providence"/>
    <x v="3"/>
    <n v="0.35"/>
    <n v="1250"/>
    <n v="437.5"/>
    <n v="109.375"/>
    <n v="0.25"/>
  </r>
  <r>
    <m/>
    <x v="0"/>
    <n v="1185732"/>
    <x v="259"/>
    <x v="0"/>
    <x v="46"/>
    <s v="Providence"/>
    <x v="4"/>
    <n v="0.5"/>
    <n v="1250"/>
    <n v="625"/>
    <n v="156.25"/>
    <n v="0.25"/>
  </r>
  <r>
    <m/>
    <x v="0"/>
    <n v="1185732"/>
    <x v="259"/>
    <x v="0"/>
    <x v="46"/>
    <s v="Providence"/>
    <x v="5"/>
    <n v="0.4"/>
    <n v="2750"/>
    <n v="1100"/>
    <n v="330"/>
    <n v="0.3"/>
  </r>
  <r>
    <m/>
    <x v="0"/>
    <n v="1185732"/>
    <x v="236"/>
    <x v="0"/>
    <x v="46"/>
    <s v="Providence"/>
    <x v="0"/>
    <n v="0.54999999999999993"/>
    <n v="4950"/>
    <n v="2722.4999999999995"/>
    <n v="816.74999999999989"/>
    <n v="0.3"/>
  </r>
  <r>
    <m/>
    <x v="0"/>
    <n v="1185732"/>
    <x v="236"/>
    <x v="0"/>
    <x v="46"/>
    <s v="Providence"/>
    <x v="1"/>
    <n v="0.5"/>
    <n v="2000"/>
    <n v="1000"/>
    <n v="300"/>
    <n v="0.3"/>
  </r>
  <r>
    <m/>
    <x v="0"/>
    <n v="1185732"/>
    <x v="236"/>
    <x v="0"/>
    <x v="46"/>
    <s v="Providence"/>
    <x v="2"/>
    <n v="0.45"/>
    <n v="2250"/>
    <n v="1012.5"/>
    <n v="253.125"/>
    <n v="0.25"/>
  </r>
  <r>
    <m/>
    <x v="0"/>
    <n v="1185732"/>
    <x v="236"/>
    <x v="0"/>
    <x v="46"/>
    <s v="Providence"/>
    <x v="3"/>
    <n v="0.45"/>
    <n v="1750"/>
    <n v="787.5"/>
    <n v="196.875"/>
    <n v="0.25"/>
  </r>
  <r>
    <m/>
    <x v="0"/>
    <n v="1185732"/>
    <x v="236"/>
    <x v="0"/>
    <x v="46"/>
    <s v="Providence"/>
    <x v="4"/>
    <n v="0.54999999999999993"/>
    <n v="2000"/>
    <n v="1099.9999999999998"/>
    <n v="274.99999999999994"/>
    <n v="0.25"/>
  </r>
  <r>
    <m/>
    <x v="0"/>
    <n v="1185732"/>
    <x v="236"/>
    <x v="0"/>
    <x v="46"/>
    <s v="Providence"/>
    <x v="5"/>
    <n v="0.6"/>
    <n v="3250"/>
    <n v="1950"/>
    <n v="585"/>
    <n v="0.3"/>
  </r>
  <r>
    <m/>
    <x v="0"/>
    <n v="1185732"/>
    <x v="41"/>
    <x v="0"/>
    <x v="46"/>
    <s v="Providence"/>
    <x v="0"/>
    <n v="0.54999999999999993"/>
    <n v="5750"/>
    <n v="3162.4999999999995"/>
    <n v="948.74999999999977"/>
    <n v="0.3"/>
  </r>
  <r>
    <m/>
    <x v="0"/>
    <n v="1185732"/>
    <x v="41"/>
    <x v="0"/>
    <x v="46"/>
    <s v="Providence"/>
    <x v="1"/>
    <n v="0.5"/>
    <n v="3250"/>
    <n v="1625"/>
    <n v="487.5"/>
    <n v="0.3"/>
  </r>
  <r>
    <m/>
    <x v="0"/>
    <n v="1185732"/>
    <x v="41"/>
    <x v="0"/>
    <x v="46"/>
    <s v="Providence"/>
    <x v="2"/>
    <n v="0.45"/>
    <n v="2500"/>
    <n v="1125"/>
    <n v="281.25"/>
    <n v="0.25"/>
  </r>
  <r>
    <m/>
    <x v="0"/>
    <n v="1185732"/>
    <x v="41"/>
    <x v="0"/>
    <x v="46"/>
    <s v="Providence"/>
    <x v="3"/>
    <n v="0.45"/>
    <n v="2250"/>
    <n v="1012.5"/>
    <n v="253.125"/>
    <n v="0.25"/>
  </r>
  <r>
    <m/>
    <x v="0"/>
    <n v="1185732"/>
    <x v="41"/>
    <x v="0"/>
    <x v="46"/>
    <s v="Providence"/>
    <x v="4"/>
    <n v="0.54999999999999993"/>
    <n v="2250"/>
    <n v="1237.4999999999998"/>
    <n v="309.37499999999994"/>
    <n v="0.25"/>
  </r>
  <r>
    <m/>
    <x v="0"/>
    <n v="1185732"/>
    <x v="41"/>
    <x v="0"/>
    <x v="46"/>
    <s v="Providence"/>
    <x v="5"/>
    <n v="0.6"/>
    <n v="3750"/>
    <n v="2250"/>
    <n v="675"/>
    <n v="0.3"/>
  </r>
  <r>
    <m/>
    <x v="0"/>
    <n v="1185732"/>
    <x v="260"/>
    <x v="0"/>
    <x v="46"/>
    <s v="Providence"/>
    <x v="0"/>
    <n v="0.54999999999999993"/>
    <n v="6000"/>
    <n v="3299.9999999999995"/>
    <n v="989.99999999999977"/>
    <n v="0.3"/>
  </r>
  <r>
    <m/>
    <x v="0"/>
    <n v="1185732"/>
    <x v="260"/>
    <x v="0"/>
    <x v="46"/>
    <s v="Providence"/>
    <x v="1"/>
    <n v="0.5"/>
    <n v="3500"/>
    <n v="1750"/>
    <n v="525"/>
    <n v="0.3"/>
  </r>
  <r>
    <m/>
    <x v="0"/>
    <n v="1185732"/>
    <x v="260"/>
    <x v="0"/>
    <x v="46"/>
    <s v="Providence"/>
    <x v="2"/>
    <n v="0.45"/>
    <n v="2750"/>
    <n v="1237.5"/>
    <n v="309.375"/>
    <n v="0.25"/>
  </r>
  <r>
    <m/>
    <x v="0"/>
    <n v="1185732"/>
    <x v="260"/>
    <x v="0"/>
    <x v="46"/>
    <s v="Providence"/>
    <x v="3"/>
    <n v="0.45"/>
    <n v="2250"/>
    <n v="1012.5"/>
    <n v="253.125"/>
    <n v="0.25"/>
  </r>
  <r>
    <m/>
    <x v="0"/>
    <n v="1185732"/>
    <x v="260"/>
    <x v="0"/>
    <x v="46"/>
    <s v="Providence"/>
    <x v="4"/>
    <n v="0.54999999999999993"/>
    <n v="2500"/>
    <n v="1374.9999999999998"/>
    <n v="343.74999999999994"/>
    <n v="0.25"/>
  </r>
  <r>
    <m/>
    <x v="0"/>
    <n v="1185732"/>
    <x v="260"/>
    <x v="0"/>
    <x v="46"/>
    <s v="Providence"/>
    <x v="5"/>
    <n v="0.6"/>
    <n v="4250"/>
    <n v="2550"/>
    <n v="765"/>
    <n v="0.3"/>
  </r>
  <r>
    <m/>
    <x v="0"/>
    <n v="1185732"/>
    <x v="261"/>
    <x v="0"/>
    <x v="46"/>
    <s v="Providence"/>
    <x v="0"/>
    <n v="0.54999999999999993"/>
    <n v="5750"/>
    <n v="3162.4999999999995"/>
    <n v="948.74999999999977"/>
    <n v="0.3"/>
  </r>
  <r>
    <m/>
    <x v="0"/>
    <n v="1185732"/>
    <x v="261"/>
    <x v="0"/>
    <x v="46"/>
    <s v="Providence"/>
    <x v="1"/>
    <n v="0.5"/>
    <n v="3500"/>
    <n v="1750"/>
    <n v="525"/>
    <n v="0.3"/>
  </r>
  <r>
    <m/>
    <x v="0"/>
    <n v="1185732"/>
    <x v="261"/>
    <x v="0"/>
    <x v="46"/>
    <s v="Providence"/>
    <x v="2"/>
    <n v="0.45"/>
    <n v="2750"/>
    <n v="1237.5"/>
    <n v="309.375"/>
    <n v="0.25"/>
  </r>
  <r>
    <m/>
    <x v="0"/>
    <n v="1185732"/>
    <x v="261"/>
    <x v="0"/>
    <x v="46"/>
    <s v="Providence"/>
    <x v="3"/>
    <n v="0.45"/>
    <n v="1750"/>
    <n v="787.5"/>
    <n v="196.875"/>
    <n v="0.25"/>
  </r>
  <r>
    <m/>
    <x v="0"/>
    <n v="1185732"/>
    <x v="261"/>
    <x v="0"/>
    <x v="46"/>
    <s v="Providence"/>
    <x v="4"/>
    <n v="0.54999999999999993"/>
    <n v="1500"/>
    <n v="824.99999999999989"/>
    <n v="206.24999999999997"/>
    <n v="0.25"/>
  </r>
  <r>
    <m/>
    <x v="0"/>
    <n v="1185732"/>
    <x v="261"/>
    <x v="0"/>
    <x v="46"/>
    <s v="Providence"/>
    <x v="5"/>
    <n v="0.6"/>
    <n v="3250"/>
    <n v="1950"/>
    <n v="585"/>
    <n v="0.3"/>
  </r>
  <r>
    <m/>
    <x v="0"/>
    <n v="1185732"/>
    <x v="239"/>
    <x v="0"/>
    <x v="46"/>
    <s v="Providence"/>
    <x v="0"/>
    <n v="0.54999999999999993"/>
    <n v="4500"/>
    <n v="2474.9999999999995"/>
    <n v="742.49999999999989"/>
    <n v="0.3"/>
  </r>
  <r>
    <m/>
    <x v="0"/>
    <n v="1185732"/>
    <x v="239"/>
    <x v="0"/>
    <x v="46"/>
    <s v="Providence"/>
    <x v="1"/>
    <n v="0.5"/>
    <n v="2500"/>
    <n v="1250"/>
    <n v="375"/>
    <n v="0.3"/>
  </r>
  <r>
    <m/>
    <x v="0"/>
    <n v="1185732"/>
    <x v="239"/>
    <x v="0"/>
    <x v="46"/>
    <s v="Providence"/>
    <x v="2"/>
    <n v="0.45"/>
    <n v="1500"/>
    <n v="675"/>
    <n v="168.75"/>
    <n v="0.25"/>
  </r>
  <r>
    <m/>
    <x v="0"/>
    <n v="1185732"/>
    <x v="239"/>
    <x v="0"/>
    <x v="46"/>
    <s v="Providence"/>
    <x v="3"/>
    <n v="0.45"/>
    <n v="1250"/>
    <n v="562.5"/>
    <n v="140.625"/>
    <n v="0.25"/>
  </r>
  <r>
    <m/>
    <x v="0"/>
    <n v="1185732"/>
    <x v="239"/>
    <x v="0"/>
    <x v="46"/>
    <s v="Providence"/>
    <x v="4"/>
    <n v="0.54999999999999993"/>
    <n v="1250"/>
    <n v="687.49999999999989"/>
    <n v="171.87499999999997"/>
    <n v="0.25"/>
  </r>
  <r>
    <m/>
    <x v="0"/>
    <n v="1185732"/>
    <x v="239"/>
    <x v="0"/>
    <x v="46"/>
    <s v="Providence"/>
    <x v="5"/>
    <n v="0.6"/>
    <n v="2250"/>
    <n v="1350"/>
    <n v="405"/>
    <n v="0.3"/>
  </r>
  <r>
    <m/>
    <x v="0"/>
    <n v="1185732"/>
    <x v="45"/>
    <x v="0"/>
    <x v="46"/>
    <s v="Providence"/>
    <x v="0"/>
    <n v="0.6"/>
    <n v="4000"/>
    <n v="2400"/>
    <n v="720"/>
    <n v="0.3"/>
  </r>
  <r>
    <m/>
    <x v="0"/>
    <n v="1185732"/>
    <x v="45"/>
    <x v="0"/>
    <x v="46"/>
    <s v="Providence"/>
    <x v="1"/>
    <n v="0.55000000000000004"/>
    <n v="2250"/>
    <n v="1237.5"/>
    <n v="371.25"/>
    <n v="0.3"/>
  </r>
  <r>
    <m/>
    <x v="0"/>
    <n v="1185732"/>
    <x v="45"/>
    <x v="0"/>
    <x v="46"/>
    <s v="Providence"/>
    <x v="2"/>
    <n v="0.55000000000000004"/>
    <n v="1250"/>
    <n v="687.5"/>
    <n v="171.875"/>
    <n v="0.25"/>
  </r>
  <r>
    <m/>
    <x v="0"/>
    <n v="1185732"/>
    <x v="45"/>
    <x v="0"/>
    <x v="46"/>
    <s v="Providence"/>
    <x v="3"/>
    <n v="0.55000000000000004"/>
    <n v="1000"/>
    <n v="550"/>
    <n v="137.5"/>
    <n v="0.25"/>
  </r>
  <r>
    <m/>
    <x v="0"/>
    <n v="1185732"/>
    <x v="45"/>
    <x v="0"/>
    <x v="46"/>
    <s v="Providence"/>
    <x v="4"/>
    <n v="0.65"/>
    <n v="1000"/>
    <n v="650"/>
    <n v="162.5"/>
    <n v="0.25"/>
  </r>
  <r>
    <m/>
    <x v="0"/>
    <n v="1185732"/>
    <x v="45"/>
    <x v="0"/>
    <x v="46"/>
    <s v="Providence"/>
    <x v="5"/>
    <n v="0.7"/>
    <n v="2250"/>
    <n v="1575"/>
    <n v="472.5"/>
    <n v="0.3"/>
  </r>
  <r>
    <m/>
    <x v="0"/>
    <n v="1185732"/>
    <x v="262"/>
    <x v="0"/>
    <x v="46"/>
    <s v="Providence"/>
    <x v="0"/>
    <n v="0.65"/>
    <n v="3750"/>
    <n v="2437.5"/>
    <n v="731.25"/>
    <n v="0.3"/>
  </r>
  <r>
    <m/>
    <x v="0"/>
    <n v="1185732"/>
    <x v="262"/>
    <x v="0"/>
    <x v="46"/>
    <s v="Providence"/>
    <x v="1"/>
    <n v="0.55000000000000004"/>
    <n v="3000"/>
    <n v="1650.0000000000002"/>
    <n v="495.00000000000006"/>
    <n v="0.3"/>
  </r>
  <r>
    <m/>
    <x v="0"/>
    <n v="1185732"/>
    <x v="262"/>
    <x v="0"/>
    <x v="46"/>
    <s v="Providence"/>
    <x v="2"/>
    <n v="0.55000000000000004"/>
    <n v="2950"/>
    <n v="1622.5000000000002"/>
    <n v="405.62500000000006"/>
    <n v="0.25"/>
  </r>
  <r>
    <m/>
    <x v="0"/>
    <n v="1185732"/>
    <x v="262"/>
    <x v="0"/>
    <x v="46"/>
    <s v="Providence"/>
    <x v="3"/>
    <n v="0.55000000000000004"/>
    <n v="2750"/>
    <n v="1512.5000000000002"/>
    <n v="378.12500000000006"/>
    <n v="0.25"/>
  </r>
  <r>
    <m/>
    <x v="0"/>
    <n v="1185732"/>
    <x v="262"/>
    <x v="0"/>
    <x v="46"/>
    <s v="Providence"/>
    <x v="4"/>
    <n v="0.65"/>
    <n v="2500"/>
    <n v="1625"/>
    <n v="406.25"/>
    <n v="0.25"/>
  </r>
  <r>
    <m/>
    <x v="0"/>
    <n v="1185732"/>
    <x v="262"/>
    <x v="0"/>
    <x v="46"/>
    <s v="Providence"/>
    <x v="5"/>
    <n v="0.7"/>
    <n v="3500"/>
    <n v="2450"/>
    <n v="735"/>
    <n v="0.3"/>
  </r>
  <r>
    <m/>
    <x v="0"/>
    <n v="1185732"/>
    <x v="263"/>
    <x v="0"/>
    <x v="46"/>
    <s v="Providence"/>
    <x v="0"/>
    <n v="0.65"/>
    <n v="5750"/>
    <n v="3737.5"/>
    <n v="1121.25"/>
    <n v="0.3"/>
  </r>
  <r>
    <m/>
    <x v="0"/>
    <n v="1185732"/>
    <x v="263"/>
    <x v="0"/>
    <x v="46"/>
    <s v="Providence"/>
    <x v="1"/>
    <n v="0.55000000000000004"/>
    <n v="3750"/>
    <n v="2062.5"/>
    <n v="618.75"/>
    <n v="0.3"/>
  </r>
  <r>
    <m/>
    <x v="0"/>
    <n v="1185732"/>
    <x v="263"/>
    <x v="0"/>
    <x v="46"/>
    <s v="Providence"/>
    <x v="2"/>
    <n v="0.55000000000000004"/>
    <n v="3500"/>
    <n v="1925.0000000000002"/>
    <n v="481.25000000000006"/>
    <n v="0.25"/>
  </r>
  <r>
    <m/>
    <x v="0"/>
    <n v="1185732"/>
    <x v="263"/>
    <x v="0"/>
    <x v="46"/>
    <s v="Providence"/>
    <x v="3"/>
    <n v="0.55000000000000004"/>
    <n v="3000"/>
    <n v="1650.0000000000002"/>
    <n v="412.50000000000006"/>
    <n v="0.25"/>
  </r>
  <r>
    <m/>
    <x v="0"/>
    <n v="1185732"/>
    <x v="263"/>
    <x v="0"/>
    <x v="46"/>
    <s v="Providence"/>
    <x v="4"/>
    <n v="0.65"/>
    <n v="3000"/>
    <n v="1950"/>
    <n v="487.5"/>
    <n v="0.25"/>
  </r>
  <r>
    <m/>
    <x v="0"/>
    <n v="1185732"/>
    <x v="263"/>
    <x v="0"/>
    <x v="46"/>
    <s v="Providence"/>
    <x v="5"/>
    <n v="0.7"/>
    <n v="4000"/>
    <n v="2800"/>
    <n v="840"/>
    <n v="0.3"/>
  </r>
  <r>
    <s v="x"/>
    <x v="0"/>
    <n v="1185732"/>
    <x v="0"/>
    <x v="0"/>
    <x v="47"/>
    <s v="Boston"/>
    <x v="0"/>
    <n v="0.45"/>
    <n v="5250"/>
    <n v="2362.5"/>
    <n v="1063.125"/>
    <n v="0.45"/>
  </r>
  <r>
    <m/>
    <x v="0"/>
    <n v="1185732"/>
    <x v="0"/>
    <x v="0"/>
    <x v="47"/>
    <s v="Boston"/>
    <x v="1"/>
    <n v="0.45"/>
    <n v="3250"/>
    <n v="1462.5"/>
    <n v="658.125"/>
    <n v="0.45"/>
  </r>
  <r>
    <m/>
    <x v="0"/>
    <n v="1185732"/>
    <x v="0"/>
    <x v="0"/>
    <x v="47"/>
    <s v="Boston"/>
    <x v="2"/>
    <n v="0.35000000000000003"/>
    <n v="3250"/>
    <n v="1137.5"/>
    <n v="398.125"/>
    <n v="0.35"/>
  </r>
  <r>
    <m/>
    <x v="0"/>
    <n v="1185732"/>
    <x v="0"/>
    <x v="0"/>
    <x v="47"/>
    <s v="Boston"/>
    <x v="3"/>
    <n v="0.39999999999999997"/>
    <n v="1750"/>
    <n v="699.99999999999989"/>
    <n v="244.99999999999994"/>
    <n v="0.35"/>
  </r>
  <r>
    <m/>
    <x v="0"/>
    <n v="1185732"/>
    <x v="0"/>
    <x v="0"/>
    <x v="47"/>
    <s v="Boston"/>
    <x v="4"/>
    <n v="0.55000000000000004"/>
    <n v="2250"/>
    <n v="1237.5"/>
    <n v="433.125"/>
    <n v="0.35"/>
  </r>
  <r>
    <m/>
    <x v="0"/>
    <n v="1185732"/>
    <x v="0"/>
    <x v="0"/>
    <x v="47"/>
    <s v="Boston"/>
    <x v="5"/>
    <n v="0.45"/>
    <n v="3250"/>
    <n v="1462.5"/>
    <n v="585"/>
    <n v="0.39999999999999997"/>
  </r>
  <r>
    <m/>
    <x v="0"/>
    <n v="1185732"/>
    <x v="1"/>
    <x v="0"/>
    <x v="47"/>
    <s v="Boston"/>
    <x v="0"/>
    <n v="0.45"/>
    <n v="5750"/>
    <n v="2587.5"/>
    <n v="1164.375"/>
    <n v="0.45"/>
  </r>
  <r>
    <m/>
    <x v="0"/>
    <n v="1185732"/>
    <x v="1"/>
    <x v="0"/>
    <x v="47"/>
    <s v="Boston"/>
    <x v="1"/>
    <n v="0.45"/>
    <n v="2250"/>
    <n v="1012.5"/>
    <n v="455.625"/>
    <n v="0.45"/>
  </r>
  <r>
    <m/>
    <x v="0"/>
    <n v="1185732"/>
    <x v="1"/>
    <x v="0"/>
    <x v="47"/>
    <s v="Boston"/>
    <x v="2"/>
    <n v="0.35000000000000003"/>
    <n v="2750"/>
    <n v="962.50000000000011"/>
    <n v="336.875"/>
    <n v="0.35"/>
  </r>
  <r>
    <m/>
    <x v="0"/>
    <n v="1185732"/>
    <x v="1"/>
    <x v="0"/>
    <x v="47"/>
    <s v="Boston"/>
    <x v="3"/>
    <n v="0.39999999999999997"/>
    <n v="1500"/>
    <n v="600"/>
    <n v="210"/>
    <n v="0.35"/>
  </r>
  <r>
    <m/>
    <x v="0"/>
    <n v="1185732"/>
    <x v="1"/>
    <x v="0"/>
    <x v="47"/>
    <s v="Boston"/>
    <x v="4"/>
    <n v="0.55000000000000004"/>
    <n v="2250"/>
    <n v="1237.5"/>
    <n v="433.125"/>
    <n v="0.35"/>
  </r>
  <r>
    <m/>
    <x v="0"/>
    <n v="1185732"/>
    <x v="1"/>
    <x v="0"/>
    <x v="47"/>
    <s v="Boston"/>
    <x v="5"/>
    <n v="0.45"/>
    <n v="3250"/>
    <n v="1462.5"/>
    <n v="585"/>
    <n v="0.39999999999999997"/>
  </r>
  <r>
    <m/>
    <x v="0"/>
    <n v="1185732"/>
    <x v="2"/>
    <x v="0"/>
    <x v="47"/>
    <s v="Boston"/>
    <x v="0"/>
    <n v="0.45"/>
    <n v="5450"/>
    <n v="2452.5"/>
    <n v="1103.625"/>
    <n v="0.45"/>
  </r>
  <r>
    <m/>
    <x v="0"/>
    <n v="1185732"/>
    <x v="2"/>
    <x v="0"/>
    <x v="47"/>
    <s v="Boston"/>
    <x v="1"/>
    <n v="0.45"/>
    <n v="2500"/>
    <n v="1125"/>
    <n v="506.25"/>
    <n v="0.45"/>
  </r>
  <r>
    <m/>
    <x v="0"/>
    <n v="1185732"/>
    <x v="2"/>
    <x v="0"/>
    <x v="47"/>
    <s v="Boston"/>
    <x v="2"/>
    <n v="0.35000000000000003"/>
    <n v="2750"/>
    <n v="962.50000000000011"/>
    <n v="336.875"/>
    <n v="0.35"/>
  </r>
  <r>
    <m/>
    <x v="0"/>
    <n v="1185732"/>
    <x v="2"/>
    <x v="0"/>
    <x v="47"/>
    <s v="Boston"/>
    <x v="3"/>
    <n v="0.39999999999999997"/>
    <n v="1250"/>
    <n v="499.99999999999994"/>
    <n v="174.99999999999997"/>
    <n v="0.35"/>
  </r>
  <r>
    <m/>
    <x v="0"/>
    <n v="1185732"/>
    <x v="2"/>
    <x v="0"/>
    <x v="47"/>
    <s v="Boston"/>
    <x v="4"/>
    <n v="0.55000000000000004"/>
    <n v="1750"/>
    <n v="962.50000000000011"/>
    <n v="336.875"/>
    <n v="0.35"/>
  </r>
  <r>
    <m/>
    <x v="0"/>
    <n v="1185732"/>
    <x v="2"/>
    <x v="0"/>
    <x v="47"/>
    <s v="Boston"/>
    <x v="5"/>
    <n v="0.45"/>
    <n v="2750"/>
    <n v="1237.5"/>
    <n v="494.99999999999994"/>
    <n v="0.39999999999999997"/>
  </r>
  <r>
    <m/>
    <x v="0"/>
    <n v="1185732"/>
    <x v="3"/>
    <x v="0"/>
    <x v="47"/>
    <s v="Boston"/>
    <x v="0"/>
    <n v="0.45"/>
    <n v="5250"/>
    <n v="2362.5"/>
    <n v="1063.125"/>
    <n v="0.45"/>
  </r>
  <r>
    <m/>
    <x v="0"/>
    <n v="1185732"/>
    <x v="3"/>
    <x v="0"/>
    <x v="47"/>
    <s v="Boston"/>
    <x v="1"/>
    <n v="0.45"/>
    <n v="2250"/>
    <n v="1012.5"/>
    <n v="455.625"/>
    <n v="0.45"/>
  </r>
  <r>
    <m/>
    <x v="0"/>
    <n v="1185732"/>
    <x v="3"/>
    <x v="0"/>
    <x v="47"/>
    <s v="Boston"/>
    <x v="2"/>
    <n v="0.35000000000000003"/>
    <n v="2250"/>
    <n v="787.50000000000011"/>
    <n v="275.625"/>
    <n v="0.35"/>
  </r>
  <r>
    <m/>
    <x v="0"/>
    <n v="1185732"/>
    <x v="3"/>
    <x v="0"/>
    <x v="47"/>
    <s v="Boston"/>
    <x v="3"/>
    <n v="0.39999999999999997"/>
    <n v="1500"/>
    <n v="600"/>
    <n v="210"/>
    <n v="0.35"/>
  </r>
  <r>
    <m/>
    <x v="0"/>
    <n v="1185732"/>
    <x v="3"/>
    <x v="0"/>
    <x v="47"/>
    <s v="Boston"/>
    <x v="4"/>
    <n v="0.55000000000000004"/>
    <n v="1500"/>
    <n v="825.00000000000011"/>
    <n v="288.75"/>
    <n v="0.35"/>
  </r>
  <r>
    <m/>
    <x v="0"/>
    <n v="1185732"/>
    <x v="3"/>
    <x v="0"/>
    <x v="47"/>
    <s v="Boston"/>
    <x v="5"/>
    <n v="0.45"/>
    <n v="3000"/>
    <n v="1350"/>
    <n v="540"/>
    <n v="0.39999999999999997"/>
  </r>
  <r>
    <m/>
    <x v="0"/>
    <n v="1185732"/>
    <x v="4"/>
    <x v="0"/>
    <x v="47"/>
    <s v="Boston"/>
    <x v="0"/>
    <n v="0.6"/>
    <n v="5700"/>
    <n v="3420"/>
    <n v="1539"/>
    <n v="0.45"/>
  </r>
  <r>
    <m/>
    <x v="0"/>
    <n v="1185732"/>
    <x v="4"/>
    <x v="0"/>
    <x v="47"/>
    <s v="Boston"/>
    <x v="1"/>
    <n v="0.55000000000000004"/>
    <n v="2750"/>
    <n v="1512.5000000000002"/>
    <n v="680.62500000000011"/>
    <n v="0.45"/>
  </r>
  <r>
    <m/>
    <x v="0"/>
    <n v="1185732"/>
    <x v="4"/>
    <x v="0"/>
    <x v="47"/>
    <s v="Boston"/>
    <x v="2"/>
    <n v="0.5"/>
    <n v="3000"/>
    <n v="1500"/>
    <n v="525"/>
    <n v="0.35"/>
  </r>
  <r>
    <m/>
    <x v="0"/>
    <n v="1185732"/>
    <x v="4"/>
    <x v="0"/>
    <x v="47"/>
    <s v="Boston"/>
    <x v="3"/>
    <n v="0.5"/>
    <n v="2500"/>
    <n v="1250"/>
    <n v="437.5"/>
    <n v="0.35"/>
  </r>
  <r>
    <m/>
    <x v="0"/>
    <n v="1185732"/>
    <x v="4"/>
    <x v="0"/>
    <x v="47"/>
    <s v="Boston"/>
    <x v="4"/>
    <n v="0.6"/>
    <n v="2750"/>
    <n v="1650"/>
    <n v="577.5"/>
    <n v="0.35"/>
  </r>
  <r>
    <m/>
    <x v="0"/>
    <n v="1185732"/>
    <x v="4"/>
    <x v="0"/>
    <x v="47"/>
    <s v="Boston"/>
    <x v="5"/>
    <n v="0.65"/>
    <n v="4000"/>
    <n v="2600"/>
    <n v="1040"/>
    <n v="0.39999999999999997"/>
  </r>
  <r>
    <m/>
    <x v="0"/>
    <n v="1185732"/>
    <x v="5"/>
    <x v="0"/>
    <x v="47"/>
    <s v="Boston"/>
    <x v="0"/>
    <n v="0.6"/>
    <n v="6500"/>
    <n v="3900"/>
    <n v="1755"/>
    <n v="0.45"/>
  </r>
  <r>
    <m/>
    <x v="0"/>
    <n v="1185732"/>
    <x v="5"/>
    <x v="0"/>
    <x v="47"/>
    <s v="Boston"/>
    <x v="1"/>
    <n v="0.55000000000000004"/>
    <n v="4000"/>
    <n v="2200"/>
    <n v="990"/>
    <n v="0.45"/>
  </r>
  <r>
    <m/>
    <x v="0"/>
    <n v="1185732"/>
    <x v="5"/>
    <x v="0"/>
    <x v="47"/>
    <s v="Boston"/>
    <x v="2"/>
    <n v="0.5"/>
    <n v="3250"/>
    <n v="1625"/>
    <n v="568.75"/>
    <n v="0.35"/>
  </r>
  <r>
    <m/>
    <x v="0"/>
    <n v="1185732"/>
    <x v="5"/>
    <x v="0"/>
    <x v="47"/>
    <s v="Boston"/>
    <x v="3"/>
    <n v="0.5"/>
    <n v="3000"/>
    <n v="1500"/>
    <n v="525"/>
    <n v="0.35"/>
  </r>
  <r>
    <m/>
    <x v="0"/>
    <n v="1185732"/>
    <x v="5"/>
    <x v="0"/>
    <x v="47"/>
    <s v="Boston"/>
    <x v="4"/>
    <n v="0.6"/>
    <n v="3000"/>
    <n v="1800"/>
    <n v="630"/>
    <n v="0.35"/>
  </r>
  <r>
    <m/>
    <x v="0"/>
    <n v="1185732"/>
    <x v="5"/>
    <x v="0"/>
    <x v="47"/>
    <s v="Boston"/>
    <x v="5"/>
    <n v="0.65"/>
    <n v="4500"/>
    <n v="2925"/>
    <n v="1170"/>
    <n v="0.39999999999999997"/>
  </r>
  <r>
    <m/>
    <x v="0"/>
    <n v="1185732"/>
    <x v="6"/>
    <x v="0"/>
    <x v="47"/>
    <s v="Boston"/>
    <x v="0"/>
    <n v="0.6"/>
    <n v="6750"/>
    <n v="4050"/>
    <n v="1822.5"/>
    <n v="0.45"/>
  </r>
  <r>
    <m/>
    <x v="0"/>
    <n v="1185732"/>
    <x v="6"/>
    <x v="0"/>
    <x v="47"/>
    <s v="Boston"/>
    <x v="1"/>
    <n v="0.55000000000000004"/>
    <n v="4250"/>
    <n v="2337.5"/>
    <n v="1051.875"/>
    <n v="0.45"/>
  </r>
  <r>
    <m/>
    <x v="0"/>
    <n v="1185732"/>
    <x v="6"/>
    <x v="0"/>
    <x v="47"/>
    <s v="Boston"/>
    <x v="2"/>
    <n v="0.5"/>
    <n v="3500"/>
    <n v="1750"/>
    <n v="612.5"/>
    <n v="0.35"/>
  </r>
  <r>
    <m/>
    <x v="0"/>
    <n v="1185732"/>
    <x v="6"/>
    <x v="0"/>
    <x v="47"/>
    <s v="Boston"/>
    <x v="3"/>
    <n v="0.5"/>
    <n v="3000"/>
    <n v="1500"/>
    <n v="525"/>
    <n v="0.35"/>
  </r>
  <r>
    <m/>
    <x v="0"/>
    <n v="1185732"/>
    <x v="6"/>
    <x v="0"/>
    <x v="47"/>
    <s v="Boston"/>
    <x v="4"/>
    <n v="0.6"/>
    <n v="3250"/>
    <n v="1950"/>
    <n v="682.5"/>
    <n v="0.35"/>
  </r>
  <r>
    <m/>
    <x v="0"/>
    <n v="1185732"/>
    <x v="6"/>
    <x v="0"/>
    <x v="47"/>
    <s v="Boston"/>
    <x v="5"/>
    <n v="0.65"/>
    <n v="5000"/>
    <n v="3250"/>
    <n v="1300"/>
    <n v="0.39999999999999997"/>
  </r>
  <r>
    <m/>
    <x v="0"/>
    <n v="1185732"/>
    <x v="7"/>
    <x v="0"/>
    <x v="47"/>
    <s v="Boston"/>
    <x v="0"/>
    <n v="0.6"/>
    <n v="6500"/>
    <n v="3900"/>
    <n v="1755"/>
    <n v="0.45"/>
  </r>
  <r>
    <m/>
    <x v="0"/>
    <n v="1185732"/>
    <x v="7"/>
    <x v="0"/>
    <x v="47"/>
    <s v="Boston"/>
    <x v="1"/>
    <n v="0.55000000000000004"/>
    <n v="4250"/>
    <n v="2337.5"/>
    <n v="1051.875"/>
    <n v="0.45"/>
  </r>
  <r>
    <m/>
    <x v="0"/>
    <n v="1185732"/>
    <x v="7"/>
    <x v="0"/>
    <x v="47"/>
    <s v="Boston"/>
    <x v="2"/>
    <n v="0.5"/>
    <n v="3500"/>
    <n v="1750"/>
    <n v="612.5"/>
    <n v="0.35"/>
  </r>
  <r>
    <m/>
    <x v="0"/>
    <n v="1185732"/>
    <x v="7"/>
    <x v="0"/>
    <x v="47"/>
    <s v="Boston"/>
    <x v="3"/>
    <n v="0.5"/>
    <n v="2500"/>
    <n v="1250"/>
    <n v="437.5"/>
    <n v="0.35"/>
  </r>
  <r>
    <m/>
    <x v="0"/>
    <n v="1185732"/>
    <x v="7"/>
    <x v="0"/>
    <x v="47"/>
    <s v="Boston"/>
    <x v="4"/>
    <n v="0.6"/>
    <n v="2250"/>
    <n v="1350"/>
    <n v="472.49999999999994"/>
    <n v="0.35"/>
  </r>
  <r>
    <m/>
    <x v="0"/>
    <n v="1185732"/>
    <x v="7"/>
    <x v="0"/>
    <x v="47"/>
    <s v="Boston"/>
    <x v="5"/>
    <n v="0.65"/>
    <n v="4000"/>
    <n v="2600"/>
    <n v="1040"/>
    <n v="0.39999999999999997"/>
  </r>
  <r>
    <m/>
    <x v="0"/>
    <n v="1185732"/>
    <x v="8"/>
    <x v="0"/>
    <x v="47"/>
    <s v="Boston"/>
    <x v="0"/>
    <n v="0.6"/>
    <n v="5250"/>
    <n v="3150"/>
    <n v="1417.5"/>
    <n v="0.45"/>
  </r>
  <r>
    <m/>
    <x v="0"/>
    <n v="1185732"/>
    <x v="8"/>
    <x v="0"/>
    <x v="47"/>
    <s v="Boston"/>
    <x v="1"/>
    <n v="0.55000000000000004"/>
    <n v="3250"/>
    <n v="1787.5000000000002"/>
    <n v="804.37500000000011"/>
    <n v="0.45"/>
  </r>
  <r>
    <m/>
    <x v="0"/>
    <n v="1185732"/>
    <x v="8"/>
    <x v="0"/>
    <x v="47"/>
    <s v="Boston"/>
    <x v="2"/>
    <n v="0.5"/>
    <n v="2250"/>
    <n v="1125"/>
    <n v="393.75"/>
    <n v="0.35"/>
  </r>
  <r>
    <m/>
    <x v="0"/>
    <n v="1185732"/>
    <x v="8"/>
    <x v="0"/>
    <x v="47"/>
    <s v="Boston"/>
    <x v="3"/>
    <n v="0.5"/>
    <n v="2000"/>
    <n v="1000"/>
    <n v="350"/>
    <n v="0.35"/>
  </r>
  <r>
    <m/>
    <x v="0"/>
    <n v="1185732"/>
    <x v="8"/>
    <x v="0"/>
    <x v="47"/>
    <s v="Boston"/>
    <x v="4"/>
    <n v="0.6"/>
    <n v="2000"/>
    <n v="1200"/>
    <n v="420"/>
    <n v="0.35"/>
  </r>
  <r>
    <m/>
    <x v="0"/>
    <n v="1185732"/>
    <x v="8"/>
    <x v="0"/>
    <x v="47"/>
    <s v="Boston"/>
    <x v="5"/>
    <n v="0.65"/>
    <n v="3000"/>
    <n v="1950"/>
    <n v="779.99999999999989"/>
    <n v="0.39999999999999997"/>
  </r>
  <r>
    <m/>
    <x v="0"/>
    <n v="1185732"/>
    <x v="9"/>
    <x v="0"/>
    <x v="47"/>
    <s v="Boston"/>
    <x v="0"/>
    <n v="0.65"/>
    <n v="4750"/>
    <n v="3087.5"/>
    <n v="1389.375"/>
    <n v="0.45"/>
  </r>
  <r>
    <m/>
    <x v="0"/>
    <n v="1185732"/>
    <x v="9"/>
    <x v="0"/>
    <x v="47"/>
    <s v="Boston"/>
    <x v="1"/>
    <n v="0.60000000000000009"/>
    <n v="3000"/>
    <n v="1800.0000000000002"/>
    <n v="810.00000000000011"/>
    <n v="0.45"/>
  </r>
  <r>
    <m/>
    <x v="0"/>
    <n v="1185732"/>
    <x v="9"/>
    <x v="0"/>
    <x v="47"/>
    <s v="Boston"/>
    <x v="2"/>
    <n v="0.60000000000000009"/>
    <n v="2000"/>
    <n v="1200.0000000000002"/>
    <n v="420.00000000000006"/>
    <n v="0.35"/>
  </r>
  <r>
    <m/>
    <x v="0"/>
    <n v="1185732"/>
    <x v="9"/>
    <x v="0"/>
    <x v="47"/>
    <s v="Boston"/>
    <x v="3"/>
    <n v="0.60000000000000009"/>
    <n v="1750"/>
    <n v="1050.0000000000002"/>
    <n v="367.50000000000006"/>
    <n v="0.35"/>
  </r>
  <r>
    <m/>
    <x v="0"/>
    <n v="1185732"/>
    <x v="9"/>
    <x v="0"/>
    <x v="47"/>
    <s v="Boston"/>
    <x v="4"/>
    <n v="0.70000000000000007"/>
    <n v="1750"/>
    <n v="1225.0000000000002"/>
    <n v="428.75000000000006"/>
    <n v="0.35"/>
  </r>
  <r>
    <m/>
    <x v="0"/>
    <n v="1185732"/>
    <x v="9"/>
    <x v="0"/>
    <x v="47"/>
    <s v="Boston"/>
    <x v="5"/>
    <n v="0.75"/>
    <n v="3000"/>
    <n v="2250"/>
    <n v="899.99999999999989"/>
    <n v="0.39999999999999997"/>
  </r>
  <r>
    <m/>
    <x v="0"/>
    <n v="1185732"/>
    <x v="10"/>
    <x v="0"/>
    <x v="47"/>
    <s v="Boston"/>
    <x v="0"/>
    <n v="0.70000000000000007"/>
    <n v="4500"/>
    <n v="3150.0000000000005"/>
    <n v="1417.5000000000002"/>
    <n v="0.45"/>
  </r>
  <r>
    <m/>
    <x v="0"/>
    <n v="1185732"/>
    <x v="10"/>
    <x v="0"/>
    <x v="47"/>
    <s v="Boston"/>
    <x v="1"/>
    <n v="0.60000000000000009"/>
    <n v="3250"/>
    <n v="1950.0000000000002"/>
    <n v="877.50000000000011"/>
    <n v="0.45"/>
  </r>
  <r>
    <m/>
    <x v="0"/>
    <n v="1185732"/>
    <x v="10"/>
    <x v="0"/>
    <x v="47"/>
    <s v="Boston"/>
    <x v="2"/>
    <n v="0.60000000000000009"/>
    <n v="3200"/>
    <n v="1920.0000000000002"/>
    <n v="672"/>
    <n v="0.35"/>
  </r>
  <r>
    <m/>
    <x v="0"/>
    <n v="1185732"/>
    <x v="10"/>
    <x v="0"/>
    <x v="47"/>
    <s v="Boston"/>
    <x v="3"/>
    <n v="0.60000000000000009"/>
    <n v="3000"/>
    <n v="1800.0000000000002"/>
    <n v="630"/>
    <n v="0.35"/>
  </r>
  <r>
    <m/>
    <x v="0"/>
    <n v="1185732"/>
    <x v="10"/>
    <x v="0"/>
    <x v="47"/>
    <s v="Boston"/>
    <x v="4"/>
    <n v="0.70000000000000007"/>
    <n v="2750"/>
    <n v="1925.0000000000002"/>
    <n v="673.75"/>
    <n v="0.35"/>
  </r>
  <r>
    <m/>
    <x v="0"/>
    <n v="1185732"/>
    <x v="10"/>
    <x v="0"/>
    <x v="47"/>
    <s v="Boston"/>
    <x v="5"/>
    <n v="0.75"/>
    <n v="3750"/>
    <n v="2812.5"/>
    <n v="1125"/>
    <n v="0.39999999999999997"/>
  </r>
  <r>
    <m/>
    <x v="0"/>
    <n v="1185732"/>
    <x v="11"/>
    <x v="0"/>
    <x v="47"/>
    <s v="Boston"/>
    <x v="0"/>
    <n v="0.70000000000000007"/>
    <n v="6000"/>
    <n v="4200"/>
    <n v="1890"/>
    <n v="0.45"/>
  </r>
  <r>
    <m/>
    <x v="0"/>
    <n v="1185732"/>
    <x v="11"/>
    <x v="0"/>
    <x v="47"/>
    <s v="Boston"/>
    <x v="1"/>
    <n v="0.60000000000000009"/>
    <n v="4000"/>
    <n v="2400.0000000000005"/>
    <n v="1080.0000000000002"/>
    <n v="0.45"/>
  </r>
  <r>
    <m/>
    <x v="0"/>
    <n v="1185732"/>
    <x v="11"/>
    <x v="0"/>
    <x v="47"/>
    <s v="Boston"/>
    <x v="2"/>
    <n v="0.60000000000000009"/>
    <n v="3750"/>
    <n v="2250.0000000000005"/>
    <n v="787.50000000000011"/>
    <n v="0.35"/>
  </r>
  <r>
    <m/>
    <x v="0"/>
    <n v="1185732"/>
    <x v="11"/>
    <x v="0"/>
    <x v="47"/>
    <s v="Boston"/>
    <x v="3"/>
    <n v="0.60000000000000009"/>
    <n v="3250"/>
    <n v="1950.0000000000002"/>
    <n v="682.5"/>
    <n v="0.35"/>
  </r>
  <r>
    <m/>
    <x v="0"/>
    <n v="1185732"/>
    <x v="11"/>
    <x v="0"/>
    <x v="47"/>
    <s v="Boston"/>
    <x v="4"/>
    <n v="0.70000000000000007"/>
    <n v="3250"/>
    <n v="2275"/>
    <n v="796.25"/>
    <n v="0.35"/>
  </r>
  <r>
    <m/>
    <x v="0"/>
    <n v="1185732"/>
    <x v="11"/>
    <x v="0"/>
    <x v="47"/>
    <s v="Boston"/>
    <x v="5"/>
    <n v="0.75"/>
    <n v="4250"/>
    <n v="3187.5"/>
    <n v="1275"/>
    <n v="0.39999999999999997"/>
  </r>
  <r>
    <s v="x"/>
    <x v="0"/>
    <n v="1185732"/>
    <x v="124"/>
    <x v="0"/>
    <x v="48"/>
    <s v="Burlington"/>
    <x v="0"/>
    <n v="0.5"/>
    <n v="5250"/>
    <n v="2625"/>
    <n v="1050"/>
    <n v="0.4"/>
  </r>
  <r>
    <m/>
    <x v="0"/>
    <n v="1185732"/>
    <x v="124"/>
    <x v="0"/>
    <x v="48"/>
    <s v="Burlington"/>
    <x v="1"/>
    <n v="0.5"/>
    <n v="3250"/>
    <n v="1625"/>
    <n v="650"/>
    <n v="0.4"/>
  </r>
  <r>
    <m/>
    <x v="0"/>
    <n v="1185732"/>
    <x v="124"/>
    <x v="0"/>
    <x v="48"/>
    <s v="Burlington"/>
    <x v="2"/>
    <n v="0.4"/>
    <n v="3250"/>
    <n v="1300"/>
    <n v="390"/>
    <n v="0.3"/>
  </r>
  <r>
    <m/>
    <x v="0"/>
    <n v="1185732"/>
    <x v="124"/>
    <x v="0"/>
    <x v="48"/>
    <s v="Burlington"/>
    <x v="3"/>
    <n v="0.44999999999999996"/>
    <n v="1750"/>
    <n v="787.49999999999989"/>
    <n v="236.24999999999994"/>
    <n v="0.3"/>
  </r>
  <r>
    <m/>
    <x v="0"/>
    <n v="1185732"/>
    <x v="124"/>
    <x v="0"/>
    <x v="48"/>
    <s v="Burlington"/>
    <x v="4"/>
    <n v="0.60000000000000009"/>
    <n v="2250"/>
    <n v="1350.0000000000002"/>
    <n v="405.00000000000006"/>
    <n v="0.3"/>
  </r>
  <r>
    <m/>
    <x v="0"/>
    <n v="1185732"/>
    <x v="124"/>
    <x v="0"/>
    <x v="48"/>
    <s v="Burlington"/>
    <x v="5"/>
    <n v="0.5"/>
    <n v="3250"/>
    <n v="1625"/>
    <n v="568.75"/>
    <n v="0.35"/>
  </r>
  <r>
    <m/>
    <x v="0"/>
    <n v="1185732"/>
    <x v="125"/>
    <x v="0"/>
    <x v="48"/>
    <s v="Burlington"/>
    <x v="0"/>
    <n v="0.5"/>
    <n v="6000"/>
    <n v="3000"/>
    <n v="1200"/>
    <n v="0.4"/>
  </r>
  <r>
    <m/>
    <x v="0"/>
    <n v="1185732"/>
    <x v="125"/>
    <x v="0"/>
    <x v="48"/>
    <s v="Burlington"/>
    <x v="1"/>
    <n v="0.5"/>
    <n v="2500"/>
    <n v="1250"/>
    <n v="500"/>
    <n v="0.4"/>
  </r>
  <r>
    <m/>
    <x v="0"/>
    <n v="1185732"/>
    <x v="125"/>
    <x v="0"/>
    <x v="48"/>
    <s v="Burlington"/>
    <x v="2"/>
    <n v="0.4"/>
    <n v="3000"/>
    <n v="1200"/>
    <n v="360"/>
    <n v="0.3"/>
  </r>
  <r>
    <m/>
    <x v="0"/>
    <n v="1185732"/>
    <x v="125"/>
    <x v="0"/>
    <x v="48"/>
    <s v="Burlington"/>
    <x v="3"/>
    <n v="0.44999999999999996"/>
    <n v="2000"/>
    <n v="899.99999999999989"/>
    <n v="269.99999999999994"/>
    <n v="0.3"/>
  </r>
  <r>
    <m/>
    <x v="0"/>
    <n v="1185732"/>
    <x v="125"/>
    <x v="0"/>
    <x v="48"/>
    <s v="Burlington"/>
    <x v="4"/>
    <n v="0.60000000000000009"/>
    <n v="2750"/>
    <n v="1650.0000000000002"/>
    <n v="495.00000000000006"/>
    <n v="0.3"/>
  </r>
  <r>
    <m/>
    <x v="0"/>
    <n v="1185732"/>
    <x v="125"/>
    <x v="0"/>
    <x v="48"/>
    <s v="Burlington"/>
    <x v="5"/>
    <n v="0.5"/>
    <n v="3750"/>
    <n v="1875"/>
    <n v="656.25"/>
    <n v="0.35"/>
  </r>
  <r>
    <m/>
    <x v="0"/>
    <n v="1185732"/>
    <x v="126"/>
    <x v="0"/>
    <x v="48"/>
    <s v="Burlington"/>
    <x v="0"/>
    <n v="0.5"/>
    <n v="5700"/>
    <n v="2850"/>
    <n v="1140"/>
    <n v="0.4"/>
  </r>
  <r>
    <m/>
    <x v="0"/>
    <n v="1185732"/>
    <x v="126"/>
    <x v="0"/>
    <x v="48"/>
    <s v="Burlington"/>
    <x v="1"/>
    <n v="0.5"/>
    <n v="2750"/>
    <n v="1375"/>
    <n v="550"/>
    <n v="0.4"/>
  </r>
  <r>
    <m/>
    <x v="0"/>
    <n v="1185732"/>
    <x v="126"/>
    <x v="0"/>
    <x v="48"/>
    <s v="Burlington"/>
    <x v="2"/>
    <n v="0.4"/>
    <n v="3000"/>
    <n v="1200"/>
    <n v="360"/>
    <n v="0.3"/>
  </r>
  <r>
    <m/>
    <x v="0"/>
    <n v="1185732"/>
    <x v="126"/>
    <x v="0"/>
    <x v="48"/>
    <s v="Burlington"/>
    <x v="3"/>
    <n v="0.44999999999999996"/>
    <n v="1500"/>
    <n v="674.99999999999989"/>
    <n v="202.49999999999997"/>
    <n v="0.3"/>
  </r>
  <r>
    <m/>
    <x v="0"/>
    <n v="1185732"/>
    <x v="126"/>
    <x v="0"/>
    <x v="48"/>
    <s v="Burlington"/>
    <x v="4"/>
    <n v="0.60000000000000009"/>
    <n v="2000"/>
    <n v="1200.0000000000002"/>
    <n v="360.00000000000006"/>
    <n v="0.3"/>
  </r>
  <r>
    <m/>
    <x v="0"/>
    <n v="1185732"/>
    <x v="126"/>
    <x v="0"/>
    <x v="48"/>
    <s v="Burlington"/>
    <x v="5"/>
    <n v="0.5"/>
    <n v="3000"/>
    <n v="1500"/>
    <n v="525"/>
    <n v="0.35"/>
  </r>
  <r>
    <m/>
    <x v="0"/>
    <n v="1185732"/>
    <x v="127"/>
    <x v="0"/>
    <x v="48"/>
    <s v="Burlington"/>
    <x v="0"/>
    <n v="0.5"/>
    <n v="5500"/>
    <n v="2750"/>
    <n v="1100"/>
    <n v="0.4"/>
  </r>
  <r>
    <m/>
    <x v="0"/>
    <n v="1185732"/>
    <x v="127"/>
    <x v="0"/>
    <x v="48"/>
    <s v="Burlington"/>
    <x v="1"/>
    <n v="0.5"/>
    <n v="2500"/>
    <n v="1250"/>
    <n v="500"/>
    <n v="0.4"/>
  </r>
  <r>
    <m/>
    <x v="0"/>
    <n v="1185732"/>
    <x v="127"/>
    <x v="0"/>
    <x v="48"/>
    <s v="Burlington"/>
    <x v="2"/>
    <n v="0.4"/>
    <n v="2500"/>
    <n v="1000"/>
    <n v="300"/>
    <n v="0.3"/>
  </r>
  <r>
    <m/>
    <x v="0"/>
    <n v="1185732"/>
    <x v="127"/>
    <x v="0"/>
    <x v="48"/>
    <s v="Burlington"/>
    <x v="3"/>
    <n v="0.44999999999999996"/>
    <n v="1750"/>
    <n v="787.49999999999989"/>
    <n v="236.24999999999994"/>
    <n v="0.3"/>
  </r>
  <r>
    <m/>
    <x v="0"/>
    <n v="1185732"/>
    <x v="127"/>
    <x v="0"/>
    <x v="48"/>
    <s v="Burlington"/>
    <x v="4"/>
    <n v="0.60000000000000009"/>
    <n v="1750"/>
    <n v="1050.0000000000002"/>
    <n v="315.00000000000006"/>
    <n v="0.3"/>
  </r>
  <r>
    <m/>
    <x v="0"/>
    <n v="1185732"/>
    <x v="127"/>
    <x v="0"/>
    <x v="48"/>
    <s v="Burlington"/>
    <x v="5"/>
    <n v="0.5"/>
    <n v="3250"/>
    <n v="1625"/>
    <n v="568.75"/>
    <n v="0.35"/>
  </r>
  <r>
    <m/>
    <x v="0"/>
    <n v="1185732"/>
    <x v="128"/>
    <x v="0"/>
    <x v="48"/>
    <s v="Burlington"/>
    <x v="0"/>
    <n v="0.65"/>
    <n v="5950"/>
    <n v="3867.5"/>
    <n v="1547"/>
    <n v="0.4"/>
  </r>
  <r>
    <m/>
    <x v="0"/>
    <n v="1185732"/>
    <x v="128"/>
    <x v="0"/>
    <x v="48"/>
    <s v="Burlington"/>
    <x v="1"/>
    <n v="0.60000000000000009"/>
    <n v="3000"/>
    <n v="1800.0000000000002"/>
    <n v="720.00000000000011"/>
    <n v="0.4"/>
  </r>
  <r>
    <m/>
    <x v="0"/>
    <n v="1185732"/>
    <x v="128"/>
    <x v="0"/>
    <x v="48"/>
    <s v="Burlington"/>
    <x v="2"/>
    <n v="0.55000000000000004"/>
    <n v="3250"/>
    <n v="1787.5000000000002"/>
    <n v="536.25"/>
    <n v="0.3"/>
  </r>
  <r>
    <m/>
    <x v="0"/>
    <n v="1185732"/>
    <x v="128"/>
    <x v="0"/>
    <x v="48"/>
    <s v="Burlington"/>
    <x v="3"/>
    <n v="0.55000000000000004"/>
    <n v="2750"/>
    <n v="1512.5000000000002"/>
    <n v="453.75000000000006"/>
    <n v="0.3"/>
  </r>
  <r>
    <m/>
    <x v="0"/>
    <n v="1185732"/>
    <x v="128"/>
    <x v="0"/>
    <x v="48"/>
    <s v="Burlington"/>
    <x v="4"/>
    <n v="0.65"/>
    <n v="3000"/>
    <n v="1950"/>
    <n v="585"/>
    <n v="0.3"/>
  </r>
  <r>
    <m/>
    <x v="0"/>
    <n v="1185732"/>
    <x v="128"/>
    <x v="0"/>
    <x v="48"/>
    <s v="Burlington"/>
    <x v="5"/>
    <n v="0.70000000000000007"/>
    <n v="4250"/>
    <n v="2975.0000000000005"/>
    <n v="1041.25"/>
    <n v="0.35"/>
  </r>
  <r>
    <m/>
    <x v="0"/>
    <n v="1185732"/>
    <x v="129"/>
    <x v="0"/>
    <x v="48"/>
    <s v="Burlington"/>
    <x v="0"/>
    <n v="0.65"/>
    <n v="6750"/>
    <n v="4387.5"/>
    <n v="1755"/>
    <n v="0.4"/>
  </r>
  <r>
    <m/>
    <x v="0"/>
    <n v="1185732"/>
    <x v="129"/>
    <x v="0"/>
    <x v="48"/>
    <s v="Burlington"/>
    <x v="1"/>
    <n v="0.60000000000000009"/>
    <n v="4250"/>
    <n v="2550.0000000000005"/>
    <n v="1020.0000000000002"/>
    <n v="0.4"/>
  </r>
  <r>
    <m/>
    <x v="0"/>
    <n v="1185732"/>
    <x v="129"/>
    <x v="0"/>
    <x v="48"/>
    <s v="Burlington"/>
    <x v="2"/>
    <n v="0.55000000000000004"/>
    <n v="3500"/>
    <n v="1925.0000000000002"/>
    <n v="577.5"/>
    <n v="0.3"/>
  </r>
  <r>
    <m/>
    <x v="0"/>
    <n v="1185732"/>
    <x v="129"/>
    <x v="0"/>
    <x v="48"/>
    <s v="Burlington"/>
    <x v="3"/>
    <n v="0.55000000000000004"/>
    <n v="3250"/>
    <n v="1787.5000000000002"/>
    <n v="536.25"/>
    <n v="0.3"/>
  </r>
  <r>
    <m/>
    <x v="0"/>
    <n v="1185732"/>
    <x v="129"/>
    <x v="0"/>
    <x v="48"/>
    <s v="Burlington"/>
    <x v="4"/>
    <n v="0.65"/>
    <n v="3250"/>
    <n v="2112.5"/>
    <n v="633.75"/>
    <n v="0.3"/>
  </r>
  <r>
    <m/>
    <x v="0"/>
    <n v="1185732"/>
    <x v="129"/>
    <x v="0"/>
    <x v="48"/>
    <s v="Burlington"/>
    <x v="5"/>
    <n v="0.70000000000000007"/>
    <n v="4750"/>
    <n v="3325.0000000000005"/>
    <n v="1163.75"/>
    <n v="0.35"/>
  </r>
  <r>
    <m/>
    <x v="0"/>
    <n v="1185732"/>
    <x v="130"/>
    <x v="0"/>
    <x v="48"/>
    <s v="Burlington"/>
    <x v="0"/>
    <n v="0.65"/>
    <n v="7000"/>
    <n v="4550"/>
    <n v="1820"/>
    <n v="0.4"/>
  </r>
  <r>
    <m/>
    <x v="0"/>
    <n v="1185732"/>
    <x v="130"/>
    <x v="0"/>
    <x v="48"/>
    <s v="Burlington"/>
    <x v="1"/>
    <n v="0.60000000000000009"/>
    <n v="4500"/>
    <n v="2700.0000000000005"/>
    <n v="1080.0000000000002"/>
    <n v="0.4"/>
  </r>
  <r>
    <m/>
    <x v="0"/>
    <n v="1185732"/>
    <x v="130"/>
    <x v="0"/>
    <x v="48"/>
    <s v="Burlington"/>
    <x v="2"/>
    <n v="0.55000000000000004"/>
    <n v="3750"/>
    <n v="2062.5"/>
    <n v="618.75"/>
    <n v="0.3"/>
  </r>
  <r>
    <m/>
    <x v="0"/>
    <n v="1185732"/>
    <x v="130"/>
    <x v="0"/>
    <x v="48"/>
    <s v="Burlington"/>
    <x v="3"/>
    <n v="0.55000000000000004"/>
    <n v="3250"/>
    <n v="1787.5000000000002"/>
    <n v="536.25"/>
    <n v="0.3"/>
  </r>
  <r>
    <m/>
    <x v="0"/>
    <n v="1185732"/>
    <x v="130"/>
    <x v="0"/>
    <x v="48"/>
    <s v="Burlington"/>
    <x v="4"/>
    <n v="0.65"/>
    <n v="3500"/>
    <n v="2275"/>
    <n v="682.5"/>
    <n v="0.3"/>
  </r>
  <r>
    <m/>
    <x v="0"/>
    <n v="1185732"/>
    <x v="130"/>
    <x v="0"/>
    <x v="48"/>
    <s v="Burlington"/>
    <x v="5"/>
    <n v="0.70000000000000007"/>
    <n v="5250"/>
    <n v="3675.0000000000005"/>
    <n v="1286.25"/>
    <n v="0.35"/>
  </r>
  <r>
    <m/>
    <x v="0"/>
    <n v="1185732"/>
    <x v="131"/>
    <x v="0"/>
    <x v="48"/>
    <s v="Burlington"/>
    <x v="0"/>
    <n v="0.65"/>
    <n v="6750"/>
    <n v="4387.5"/>
    <n v="1755"/>
    <n v="0.4"/>
  </r>
  <r>
    <m/>
    <x v="0"/>
    <n v="1185732"/>
    <x v="131"/>
    <x v="0"/>
    <x v="48"/>
    <s v="Burlington"/>
    <x v="1"/>
    <n v="0.60000000000000009"/>
    <n v="4500"/>
    <n v="2700.0000000000005"/>
    <n v="1080.0000000000002"/>
    <n v="0.4"/>
  </r>
  <r>
    <m/>
    <x v="0"/>
    <n v="1185732"/>
    <x v="131"/>
    <x v="0"/>
    <x v="48"/>
    <s v="Burlington"/>
    <x v="2"/>
    <n v="0.55000000000000004"/>
    <n v="3750"/>
    <n v="2062.5"/>
    <n v="618.75"/>
    <n v="0.3"/>
  </r>
  <r>
    <m/>
    <x v="0"/>
    <n v="1185732"/>
    <x v="131"/>
    <x v="0"/>
    <x v="48"/>
    <s v="Burlington"/>
    <x v="3"/>
    <n v="0.55000000000000004"/>
    <n v="2750"/>
    <n v="1512.5000000000002"/>
    <n v="453.75000000000006"/>
    <n v="0.3"/>
  </r>
  <r>
    <m/>
    <x v="0"/>
    <n v="1185732"/>
    <x v="131"/>
    <x v="0"/>
    <x v="48"/>
    <s v="Burlington"/>
    <x v="4"/>
    <n v="0.65"/>
    <n v="2500"/>
    <n v="1625"/>
    <n v="487.5"/>
    <n v="0.3"/>
  </r>
  <r>
    <m/>
    <x v="0"/>
    <n v="1185732"/>
    <x v="131"/>
    <x v="0"/>
    <x v="48"/>
    <s v="Burlington"/>
    <x v="5"/>
    <n v="0.70000000000000007"/>
    <n v="4250"/>
    <n v="2975.0000000000005"/>
    <n v="1041.25"/>
    <n v="0.35"/>
  </r>
  <r>
    <m/>
    <x v="0"/>
    <n v="1185732"/>
    <x v="132"/>
    <x v="0"/>
    <x v="48"/>
    <s v="Burlington"/>
    <x v="0"/>
    <n v="0.65"/>
    <n v="5500"/>
    <n v="3575"/>
    <n v="1430"/>
    <n v="0.4"/>
  </r>
  <r>
    <m/>
    <x v="0"/>
    <n v="1185732"/>
    <x v="132"/>
    <x v="0"/>
    <x v="48"/>
    <s v="Burlington"/>
    <x v="1"/>
    <n v="0.60000000000000009"/>
    <n v="3500"/>
    <n v="2100.0000000000005"/>
    <n v="840.00000000000023"/>
    <n v="0.4"/>
  </r>
  <r>
    <m/>
    <x v="0"/>
    <n v="1185732"/>
    <x v="132"/>
    <x v="0"/>
    <x v="48"/>
    <s v="Burlington"/>
    <x v="2"/>
    <n v="0.55000000000000004"/>
    <n v="2500"/>
    <n v="1375"/>
    <n v="412.5"/>
    <n v="0.3"/>
  </r>
  <r>
    <m/>
    <x v="0"/>
    <n v="1185732"/>
    <x v="132"/>
    <x v="0"/>
    <x v="48"/>
    <s v="Burlington"/>
    <x v="3"/>
    <n v="0.55000000000000004"/>
    <n v="2250"/>
    <n v="1237.5"/>
    <n v="371.25"/>
    <n v="0.3"/>
  </r>
  <r>
    <m/>
    <x v="0"/>
    <n v="1185732"/>
    <x v="132"/>
    <x v="0"/>
    <x v="48"/>
    <s v="Burlington"/>
    <x v="4"/>
    <n v="0.65"/>
    <n v="2250"/>
    <n v="1462.5"/>
    <n v="438.75"/>
    <n v="0.3"/>
  </r>
  <r>
    <m/>
    <x v="0"/>
    <n v="1185732"/>
    <x v="132"/>
    <x v="0"/>
    <x v="48"/>
    <s v="Burlington"/>
    <x v="5"/>
    <n v="0.70000000000000007"/>
    <n v="3250"/>
    <n v="2275"/>
    <n v="796.25"/>
    <n v="0.35"/>
  </r>
  <r>
    <m/>
    <x v="0"/>
    <n v="1185732"/>
    <x v="133"/>
    <x v="0"/>
    <x v="48"/>
    <s v="Burlington"/>
    <x v="0"/>
    <n v="0.70000000000000007"/>
    <n v="4750"/>
    <n v="3325.0000000000005"/>
    <n v="1330.0000000000002"/>
    <n v="0.4"/>
  </r>
  <r>
    <m/>
    <x v="0"/>
    <n v="1185732"/>
    <x v="133"/>
    <x v="0"/>
    <x v="48"/>
    <s v="Burlington"/>
    <x v="1"/>
    <n v="0.65000000000000013"/>
    <n v="3000"/>
    <n v="1950.0000000000005"/>
    <n v="780.00000000000023"/>
    <n v="0.4"/>
  </r>
  <r>
    <m/>
    <x v="0"/>
    <n v="1185732"/>
    <x v="133"/>
    <x v="0"/>
    <x v="48"/>
    <s v="Burlington"/>
    <x v="2"/>
    <n v="0.65000000000000013"/>
    <n v="2000"/>
    <n v="1300.0000000000002"/>
    <n v="390.00000000000006"/>
    <n v="0.3"/>
  </r>
  <r>
    <m/>
    <x v="0"/>
    <n v="1185732"/>
    <x v="133"/>
    <x v="0"/>
    <x v="48"/>
    <s v="Burlington"/>
    <x v="3"/>
    <n v="0.65000000000000013"/>
    <n v="1750"/>
    <n v="1137.5000000000002"/>
    <n v="341.25000000000006"/>
    <n v="0.3"/>
  </r>
  <r>
    <m/>
    <x v="0"/>
    <n v="1185732"/>
    <x v="133"/>
    <x v="0"/>
    <x v="48"/>
    <s v="Burlington"/>
    <x v="4"/>
    <n v="0.75000000000000011"/>
    <n v="1750"/>
    <n v="1312.5000000000002"/>
    <n v="393.75000000000006"/>
    <n v="0.3"/>
  </r>
  <r>
    <m/>
    <x v="0"/>
    <n v="1185732"/>
    <x v="133"/>
    <x v="0"/>
    <x v="48"/>
    <s v="Burlington"/>
    <x v="5"/>
    <n v="0.8"/>
    <n v="3000"/>
    <n v="2400"/>
    <n v="840"/>
    <n v="0.35"/>
  </r>
  <r>
    <m/>
    <x v="0"/>
    <n v="1185732"/>
    <x v="134"/>
    <x v="0"/>
    <x v="48"/>
    <s v="Burlington"/>
    <x v="0"/>
    <n v="0.75000000000000011"/>
    <n v="4500"/>
    <n v="3375.0000000000005"/>
    <n v="1350.0000000000002"/>
    <n v="0.4"/>
  </r>
  <r>
    <m/>
    <x v="0"/>
    <n v="1185732"/>
    <x v="134"/>
    <x v="0"/>
    <x v="48"/>
    <s v="Burlington"/>
    <x v="1"/>
    <n v="0.65000000000000013"/>
    <n v="3250"/>
    <n v="2112.5000000000005"/>
    <n v="845.00000000000023"/>
    <n v="0.4"/>
  </r>
  <r>
    <m/>
    <x v="0"/>
    <n v="1185732"/>
    <x v="134"/>
    <x v="0"/>
    <x v="48"/>
    <s v="Burlington"/>
    <x v="2"/>
    <n v="0.65000000000000013"/>
    <n v="3450"/>
    <n v="2242.5000000000005"/>
    <n v="672.75000000000011"/>
    <n v="0.3"/>
  </r>
  <r>
    <m/>
    <x v="0"/>
    <n v="1185732"/>
    <x v="134"/>
    <x v="0"/>
    <x v="48"/>
    <s v="Burlington"/>
    <x v="3"/>
    <n v="0.65000000000000013"/>
    <n v="3250"/>
    <n v="2112.5000000000005"/>
    <n v="633.75000000000011"/>
    <n v="0.3"/>
  </r>
  <r>
    <m/>
    <x v="0"/>
    <n v="1185732"/>
    <x v="134"/>
    <x v="0"/>
    <x v="48"/>
    <s v="Burlington"/>
    <x v="4"/>
    <n v="0.75000000000000011"/>
    <n v="3000"/>
    <n v="2250.0000000000005"/>
    <n v="675.00000000000011"/>
    <n v="0.3"/>
  </r>
  <r>
    <m/>
    <x v="0"/>
    <n v="1185732"/>
    <x v="134"/>
    <x v="0"/>
    <x v="48"/>
    <s v="Burlington"/>
    <x v="5"/>
    <n v="0.8"/>
    <n v="4000"/>
    <n v="3200"/>
    <n v="1120"/>
    <n v="0.35"/>
  </r>
  <r>
    <m/>
    <x v="0"/>
    <n v="1185732"/>
    <x v="135"/>
    <x v="0"/>
    <x v="48"/>
    <s v="Burlington"/>
    <x v="0"/>
    <n v="0.75000000000000011"/>
    <n v="6250"/>
    <n v="4687.5000000000009"/>
    <n v="1875.0000000000005"/>
    <n v="0.4"/>
  </r>
  <r>
    <m/>
    <x v="0"/>
    <n v="1185732"/>
    <x v="135"/>
    <x v="0"/>
    <x v="48"/>
    <s v="Burlington"/>
    <x v="1"/>
    <n v="0.65000000000000013"/>
    <n v="4250"/>
    <n v="2762.5000000000005"/>
    <n v="1105.0000000000002"/>
    <n v="0.4"/>
  </r>
  <r>
    <m/>
    <x v="0"/>
    <n v="1185732"/>
    <x v="135"/>
    <x v="0"/>
    <x v="48"/>
    <s v="Burlington"/>
    <x v="2"/>
    <n v="0.65000000000000013"/>
    <n v="4000"/>
    <n v="2600.0000000000005"/>
    <n v="780.00000000000011"/>
    <n v="0.3"/>
  </r>
  <r>
    <m/>
    <x v="0"/>
    <n v="1185732"/>
    <x v="135"/>
    <x v="0"/>
    <x v="48"/>
    <s v="Burlington"/>
    <x v="3"/>
    <n v="0.65000000000000013"/>
    <n v="3500"/>
    <n v="2275.0000000000005"/>
    <n v="682.50000000000011"/>
    <n v="0.3"/>
  </r>
  <r>
    <m/>
    <x v="0"/>
    <n v="1185732"/>
    <x v="135"/>
    <x v="0"/>
    <x v="48"/>
    <s v="Burlington"/>
    <x v="4"/>
    <n v="0.75000000000000011"/>
    <n v="3500"/>
    <n v="2625.0000000000005"/>
    <n v="787.50000000000011"/>
    <n v="0.3"/>
  </r>
  <r>
    <m/>
    <x v="0"/>
    <n v="1185732"/>
    <x v="135"/>
    <x v="0"/>
    <x v="48"/>
    <s v="Burlington"/>
    <x v="5"/>
    <n v="0.8"/>
    <n v="4500"/>
    <n v="3600"/>
    <n v="1260"/>
    <n v="0.35"/>
  </r>
  <r>
    <s v="x"/>
    <x v="0"/>
    <n v="1185732"/>
    <x v="145"/>
    <x v="0"/>
    <x v="49"/>
    <s v="Manchester"/>
    <x v="0"/>
    <n v="0.55000000000000004"/>
    <n v="5000"/>
    <n v="2750"/>
    <n v="962.50000000000011"/>
    <n v="0.35000000000000003"/>
  </r>
  <r>
    <m/>
    <x v="0"/>
    <n v="1185732"/>
    <x v="145"/>
    <x v="0"/>
    <x v="49"/>
    <s v="Manchester"/>
    <x v="1"/>
    <n v="0.55000000000000004"/>
    <n v="3000"/>
    <n v="1650.0000000000002"/>
    <n v="577.50000000000011"/>
    <n v="0.35000000000000003"/>
  </r>
  <r>
    <m/>
    <x v="0"/>
    <n v="1185732"/>
    <x v="145"/>
    <x v="0"/>
    <x v="49"/>
    <s v="Manchester"/>
    <x v="2"/>
    <n v="0.45"/>
    <n v="3000"/>
    <n v="1350"/>
    <n v="337.5"/>
    <n v="0.25"/>
  </r>
  <r>
    <m/>
    <x v="0"/>
    <n v="1185732"/>
    <x v="145"/>
    <x v="0"/>
    <x v="49"/>
    <s v="Manchester"/>
    <x v="3"/>
    <n v="0.49999999999999994"/>
    <n v="1500"/>
    <n v="749.99999999999989"/>
    <n v="187.49999999999997"/>
    <n v="0.25"/>
  </r>
  <r>
    <m/>
    <x v="0"/>
    <n v="1185732"/>
    <x v="145"/>
    <x v="0"/>
    <x v="49"/>
    <s v="Manchester"/>
    <x v="4"/>
    <n v="0.65000000000000013"/>
    <n v="2000"/>
    <n v="1300.0000000000002"/>
    <n v="325.00000000000006"/>
    <n v="0.25"/>
  </r>
  <r>
    <m/>
    <x v="0"/>
    <n v="1185732"/>
    <x v="145"/>
    <x v="0"/>
    <x v="49"/>
    <s v="Manchester"/>
    <x v="5"/>
    <n v="0.55000000000000004"/>
    <n v="3000"/>
    <n v="1650.0000000000002"/>
    <n v="495.00000000000006"/>
    <n v="0.3"/>
  </r>
  <r>
    <m/>
    <x v="0"/>
    <n v="1185732"/>
    <x v="216"/>
    <x v="0"/>
    <x v="49"/>
    <s v="Manchester"/>
    <x v="0"/>
    <n v="0.55000000000000004"/>
    <n v="5750"/>
    <n v="3162.5000000000005"/>
    <n v="1106.8750000000002"/>
    <n v="0.35000000000000003"/>
  </r>
  <r>
    <m/>
    <x v="0"/>
    <n v="1185732"/>
    <x v="216"/>
    <x v="0"/>
    <x v="49"/>
    <s v="Manchester"/>
    <x v="1"/>
    <n v="0.55000000000000004"/>
    <n v="2250"/>
    <n v="1237.5"/>
    <n v="433.12500000000006"/>
    <n v="0.35000000000000003"/>
  </r>
  <r>
    <m/>
    <x v="0"/>
    <n v="1185732"/>
    <x v="216"/>
    <x v="0"/>
    <x v="49"/>
    <s v="Manchester"/>
    <x v="2"/>
    <n v="0.45"/>
    <n v="2750"/>
    <n v="1237.5"/>
    <n v="309.375"/>
    <n v="0.25"/>
  </r>
  <r>
    <m/>
    <x v="0"/>
    <n v="1185732"/>
    <x v="216"/>
    <x v="0"/>
    <x v="49"/>
    <s v="Manchester"/>
    <x v="3"/>
    <n v="0.49999999999999994"/>
    <n v="1750"/>
    <n v="874.99999999999989"/>
    <n v="218.74999999999997"/>
    <n v="0.25"/>
  </r>
  <r>
    <m/>
    <x v="0"/>
    <n v="1185732"/>
    <x v="216"/>
    <x v="0"/>
    <x v="49"/>
    <s v="Manchester"/>
    <x v="4"/>
    <n v="0.65000000000000013"/>
    <n v="2500"/>
    <n v="1625.0000000000002"/>
    <n v="406.25000000000006"/>
    <n v="0.25"/>
  </r>
  <r>
    <m/>
    <x v="0"/>
    <n v="1185732"/>
    <x v="216"/>
    <x v="0"/>
    <x v="49"/>
    <s v="Manchester"/>
    <x v="5"/>
    <n v="0.55000000000000004"/>
    <n v="3500"/>
    <n v="1925.0000000000002"/>
    <n v="577.5"/>
    <n v="0.3"/>
  </r>
  <r>
    <m/>
    <x v="0"/>
    <n v="1185732"/>
    <x v="250"/>
    <x v="0"/>
    <x v="49"/>
    <s v="Manchester"/>
    <x v="0"/>
    <n v="0.55000000000000004"/>
    <n v="5450"/>
    <n v="2997.5000000000005"/>
    <n v="1049.1250000000002"/>
    <n v="0.35000000000000003"/>
  </r>
  <r>
    <m/>
    <x v="0"/>
    <n v="1185732"/>
    <x v="250"/>
    <x v="0"/>
    <x v="49"/>
    <s v="Manchester"/>
    <x v="1"/>
    <n v="0.55000000000000004"/>
    <n v="2500"/>
    <n v="1375"/>
    <n v="481.25000000000006"/>
    <n v="0.35000000000000003"/>
  </r>
  <r>
    <m/>
    <x v="0"/>
    <n v="1185732"/>
    <x v="250"/>
    <x v="0"/>
    <x v="49"/>
    <s v="Manchester"/>
    <x v="2"/>
    <n v="0.45"/>
    <n v="2750"/>
    <n v="1237.5"/>
    <n v="309.375"/>
    <n v="0.25"/>
  </r>
  <r>
    <m/>
    <x v="0"/>
    <n v="1185732"/>
    <x v="250"/>
    <x v="0"/>
    <x v="49"/>
    <s v="Manchester"/>
    <x v="3"/>
    <n v="0.49999999999999994"/>
    <n v="1250"/>
    <n v="624.99999999999989"/>
    <n v="156.24999999999997"/>
    <n v="0.25"/>
  </r>
  <r>
    <m/>
    <x v="0"/>
    <n v="1185732"/>
    <x v="250"/>
    <x v="0"/>
    <x v="49"/>
    <s v="Manchester"/>
    <x v="4"/>
    <n v="0.65000000000000013"/>
    <n v="1750"/>
    <n v="1137.5000000000002"/>
    <n v="284.37500000000006"/>
    <n v="0.25"/>
  </r>
  <r>
    <m/>
    <x v="0"/>
    <n v="1185732"/>
    <x v="250"/>
    <x v="0"/>
    <x v="49"/>
    <s v="Manchester"/>
    <x v="5"/>
    <n v="0.55000000000000004"/>
    <n v="2750"/>
    <n v="1512.5000000000002"/>
    <n v="453.75000000000006"/>
    <n v="0.3"/>
  </r>
  <r>
    <m/>
    <x v="0"/>
    <n v="1185732"/>
    <x v="251"/>
    <x v="0"/>
    <x v="49"/>
    <s v="Manchester"/>
    <x v="0"/>
    <n v="0.55000000000000004"/>
    <n v="5250"/>
    <n v="2887.5000000000005"/>
    <n v="1010.6250000000002"/>
    <n v="0.35000000000000003"/>
  </r>
  <r>
    <m/>
    <x v="0"/>
    <n v="1185732"/>
    <x v="251"/>
    <x v="0"/>
    <x v="49"/>
    <s v="Manchester"/>
    <x v="1"/>
    <n v="0.55000000000000004"/>
    <n v="2250"/>
    <n v="1237.5"/>
    <n v="433.12500000000006"/>
    <n v="0.35000000000000003"/>
  </r>
  <r>
    <m/>
    <x v="0"/>
    <n v="1185732"/>
    <x v="251"/>
    <x v="0"/>
    <x v="49"/>
    <s v="Manchester"/>
    <x v="2"/>
    <n v="0.45"/>
    <n v="2250"/>
    <n v="1012.5"/>
    <n v="253.125"/>
    <n v="0.25"/>
  </r>
  <r>
    <m/>
    <x v="0"/>
    <n v="1185732"/>
    <x v="251"/>
    <x v="0"/>
    <x v="49"/>
    <s v="Manchester"/>
    <x v="3"/>
    <n v="0.49999999999999994"/>
    <n v="1500"/>
    <n v="749.99999999999989"/>
    <n v="187.49999999999997"/>
    <n v="0.25"/>
  </r>
  <r>
    <m/>
    <x v="0"/>
    <n v="1185732"/>
    <x v="251"/>
    <x v="0"/>
    <x v="49"/>
    <s v="Manchester"/>
    <x v="4"/>
    <n v="0.60000000000000009"/>
    <n v="1500"/>
    <n v="900.00000000000011"/>
    <n v="225.00000000000003"/>
    <n v="0.25"/>
  </r>
  <r>
    <m/>
    <x v="0"/>
    <n v="1185732"/>
    <x v="251"/>
    <x v="0"/>
    <x v="49"/>
    <s v="Manchester"/>
    <x v="5"/>
    <n v="0.5"/>
    <n v="3000"/>
    <n v="1500"/>
    <n v="450"/>
    <n v="0.3"/>
  </r>
  <r>
    <m/>
    <x v="0"/>
    <n v="1185732"/>
    <x v="252"/>
    <x v="0"/>
    <x v="49"/>
    <s v="Manchester"/>
    <x v="0"/>
    <n v="0.65"/>
    <n v="5700"/>
    <n v="3705"/>
    <n v="1296.7500000000002"/>
    <n v="0.35000000000000003"/>
  </r>
  <r>
    <m/>
    <x v="0"/>
    <n v="1185732"/>
    <x v="252"/>
    <x v="0"/>
    <x v="49"/>
    <s v="Manchester"/>
    <x v="1"/>
    <n v="0.60000000000000009"/>
    <n v="2750"/>
    <n v="1650.0000000000002"/>
    <n v="577.50000000000011"/>
    <n v="0.35000000000000003"/>
  </r>
  <r>
    <m/>
    <x v="0"/>
    <n v="1185732"/>
    <x v="252"/>
    <x v="0"/>
    <x v="49"/>
    <s v="Manchester"/>
    <x v="2"/>
    <n v="0.55000000000000004"/>
    <n v="3000"/>
    <n v="1650.0000000000002"/>
    <n v="412.50000000000006"/>
    <n v="0.25"/>
  </r>
  <r>
    <m/>
    <x v="0"/>
    <n v="1185732"/>
    <x v="252"/>
    <x v="0"/>
    <x v="49"/>
    <s v="Manchester"/>
    <x v="3"/>
    <n v="0.55000000000000004"/>
    <n v="2500"/>
    <n v="1375"/>
    <n v="343.75"/>
    <n v="0.25"/>
  </r>
  <r>
    <m/>
    <x v="0"/>
    <n v="1185732"/>
    <x v="252"/>
    <x v="0"/>
    <x v="49"/>
    <s v="Manchester"/>
    <x v="4"/>
    <n v="0.65"/>
    <n v="2750"/>
    <n v="1787.5"/>
    <n v="446.875"/>
    <n v="0.25"/>
  </r>
  <r>
    <m/>
    <x v="0"/>
    <n v="1185732"/>
    <x v="252"/>
    <x v="0"/>
    <x v="49"/>
    <s v="Manchester"/>
    <x v="5"/>
    <n v="0.70000000000000007"/>
    <n v="4000"/>
    <n v="2800.0000000000005"/>
    <n v="840.00000000000011"/>
    <n v="0.3"/>
  </r>
  <r>
    <m/>
    <x v="0"/>
    <n v="1185732"/>
    <x v="220"/>
    <x v="0"/>
    <x v="49"/>
    <s v="Manchester"/>
    <x v="0"/>
    <n v="0.65"/>
    <n v="6500"/>
    <n v="4225"/>
    <n v="1478.7500000000002"/>
    <n v="0.35000000000000003"/>
  </r>
  <r>
    <m/>
    <x v="0"/>
    <n v="1185732"/>
    <x v="220"/>
    <x v="0"/>
    <x v="49"/>
    <s v="Manchester"/>
    <x v="1"/>
    <n v="0.60000000000000009"/>
    <n v="4000"/>
    <n v="2400.0000000000005"/>
    <n v="840.00000000000023"/>
    <n v="0.35000000000000003"/>
  </r>
  <r>
    <m/>
    <x v="0"/>
    <n v="1185732"/>
    <x v="220"/>
    <x v="0"/>
    <x v="49"/>
    <s v="Manchester"/>
    <x v="2"/>
    <n v="0.55000000000000004"/>
    <n v="3250"/>
    <n v="1787.5000000000002"/>
    <n v="446.87500000000006"/>
    <n v="0.25"/>
  </r>
  <r>
    <m/>
    <x v="0"/>
    <n v="1185732"/>
    <x v="220"/>
    <x v="0"/>
    <x v="49"/>
    <s v="Manchester"/>
    <x v="3"/>
    <n v="0.55000000000000004"/>
    <n v="3000"/>
    <n v="1650.0000000000002"/>
    <n v="412.50000000000006"/>
    <n v="0.25"/>
  </r>
  <r>
    <m/>
    <x v="0"/>
    <n v="1185732"/>
    <x v="220"/>
    <x v="0"/>
    <x v="49"/>
    <s v="Manchester"/>
    <x v="4"/>
    <n v="0.65"/>
    <n v="3000"/>
    <n v="1950"/>
    <n v="487.5"/>
    <n v="0.25"/>
  </r>
  <r>
    <m/>
    <x v="0"/>
    <n v="1185732"/>
    <x v="220"/>
    <x v="0"/>
    <x v="49"/>
    <s v="Manchester"/>
    <x v="5"/>
    <n v="0.70000000000000007"/>
    <n v="4500"/>
    <n v="3150.0000000000005"/>
    <n v="945.00000000000011"/>
    <n v="0.3"/>
  </r>
  <r>
    <m/>
    <x v="0"/>
    <n v="1185732"/>
    <x v="253"/>
    <x v="0"/>
    <x v="49"/>
    <s v="Manchester"/>
    <x v="0"/>
    <n v="0.65"/>
    <n v="6750"/>
    <n v="4387.5"/>
    <n v="1535.6250000000002"/>
    <n v="0.35000000000000003"/>
  </r>
  <r>
    <m/>
    <x v="0"/>
    <n v="1185732"/>
    <x v="253"/>
    <x v="0"/>
    <x v="49"/>
    <s v="Manchester"/>
    <x v="1"/>
    <n v="0.60000000000000009"/>
    <n v="4250"/>
    <n v="2550.0000000000005"/>
    <n v="892.50000000000023"/>
    <n v="0.35000000000000003"/>
  </r>
  <r>
    <m/>
    <x v="0"/>
    <n v="1185732"/>
    <x v="253"/>
    <x v="0"/>
    <x v="49"/>
    <s v="Manchester"/>
    <x v="2"/>
    <n v="0.55000000000000004"/>
    <n v="3500"/>
    <n v="1925.0000000000002"/>
    <n v="481.25000000000006"/>
    <n v="0.25"/>
  </r>
  <r>
    <m/>
    <x v="0"/>
    <n v="1185732"/>
    <x v="253"/>
    <x v="0"/>
    <x v="49"/>
    <s v="Manchester"/>
    <x v="3"/>
    <n v="0.55000000000000004"/>
    <n v="3000"/>
    <n v="1650.0000000000002"/>
    <n v="412.50000000000006"/>
    <n v="0.25"/>
  </r>
  <r>
    <m/>
    <x v="0"/>
    <n v="1185732"/>
    <x v="253"/>
    <x v="0"/>
    <x v="49"/>
    <s v="Manchester"/>
    <x v="4"/>
    <n v="0.65"/>
    <n v="3250"/>
    <n v="2112.5"/>
    <n v="528.125"/>
    <n v="0.25"/>
  </r>
  <r>
    <m/>
    <x v="0"/>
    <n v="1185732"/>
    <x v="253"/>
    <x v="0"/>
    <x v="49"/>
    <s v="Manchester"/>
    <x v="5"/>
    <n v="0.70000000000000007"/>
    <n v="5000"/>
    <n v="3500.0000000000005"/>
    <n v="1050"/>
    <n v="0.3"/>
  </r>
  <r>
    <m/>
    <x v="0"/>
    <n v="1185732"/>
    <x v="254"/>
    <x v="0"/>
    <x v="49"/>
    <s v="Manchester"/>
    <x v="0"/>
    <n v="0.65"/>
    <n v="6500"/>
    <n v="4225"/>
    <n v="1478.7500000000002"/>
    <n v="0.35000000000000003"/>
  </r>
  <r>
    <m/>
    <x v="0"/>
    <n v="1185732"/>
    <x v="254"/>
    <x v="0"/>
    <x v="49"/>
    <s v="Manchester"/>
    <x v="1"/>
    <n v="0.60000000000000009"/>
    <n v="4250"/>
    <n v="2550.0000000000005"/>
    <n v="892.50000000000023"/>
    <n v="0.35000000000000003"/>
  </r>
  <r>
    <m/>
    <x v="0"/>
    <n v="1185732"/>
    <x v="254"/>
    <x v="0"/>
    <x v="49"/>
    <s v="Manchester"/>
    <x v="2"/>
    <n v="0.55000000000000004"/>
    <n v="3500"/>
    <n v="1925.0000000000002"/>
    <n v="481.25000000000006"/>
    <n v="0.25"/>
  </r>
  <r>
    <m/>
    <x v="0"/>
    <n v="1185732"/>
    <x v="254"/>
    <x v="0"/>
    <x v="49"/>
    <s v="Manchester"/>
    <x v="3"/>
    <n v="0.55000000000000004"/>
    <n v="2500"/>
    <n v="1375"/>
    <n v="343.75"/>
    <n v="0.25"/>
  </r>
  <r>
    <m/>
    <x v="0"/>
    <n v="1185732"/>
    <x v="254"/>
    <x v="0"/>
    <x v="49"/>
    <s v="Manchester"/>
    <x v="4"/>
    <n v="0.65"/>
    <n v="2250"/>
    <n v="1462.5"/>
    <n v="365.625"/>
    <n v="0.25"/>
  </r>
  <r>
    <m/>
    <x v="0"/>
    <n v="1185732"/>
    <x v="254"/>
    <x v="0"/>
    <x v="49"/>
    <s v="Manchester"/>
    <x v="5"/>
    <n v="0.70000000000000007"/>
    <n v="4000"/>
    <n v="2800.0000000000005"/>
    <n v="840.00000000000011"/>
    <n v="0.3"/>
  </r>
  <r>
    <m/>
    <x v="0"/>
    <n v="1185732"/>
    <x v="255"/>
    <x v="0"/>
    <x v="49"/>
    <s v="Manchester"/>
    <x v="0"/>
    <n v="0.65"/>
    <n v="5250"/>
    <n v="3412.5"/>
    <n v="1194.375"/>
    <n v="0.35000000000000003"/>
  </r>
  <r>
    <m/>
    <x v="0"/>
    <n v="1185732"/>
    <x v="255"/>
    <x v="0"/>
    <x v="49"/>
    <s v="Manchester"/>
    <x v="1"/>
    <n v="0.60000000000000009"/>
    <n v="3250"/>
    <n v="1950.0000000000002"/>
    <n v="682.50000000000011"/>
    <n v="0.35000000000000003"/>
  </r>
  <r>
    <m/>
    <x v="0"/>
    <n v="1185732"/>
    <x v="255"/>
    <x v="0"/>
    <x v="49"/>
    <s v="Manchester"/>
    <x v="2"/>
    <n v="0.55000000000000004"/>
    <n v="2250"/>
    <n v="1237.5"/>
    <n v="309.375"/>
    <n v="0.25"/>
  </r>
  <r>
    <m/>
    <x v="0"/>
    <n v="1185732"/>
    <x v="255"/>
    <x v="0"/>
    <x v="49"/>
    <s v="Manchester"/>
    <x v="3"/>
    <n v="0.55000000000000004"/>
    <n v="2000"/>
    <n v="1100"/>
    <n v="275"/>
    <n v="0.25"/>
  </r>
  <r>
    <m/>
    <x v="0"/>
    <n v="1185732"/>
    <x v="255"/>
    <x v="0"/>
    <x v="49"/>
    <s v="Manchester"/>
    <x v="4"/>
    <n v="0.65"/>
    <n v="2000"/>
    <n v="1300"/>
    <n v="325"/>
    <n v="0.25"/>
  </r>
  <r>
    <m/>
    <x v="0"/>
    <n v="1185732"/>
    <x v="255"/>
    <x v="0"/>
    <x v="49"/>
    <s v="Manchester"/>
    <x v="5"/>
    <n v="0.70000000000000007"/>
    <n v="3000"/>
    <n v="2100"/>
    <n v="630"/>
    <n v="0.3"/>
  </r>
  <r>
    <m/>
    <x v="0"/>
    <n v="1185732"/>
    <x v="224"/>
    <x v="0"/>
    <x v="49"/>
    <s v="Manchester"/>
    <x v="0"/>
    <n v="0.70000000000000007"/>
    <n v="4500"/>
    <n v="3150.0000000000005"/>
    <n v="1102.5000000000002"/>
    <n v="0.35000000000000003"/>
  </r>
  <r>
    <m/>
    <x v="0"/>
    <n v="1185732"/>
    <x v="224"/>
    <x v="0"/>
    <x v="49"/>
    <s v="Manchester"/>
    <x v="1"/>
    <n v="0.65000000000000013"/>
    <n v="2750"/>
    <n v="1787.5000000000005"/>
    <n v="625.62500000000023"/>
    <n v="0.35000000000000003"/>
  </r>
  <r>
    <m/>
    <x v="0"/>
    <n v="1185732"/>
    <x v="224"/>
    <x v="0"/>
    <x v="49"/>
    <s v="Manchester"/>
    <x v="2"/>
    <n v="0.65000000000000013"/>
    <n v="1750"/>
    <n v="1137.5000000000002"/>
    <n v="284.37500000000006"/>
    <n v="0.25"/>
  </r>
  <r>
    <m/>
    <x v="0"/>
    <n v="1185732"/>
    <x v="224"/>
    <x v="0"/>
    <x v="49"/>
    <s v="Manchester"/>
    <x v="3"/>
    <n v="0.65000000000000013"/>
    <n v="1500"/>
    <n v="975.00000000000023"/>
    <n v="243.75000000000006"/>
    <n v="0.25"/>
  </r>
  <r>
    <m/>
    <x v="0"/>
    <n v="1185732"/>
    <x v="224"/>
    <x v="0"/>
    <x v="49"/>
    <s v="Manchester"/>
    <x v="4"/>
    <n v="0.75000000000000011"/>
    <n v="1500"/>
    <n v="1125.0000000000002"/>
    <n v="281.25000000000006"/>
    <n v="0.25"/>
  </r>
  <r>
    <m/>
    <x v="0"/>
    <n v="1185732"/>
    <x v="224"/>
    <x v="0"/>
    <x v="49"/>
    <s v="Manchester"/>
    <x v="5"/>
    <n v="0.8"/>
    <n v="2750"/>
    <n v="2200"/>
    <n v="660"/>
    <n v="0.3"/>
  </r>
  <r>
    <m/>
    <x v="0"/>
    <n v="1185732"/>
    <x v="256"/>
    <x v="0"/>
    <x v="49"/>
    <s v="Manchester"/>
    <x v="0"/>
    <n v="0.75000000000000011"/>
    <n v="4250"/>
    <n v="3187.5000000000005"/>
    <n v="1115.6250000000002"/>
    <n v="0.35000000000000003"/>
  </r>
  <r>
    <m/>
    <x v="0"/>
    <n v="1185732"/>
    <x v="256"/>
    <x v="0"/>
    <x v="49"/>
    <s v="Manchester"/>
    <x v="1"/>
    <n v="0.65000000000000013"/>
    <n v="3000"/>
    <n v="1950.0000000000005"/>
    <n v="682.50000000000023"/>
    <n v="0.35000000000000003"/>
  </r>
  <r>
    <m/>
    <x v="0"/>
    <n v="1185732"/>
    <x v="256"/>
    <x v="0"/>
    <x v="49"/>
    <s v="Manchester"/>
    <x v="2"/>
    <n v="0.65000000000000013"/>
    <n v="3200"/>
    <n v="2080.0000000000005"/>
    <n v="520.00000000000011"/>
    <n v="0.25"/>
  </r>
  <r>
    <m/>
    <x v="0"/>
    <n v="1185732"/>
    <x v="256"/>
    <x v="0"/>
    <x v="49"/>
    <s v="Manchester"/>
    <x v="3"/>
    <n v="0.65000000000000013"/>
    <n v="3000"/>
    <n v="1950.0000000000005"/>
    <n v="487.50000000000011"/>
    <n v="0.25"/>
  </r>
  <r>
    <m/>
    <x v="0"/>
    <n v="1185732"/>
    <x v="256"/>
    <x v="0"/>
    <x v="49"/>
    <s v="Manchester"/>
    <x v="4"/>
    <n v="0.75000000000000011"/>
    <n v="2750"/>
    <n v="2062.5000000000005"/>
    <n v="515.62500000000011"/>
    <n v="0.25"/>
  </r>
  <r>
    <m/>
    <x v="0"/>
    <n v="1185732"/>
    <x v="256"/>
    <x v="0"/>
    <x v="49"/>
    <s v="Manchester"/>
    <x v="5"/>
    <n v="0.8"/>
    <n v="3750"/>
    <n v="3000"/>
    <n v="900"/>
    <n v="0.3"/>
  </r>
  <r>
    <m/>
    <x v="0"/>
    <n v="1185732"/>
    <x v="257"/>
    <x v="0"/>
    <x v="49"/>
    <s v="Manchester"/>
    <x v="0"/>
    <n v="0.75000000000000011"/>
    <n v="6000"/>
    <n v="4500.0000000000009"/>
    <n v="1575.0000000000005"/>
    <n v="0.35000000000000003"/>
  </r>
  <r>
    <m/>
    <x v="0"/>
    <n v="1185732"/>
    <x v="257"/>
    <x v="0"/>
    <x v="49"/>
    <s v="Manchester"/>
    <x v="1"/>
    <n v="0.65000000000000013"/>
    <n v="4000"/>
    <n v="2600.0000000000005"/>
    <n v="910.00000000000023"/>
    <n v="0.35000000000000003"/>
  </r>
  <r>
    <m/>
    <x v="0"/>
    <n v="1185732"/>
    <x v="257"/>
    <x v="0"/>
    <x v="49"/>
    <s v="Manchester"/>
    <x v="2"/>
    <n v="0.65000000000000013"/>
    <n v="3750"/>
    <n v="2437.5000000000005"/>
    <n v="609.37500000000011"/>
    <n v="0.25"/>
  </r>
  <r>
    <m/>
    <x v="0"/>
    <n v="1185732"/>
    <x v="257"/>
    <x v="0"/>
    <x v="49"/>
    <s v="Manchester"/>
    <x v="3"/>
    <n v="0.65000000000000013"/>
    <n v="3250"/>
    <n v="2112.5000000000005"/>
    <n v="528.12500000000011"/>
    <n v="0.25"/>
  </r>
  <r>
    <m/>
    <x v="0"/>
    <n v="1185732"/>
    <x v="257"/>
    <x v="0"/>
    <x v="49"/>
    <s v="Manchester"/>
    <x v="4"/>
    <n v="0.75000000000000011"/>
    <n v="3250"/>
    <n v="2437.5000000000005"/>
    <n v="609.37500000000011"/>
    <n v="0.25"/>
  </r>
  <r>
    <m/>
    <x v="0"/>
    <n v="1185732"/>
    <x v="257"/>
    <x v="0"/>
    <x v="49"/>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FD5A0-5FAA-4FE5-ACA3-38485F5C07AC}"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B78" firstHeaderRow="1" firstDataRow="1" firstDataCol="1"/>
  <pivotFields count="15">
    <pivotField showAll="0"/>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9" baseField="0" baseItem="0" numFmtId="3"/>
  </dataFields>
  <pivotTableStyleInfo name="PivotStyleLight16" showRowHeaders="1" showColHeaders="1" showRowStripes="0" showColStripes="0" showLastColumn="1"/>
  <filters count="1">
    <filter fld="3" type="dateBetween" evalOrder="-1" id="100"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D62136-B470-4E47-A3D0-424C5980B28A}"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9:B22" firstHeaderRow="1" firstDataRow="1" firstDataCol="1"/>
  <pivotFields count="15">
    <pivotField showAll="0"/>
    <pivotField showAll="0">
      <items count="5">
        <item x="1"/>
        <item x="3"/>
        <item x="2"/>
        <item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3"/>
  </rowFields>
  <rowItems count="13">
    <i>
      <x v="1"/>
    </i>
    <i>
      <x v="2"/>
    </i>
    <i>
      <x v="3"/>
    </i>
    <i>
      <x v="4"/>
    </i>
    <i>
      <x v="5"/>
    </i>
    <i>
      <x v="6"/>
    </i>
    <i>
      <x v="7"/>
    </i>
    <i>
      <x v="8"/>
    </i>
    <i>
      <x v="9"/>
    </i>
    <i>
      <x v="10"/>
    </i>
    <i>
      <x v="11"/>
    </i>
    <i>
      <x v="12"/>
    </i>
    <i t="grand">
      <x/>
    </i>
  </rowItems>
  <colItems count="1">
    <i/>
  </colItems>
  <dataFields count="1">
    <dataField name="Sum of Total Sales" fld="10"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22"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5850E-5454-4A12-A0B7-439C8BC41130}"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5">
    <pivotField showAll="0"/>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dataField="1" numFmtId="6" showAll="0"/>
    <pivotField dataField="1" numFmtId="6"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10" baseField="0" baseItem="0" numFmtId="6"/>
    <dataField name="Sum of Units Sold" fld="9" baseField="0" baseItem="0" numFmtId="3"/>
    <dataField name="Sum of Operating Profit" fld="11" baseField="0" baseItem="0" numFmtId="6"/>
    <dataField name="Average of Operating Margin" fld="12" subtotal="average" baseField="0" baseItem="1" numFmtId="9"/>
  </dataFields>
  <pivotTableStyleInfo name="PivotStyleLight16" showRowHeaders="1" showColHeaders="1" showRowStripes="0" showColStripes="0" showLastColumn="1"/>
  <filters count="1">
    <filter fld="3" type="dateBetween" evalOrder="-1" id="100"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FBC4C9A-B620-4B02-BB79-E6805E55766E}" sourceName="Retailer">
  <pivotTables>
    <pivotTable tabId="4" name="PivotTable2"/>
    <pivotTable tabId="4" name="PivotTable1"/>
    <pivotTable tabId="4" name="PivotTable3"/>
  </pivotTables>
  <data>
    <tabular pivotCacheId="1223408997">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C22F32-E1E6-40EF-9EC5-82923B47899E}" sourceName="Region">
  <pivotTables>
    <pivotTable tabId="4" name="PivotTable2"/>
    <pivotTable tabId="4" name="PivotTable1"/>
    <pivotTable tabId="4" name="PivotTable3"/>
  </pivotTables>
  <data>
    <tabular pivotCacheId="1223408997">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0A1B1B05-9FC8-4ACF-A92D-9B9BFFE97FA2}" sourceName="Beverage Brand">
  <pivotTables>
    <pivotTable tabId="4" name="PivotTable2"/>
    <pivotTable tabId="4" name="PivotTable1"/>
    <pivotTable tabId="4" name="PivotTable3"/>
  </pivotTables>
  <data>
    <tabular pivotCacheId="1223408997">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E083CFA2-7C84-4696-80D6-75AB2BDEB3D8}" cache="Slicer_Retailer" caption="Retailer" style="Slicer Style 5" rowHeight="241300"/>
  <slicer name="Region" xr10:uid="{3FCB5CFC-14E7-4BC4-999A-CE937017F00A}" cache="Slicer_Region" caption="Region" style="Slicer Style 5" rowHeight="241300"/>
  <slicer name="Beverage Brand" xr10:uid="{457AB2EE-CC2A-4ED8-8E8D-6832358E8631}" cache="Slicer_Beverage_Brand" caption="Beverage Brand"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92935-15BB-4394-A53F-EE4309A10C82}" name="Table1" displayName="Table1" ref="A5:M3893" totalsRowShown="0" headerRowDxfId="3" dataDxfId="4">
  <autoFilter ref="A5:M3893" xr:uid="{74E92935-15BB-4394-A53F-EE4309A10C82}"/>
  <tableColumns count="13">
    <tableColumn id="1" xr3:uid="{069D4933-ED08-44BC-AE14-A22255DF3B6E}" name="Column1" dataDxfId="17"/>
    <tableColumn id="2" xr3:uid="{9D77CBDA-198C-4D8F-BD40-3D12EB6CEEBF}" name="Retailer" dataDxfId="16"/>
    <tableColumn id="3" xr3:uid="{D1AC6D34-B497-4A53-867F-82D9AA271888}" name="Retailer ID" dataDxfId="15"/>
    <tableColumn id="4" xr3:uid="{1BC69021-E715-4154-A8FE-591EC926E478}" name="Invoice Date" dataDxfId="14"/>
    <tableColumn id="5" xr3:uid="{B5D87EB0-94D6-4C6F-96A4-8F3BAB73A267}" name="Region" dataDxfId="13"/>
    <tableColumn id="6" xr3:uid="{040D6BDB-0A3C-405C-B6C9-A06B64341ABA}" name="State" dataDxfId="12"/>
    <tableColumn id="7" xr3:uid="{11A19359-72C9-487F-95C7-E20687ABF786}" name="City" dataDxfId="11"/>
    <tableColumn id="8" xr3:uid="{F48E63D6-4BC6-4579-8492-7A827E7FE6E7}" name="Beverage Brand" dataDxfId="10"/>
    <tableColumn id="9" xr3:uid="{E723C337-E933-45B8-BA08-8A4CEA3408C6}" name="Price per Unit" dataDxfId="9"/>
    <tableColumn id="10" xr3:uid="{3FC46607-29D9-4482-A507-8901032C68AC}" name="Units Sold" dataDxfId="8"/>
    <tableColumn id="11" xr3:uid="{570A139A-EEA9-47F2-AACE-6E8521CB4B8D}" name="Total Sales" dataDxfId="7">
      <calculatedColumnFormula>I6*J6</calculatedColumnFormula>
    </tableColumn>
    <tableColumn id="12" xr3:uid="{FDF9E89E-15A7-41A1-9DC6-F94BCBCAB5FA}" name="Operating Profit" dataDxfId="6">
      <calculatedColumnFormula>K6*M6</calculatedColumnFormula>
    </tableColumn>
    <tableColumn id="13" xr3:uid="{D99827A8-0B20-450F-BE8E-5B448CE2F5F2}" name="Operating Margin"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6FD7E430-A971-4C40-80A5-216C30C36AF8}" sourceName="Invoice Date">
  <pivotTables>
    <pivotTable tabId="4" name="PivotTable2"/>
    <pivotTable tabId="4" name="PivotTable1"/>
    <pivotTable tabId="4" name="PivotTable3"/>
  </pivotTables>
  <state minimalRefreshVersion="6" lastRefreshVersion="6" pivotCacheId="1223408997" filterType="dateBetween">
    <selection startDate="2021-01-01T00:00:00" endDate="2021-12-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B93E47B1-DC7C-44BF-A429-7564C81BDC5E}" cache="NativeTimeline_Invoice_Date" caption="Sales Period" level="2" selectionLevel="0" scrollPosition="2021-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A6" workbookViewId="0">
      <selection activeCell="E23" sqref="E23"/>
    </sheetView>
  </sheetViews>
  <sheetFormatPr defaultColWidth="14.42578125" defaultRowHeight="15" customHeight="1" x14ac:dyDescent="0.25"/>
  <cols>
    <col min="1" max="1" width="11" customWidth="1"/>
    <col min="2" max="2" width="10.140625" customWidth="1"/>
    <col min="3" max="3" width="12.42578125" customWidth="1"/>
    <col min="4" max="4" width="14.140625" customWidth="1"/>
    <col min="5" max="5" width="10.42578125" customWidth="1"/>
    <col min="6" max="6" width="14.28515625" customWidth="1"/>
    <col min="7" max="7" width="13.140625" customWidth="1"/>
    <col min="8" max="8" width="17" customWidth="1"/>
    <col min="9" max="9" width="15.28515625" customWidth="1"/>
    <col min="10" max="10" width="12.140625" customWidth="1"/>
    <col min="11" max="11" width="12.5703125" customWidth="1"/>
    <col min="12" max="12" width="17.42578125" customWidth="1"/>
    <col min="13" max="13" width="18.7109375" customWidth="1"/>
    <col min="14" max="14" width="8.85546875" customWidth="1"/>
    <col min="15" max="15" width="10.85546875" customWidth="1"/>
    <col min="16" max="18" width="8.85546875" customWidth="1"/>
  </cols>
  <sheetData>
    <row r="1" spans="1:15" x14ac:dyDescent="0.25">
      <c r="A1" s="1"/>
    </row>
    <row r="2" spans="1:15" ht="23.25" x14ac:dyDescent="0.35">
      <c r="A2" s="1"/>
      <c r="B2" s="2" t="s">
        <v>0</v>
      </c>
      <c r="C2" s="3"/>
      <c r="D2" s="3"/>
      <c r="E2" s="3"/>
      <c r="F2" s="3"/>
      <c r="G2" s="3"/>
      <c r="H2" s="3"/>
      <c r="I2" s="3"/>
      <c r="J2" s="3"/>
      <c r="K2" s="3"/>
      <c r="L2" s="3"/>
      <c r="M2" s="3"/>
    </row>
    <row r="3" spans="1:15" ht="15.75" x14ac:dyDescent="0.25">
      <c r="A3" s="1"/>
      <c r="B3" s="4" t="s">
        <v>1</v>
      </c>
    </row>
    <row r="4" spans="1:15" x14ac:dyDescent="0.25">
      <c r="A4" s="1"/>
    </row>
    <row r="5" spans="1:15" x14ac:dyDescent="0.25">
      <c r="A5" s="1" t="s">
        <v>132</v>
      </c>
      <c r="B5" s="5" t="s">
        <v>2</v>
      </c>
      <c r="C5" s="5" t="s">
        <v>3</v>
      </c>
      <c r="D5" s="5" t="s">
        <v>4</v>
      </c>
      <c r="E5" s="5" t="s">
        <v>5</v>
      </c>
      <c r="F5" s="5" t="s">
        <v>6</v>
      </c>
      <c r="G5" s="5" t="s">
        <v>7</v>
      </c>
      <c r="H5" s="5" t="s">
        <v>8</v>
      </c>
      <c r="I5" s="5" t="s">
        <v>9</v>
      </c>
      <c r="J5" s="5" t="s">
        <v>10</v>
      </c>
      <c r="K5" s="5" t="s">
        <v>11</v>
      </c>
      <c r="L5" s="5" t="s">
        <v>12</v>
      </c>
      <c r="M5" s="5" t="s">
        <v>13</v>
      </c>
    </row>
    <row r="6" spans="1:15" x14ac:dyDescent="0.25">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x14ac:dyDescent="0.25">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x14ac:dyDescent="0.25">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x14ac:dyDescent="0.25">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x14ac:dyDescent="0.25">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x14ac:dyDescent="0.25">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x14ac:dyDescent="0.25">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x14ac:dyDescent="0.25">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x14ac:dyDescent="0.25">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x14ac:dyDescent="0.25">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x14ac:dyDescent="0.25">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x14ac:dyDescent="0.25">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x14ac:dyDescent="0.25">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x14ac:dyDescent="0.25">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x14ac:dyDescent="0.25">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x14ac:dyDescent="0.25">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x14ac:dyDescent="0.25">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x14ac:dyDescent="0.25">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x14ac:dyDescent="0.25">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x14ac:dyDescent="0.25">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x14ac:dyDescent="0.25">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x14ac:dyDescent="0.25">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x14ac:dyDescent="0.25">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x14ac:dyDescent="0.25">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x14ac:dyDescent="0.25">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x14ac:dyDescent="0.25">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x14ac:dyDescent="0.25">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x14ac:dyDescent="0.25">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x14ac:dyDescent="0.25">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x14ac:dyDescent="0.25">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x14ac:dyDescent="0.25">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x14ac:dyDescent="0.25">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x14ac:dyDescent="0.25">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x14ac:dyDescent="0.25">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x14ac:dyDescent="0.25">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x14ac:dyDescent="0.25">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x14ac:dyDescent="0.25">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x14ac:dyDescent="0.25">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x14ac:dyDescent="0.25">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x14ac:dyDescent="0.25">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x14ac:dyDescent="0.25">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x14ac:dyDescent="0.25">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x14ac:dyDescent="0.25">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x14ac:dyDescent="0.25">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x14ac:dyDescent="0.25">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x14ac:dyDescent="0.25">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x14ac:dyDescent="0.25">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x14ac:dyDescent="0.25">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x14ac:dyDescent="0.25">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x14ac:dyDescent="0.25">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x14ac:dyDescent="0.25">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x14ac:dyDescent="0.25">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x14ac:dyDescent="0.25">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x14ac:dyDescent="0.25">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x14ac:dyDescent="0.25">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x14ac:dyDescent="0.25">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x14ac:dyDescent="0.25">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x14ac:dyDescent="0.25">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x14ac:dyDescent="0.25">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x14ac:dyDescent="0.25">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x14ac:dyDescent="0.25">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x14ac:dyDescent="0.25">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x14ac:dyDescent="0.25">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x14ac:dyDescent="0.25">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x14ac:dyDescent="0.25">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x14ac:dyDescent="0.25">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x14ac:dyDescent="0.25">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x14ac:dyDescent="0.25">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x14ac:dyDescent="0.25">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x14ac:dyDescent="0.25">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x14ac:dyDescent="0.25">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x14ac:dyDescent="0.25">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x14ac:dyDescent="0.25">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x14ac:dyDescent="0.25">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x14ac:dyDescent="0.25">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x14ac:dyDescent="0.25">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x14ac:dyDescent="0.25">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x14ac:dyDescent="0.25">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x14ac:dyDescent="0.25">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x14ac:dyDescent="0.25">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x14ac:dyDescent="0.25">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x14ac:dyDescent="0.25">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x14ac:dyDescent="0.25">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x14ac:dyDescent="0.25">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x14ac:dyDescent="0.25">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x14ac:dyDescent="0.25">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x14ac:dyDescent="0.25">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x14ac:dyDescent="0.25">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x14ac:dyDescent="0.25">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x14ac:dyDescent="0.25">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x14ac:dyDescent="0.25">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x14ac:dyDescent="0.25">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x14ac:dyDescent="0.25">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x14ac:dyDescent="0.25">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x14ac:dyDescent="0.25">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x14ac:dyDescent="0.25">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x14ac:dyDescent="0.25">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x14ac:dyDescent="0.25">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x14ac:dyDescent="0.25">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x14ac:dyDescent="0.25">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x14ac:dyDescent="0.25">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x14ac:dyDescent="0.25">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x14ac:dyDescent="0.25">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x14ac:dyDescent="0.25">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x14ac:dyDescent="0.25">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x14ac:dyDescent="0.25">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x14ac:dyDescent="0.25">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x14ac:dyDescent="0.25">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x14ac:dyDescent="0.25">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x14ac:dyDescent="0.25">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x14ac:dyDescent="0.25">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x14ac:dyDescent="0.25">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x14ac:dyDescent="0.25">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x14ac:dyDescent="0.25">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x14ac:dyDescent="0.25">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x14ac:dyDescent="0.25">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x14ac:dyDescent="0.25">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x14ac:dyDescent="0.25">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x14ac:dyDescent="0.25">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x14ac:dyDescent="0.25">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x14ac:dyDescent="0.25">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x14ac:dyDescent="0.25">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x14ac:dyDescent="0.25">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x14ac:dyDescent="0.25">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x14ac:dyDescent="0.25">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x14ac:dyDescent="0.25">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x14ac:dyDescent="0.25">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x14ac:dyDescent="0.25">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x14ac:dyDescent="0.25">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x14ac:dyDescent="0.25">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x14ac:dyDescent="0.25">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x14ac:dyDescent="0.25">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x14ac:dyDescent="0.25">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x14ac:dyDescent="0.25">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x14ac:dyDescent="0.25">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x14ac:dyDescent="0.25">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x14ac:dyDescent="0.25">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x14ac:dyDescent="0.25">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x14ac:dyDescent="0.25">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x14ac:dyDescent="0.25">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x14ac:dyDescent="0.25">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x14ac:dyDescent="0.25">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x14ac:dyDescent="0.25">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x14ac:dyDescent="0.25">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x14ac:dyDescent="0.25">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x14ac:dyDescent="0.25">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x14ac:dyDescent="0.25">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x14ac:dyDescent="0.25">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x14ac:dyDescent="0.25">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x14ac:dyDescent="0.25">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x14ac:dyDescent="0.25">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x14ac:dyDescent="0.25">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x14ac:dyDescent="0.25">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x14ac:dyDescent="0.25">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x14ac:dyDescent="0.25">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x14ac:dyDescent="0.25">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x14ac:dyDescent="0.25">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x14ac:dyDescent="0.25">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x14ac:dyDescent="0.25">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x14ac:dyDescent="0.25">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x14ac:dyDescent="0.25">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x14ac:dyDescent="0.25">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x14ac:dyDescent="0.25">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x14ac:dyDescent="0.25">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x14ac:dyDescent="0.25">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x14ac:dyDescent="0.25">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x14ac:dyDescent="0.25">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x14ac:dyDescent="0.25">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x14ac:dyDescent="0.25">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x14ac:dyDescent="0.25">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x14ac:dyDescent="0.25">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x14ac:dyDescent="0.25">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x14ac:dyDescent="0.25">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x14ac:dyDescent="0.25">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x14ac:dyDescent="0.25">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x14ac:dyDescent="0.25">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x14ac:dyDescent="0.25">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x14ac:dyDescent="0.25">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x14ac:dyDescent="0.25">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x14ac:dyDescent="0.25">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x14ac:dyDescent="0.25">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x14ac:dyDescent="0.25">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x14ac:dyDescent="0.25">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x14ac:dyDescent="0.25">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x14ac:dyDescent="0.25">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x14ac:dyDescent="0.25">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x14ac:dyDescent="0.25">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x14ac:dyDescent="0.25">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x14ac:dyDescent="0.25">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x14ac:dyDescent="0.25">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x14ac:dyDescent="0.25">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x14ac:dyDescent="0.25">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x14ac:dyDescent="0.25">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x14ac:dyDescent="0.25">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x14ac:dyDescent="0.25">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x14ac:dyDescent="0.25">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x14ac:dyDescent="0.25">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x14ac:dyDescent="0.25">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x14ac:dyDescent="0.25">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x14ac:dyDescent="0.25">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x14ac:dyDescent="0.25">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x14ac:dyDescent="0.25">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x14ac:dyDescent="0.25">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x14ac:dyDescent="0.25">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x14ac:dyDescent="0.25">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x14ac:dyDescent="0.25">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x14ac:dyDescent="0.25">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x14ac:dyDescent="0.25">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x14ac:dyDescent="0.25">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x14ac:dyDescent="0.25">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x14ac:dyDescent="0.25">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x14ac:dyDescent="0.25">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x14ac:dyDescent="0.25">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x14ac:dyDescent="0.25">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x14ac:dyDescent="0.25">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x14ac:dyDescent="0.25">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x14ac:dyDescent="0.25">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x14ac:dyDescent="0.25">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x14ac:dyDescent="0.25">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x14ac:dyDescent="0.25">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x14ac:dyDescent="0.25">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x14ac:dyDescent="0.25">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x14ac:dyDescent="0.25">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x14ac:dyDescent="0.25">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x14ac:dyDescent="0.25">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x14ac:dyDescent="0.25">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x14ac:dyDescent="0.25">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x14ac:dyDescent="0.25">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x14ac:dyDescent="0.25">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x14ac:dyDescent="0.25">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x14ac:dyDescent="0.25">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x14ac:dyDescent="0.25">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x14ac:dyDescent="0.25">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x14ac:dyDescent="0.25">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x14ac:dyDescent="0.25">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x14ac:dyDescent="0.25">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x14ac:dyDescent="0.25">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x14ac:dyDescent="0.25">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x14ac:dyDescent="0.25">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x14ac:dyDescent="0.25">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x14ac:dyDescent="0.25">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x14ac:dyDescent="0.25">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x14ac:dyDescent="0.25">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x14ac:dyDescent="0.25">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x14ac:dyDescent="0.25">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x14ac:dyDescent="0.25">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x14ac:dyDescent="0.25">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x14ac:dyDescent="0.25">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x14ac:dyDescent="0.25">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x14ac:dyDescent="0.25">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x14ac:dyDescent="0.25">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x14ac:dyDescent="0.25">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x14ac:dyDescent="0.25">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x14ac:dyDescent="0.25">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x14ac:dyDescent="0.25">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x14ac:dyDescent="0.25">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x14ac:dyDescent="0.25">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x14ac:dyDescent="0.25">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x14ac:dyDescent="0.25">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x14ac:dyDescent="0.25">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x14ac:dyDescent="0.25">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x14ac:dyDescent="0.25">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x14ac:dyDescent="0.25">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x14ac:dyDescent="0.25">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x14ac:dyDescent="0.25">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x14ac:dyDescent="0.25">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x14ac:dyDescent="0.25">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x14ac:dyDescent="0.25">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x14ac:dyDescent="0.25">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x14ac:dyDescent="0.25">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x14ac:dyDescent="0.25">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x14ac:dyDescent="0.25">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x14ac:dyDescent="0.25">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x14ac:dyDescent="0.25">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x14ac:dyDescent="0.25">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x14ac:dyDescent="0.25">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x14ac:dyDescent="0.25">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x14ac:dyDescent="0.25">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x14ac:dyDescent="0.25">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x14ac:dyDescent="0.25">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x14ac:dyDescent="0.25">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x14ac:dyDescent="0.25">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x14ac:dyDescent="0.25">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x14ac:dyDescent="0.25">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x14ac:dyDescent="0.25">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x14ac:dyDescent="0.25">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x14ac:dyDescent="0.25">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x14ac:dyDescent="0.25">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x14ac:dyDescent="0.25">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x14ac:dyDescent="0.25">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x14ac:dyDescent="0.25">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x14ac:dyDescent="0.25">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x14ac:dyDescent="0.25">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x14ac:dyDescent="0.25">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x14ac:dyDescent="0.25">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x14ac:dyDescent="0.25">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x14ac:dyDescent="0.25">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x14ac:dyDescent="0.25">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x14ac:dyDescent="0.25">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x14ac:dyDescent="0.25">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x14ac:dyDescent="0.25">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x14ac:dyDescent="0.25">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x14ac:dyDescent="0.25">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x14ac:dyDescent="0.25">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x14ac:dyDescent="0.25">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x14ac:dyDescent="0.25">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x14ac:dyDescent="0.25">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x14ac:dyDescent="0.25">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x14ac:dyDescent="0.25">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x14ac:dyDescent="0.25">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x14ac:dyDescent="0.25">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x14ac:dyDescent="0.25">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x14ac:dyDescent="0.25">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x14ac:dyDescent="0.25">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x14ac:dyDescent="0.25">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x14ac:dyDescent="0.25">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x14ac:dyDescent="0.25">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x14ac:dyDescent="0.25">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x14ac:dyDescent="0.25">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x14ac:dyDescent="0.25">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x14ac:dyDescent="0.25">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x14ac:dyDescent="0.25">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x14ac:dyDescent="0.25">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x14ac:dyDescent="0.25">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x14ac:dyDescent="0.25">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x14ac:dyDescent="0.25">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x14ac:dyDescent="0.25">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x14ac:dyDescent="0.25">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x14ac:dyDescent="0.25">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x14ac:dyDescent="0.25">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x14ac:dyDescent="0.25">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x14ac:dyDescent="0.25">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x14ac:dyDescent="0.25">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x14ac:dyDescent="0.25">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x14ac:dyDescent="0.25">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x14ac:dyDescent="0.25">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x14ac:dyDescent="0.25">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x14ac:dyDescent="0.25">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x14ac:dyDescent="0.25">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x14ac:dyDescent="0.25">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x14ac:dyDescent="0.25">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x14ac:dyDescent="0.25">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x14ac:dyDescent="0.25">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x14ac:dyDescent="0.25">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x14ac:dyDescent="0.25">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x14ac:dyDescent="0.25">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x14ac:dyDescent="0.25">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x14ac:dyDescent="0.25">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x14ac:dyDescent="0.25">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x14ac:dyDescent="0.25">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x14ac:dyDescent="0.25">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x14ac:dyDescent="0.25">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x14ac:dyDescent="0.25">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x14ac:dyDescent="0.25">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x14ac:dyDescent="0.25">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x14ac:dyDescent="0.25">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x14ac:dyDescent="0.25">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x14ac:dyDescent="0.25">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x14ac:dyDescent="0.25">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x14ac:dyDescent="0.25">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x14ac:dyDescent="0.25">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x14ac:dyDescent="0.25">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x14ac:dyDescent="0.25">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x14ac:dyDescent="0.25">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x14ac:dyDescent="0.25">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x14ac:dyDescent="0.25">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x14ac:dyDescent="0.25">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x14ac:dyDescent="0.25">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x14ac:dyDescent="0.25">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x14ac:dyDescent="0.25">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x14ac:dyDescent="0.25">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x14ac:dyDescent="0.25">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x14ac:dyDescent="0.25">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x14ac:dyDescent="0.25">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x14ac:dyDescent="0.25">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x14ac:dyDescent="0.25">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x14ac:dyDescent="0.25">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x14ac:dyDescent="0.25">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x14ac:dyDescent="0.25">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x14ac:dyDescent="0.25">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x14ac:dyDescent="0.25">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x14ac:dyDescent="0.25">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x14ac:dyDescent="0.25">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x14ac:dyDescent="0.25">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x14ac:dyDescent="0.25">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x14ac:dyDescent="0.25">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x14ac:dyDescent="0.25">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x14ac:dyDescent="0.25">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x14ac:dyDescent="0.25">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x14ac:dyDescent="0.25">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x14ac:dyDescent="0.25">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x14ac:dyDescent="0.25">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x14ac:dyDescent="0.25">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x14ac:dyDescent="0.25">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x14ac:dyDescent="0.25">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x14ac:dyDescent="0.25">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x14ac:dyDescent="0.25">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x14ac:dyDescent="0.25">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x14ac:dyDescent="0.25">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x14ac:dyDescent="0.25">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x14ac:dyDescent="0.25">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x14ac:dyDescent="0.25">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x14ac:dyDescent="0.25">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x14ac:dyDescent="0.25">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x14ac:dyDescent="0.25">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x14ac:dyDescent="0.25">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x14ac:dyDescent="0.25">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x14ac:dyDescent="0.25">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x14ac:dyDescent="0.25">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x14ac:dyDescent="0.25">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x14ac:dyDescent="0.25">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x14ac:dyDescent="0.25">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x14ac:dyDescent="0.25">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x14ac:dyDescent="0.25">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x14ac:dyDescent="0.25">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x14ac:dyDescent="0.25">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x14ac:dyDescent="0.25">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x14ac:dyDescent="0.25">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x14ac:dyDescent="0.25">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x14ac:dyDescent="0.25">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x14ac:dyDescent="0.25">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x14ac:dyDescent="0.25">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x14ac:dyDescent="0.25">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x14ac:dyDescent="0.25">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x14ac:dyDescent="0.25">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x14ac:dyDescent="0.25">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x14ac:dyDescent="0.25">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x14ac:dyDescent="0.25">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x14ac:dyDescent="0.25">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x14ac:dyDescent="0.25">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x14ac:dyDescent="0.25">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x14ac:dyDescent="0.25">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x14ac:dyDescent="0.25">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x14ac:dyDescent="0.25">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x14ac:dyDescent="0.25">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x14ac:dyDescent="0.25">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x14ac:dyDescent="0.25">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x14ac:dyDescent="0.25">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x14ac:dyDescent="0.25">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x14ac:dyDescent="0.25">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x14ac:dyDescent="0.25">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25">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x14ac:dyDescent="0.25">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x14ac:dyDescent="0.25">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x14ac:dyDescent="0.25">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x14ac:dyDescent="0.25">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x14ac:dyDescent="0.25">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x14ac:dyDescent="0.25">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x14ac:dyDescent="0.25">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x14ac:dyDescent="0.25">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x14ac:dyDescent="0.25">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x14ac:dyDescent="0.25">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x14ac:dyDescent="0.25">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x14ac:dyDescent="0.25">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x14ac:dyDescent="0.25">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x14ac:dyDescent="0.25">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x14ac:dyDescent="0.25">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x14ac:dyDescent="0.25">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x14ac:dyDescent="0.25">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x14ac:dyDescent="0.25">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x14ac:dyDescent="0.25">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x14ac:dyDescent="0.25">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x14ac:dyDescent="0.25">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x14ac:dyDescent="0.25">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x14ac:dyDescent="0.25">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x14ac:dyDescent="0.25">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x14ac:dyDescent="0.25">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x14ac:dyDescent="0.25">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x14ac:dyDescent="0.25">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x14ac:dyDescent="0.25">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x14ac:dyDescent="0.25">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x14ac:dyDescent="0.25">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x14ac:dyDescent="0.25">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x14ac:dyDescent="0.25">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x14ac:dyDescent="0.25">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x14ac:dyDescent="0.25">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x14ac:dyDescent="0.25">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x14ac:dyDescent="0.25">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x14ac:dyDescent="0.25">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x14ac:dyDescent="0.25">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x14ac:dyDescent="0.25">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x14ac:dyDescent="0.25">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x14ac:dyDescent="0.25">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x14ac:dyDescent="0.25">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x14ac:dyDescent="0.25">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x14ac:dyDescent="0.25">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x14ac:dyDescent="0.25">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x14ac:dyDescent="0.25">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x14ac:dyDescent="0.25">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x14ac:dyDescent="0.25">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x14ac:dyDescent="0.25">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x14ac:dyDescent="0.25">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x14ac:dyDescent="0.25">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25">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x14ac:dyDescent="0.25">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25">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25">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x14ac:dyDescent="0.25">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x14ac:dyDescent="0.25">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25">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x14ac:dyDescent="0.25">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x14ac:dyDescent="0.25">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25">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x14ac:dyDescent="0.25">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x14ac:dyDescent="0.25">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x14ac:dyDescent="0.25">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x14ac:dyDescent="0.25">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x14ac:dyDescent="0.25">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x14ac:dyDescent="0.25">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x14ac:dyDescent="0.25">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x14ac:dyDescent="0.25">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25">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x14ac:dyDescent="0.25">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x14ac:dyDescent="0.25">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x14ac:dyDescent="0.25">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x14ac:dyDescent="0.25">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x14ac:dyDescent="0.25">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x14ac:dyDescent="0.25">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25">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x14ac:dyDescent="0.25">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25">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x14ac:dyDescent="0.25">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x14ac:dyDescent="0.25">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x14ac:dyDescent="0.25">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x14ac:dyDescent="0.25">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x14ac:dyDescent="0.25">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x14ac:dyDescent="0.25">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x14ac:dyDescent="0.25">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x14ac:dyDescent="0.25">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x14ac:dyDescent="0.25">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x14ac:dyDescent="0.25">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x14ac:dyDescent="0.25">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x14ac:dyDescent="0.25">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x14ac:dyDescent="0.25">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x14ac:dyDescent="0.25">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x14ac:dyDescent="0.25">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x14ac:dyDescent="0.25">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x14ac:dyDescent="0.25">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x14ac:dyDescent="0.25">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x14ac:dyDescent="0.25">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x14ac:dyDescent="0.25">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x14ac:dyDescent="0.25">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x14ac:dyDescent="0.25">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x14ac:dyDescent="0.25">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x14ac:dyDescent="0.25">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x14ac:dyDescent="0.25">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x14ac:dyDescent="0.25">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x14ac:dyDescent="0.25">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x14ac:dyDescent="0.25">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x14ac:dyDescent="0.25">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x14ac:dyDescent="0.25">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x14ac:dyDescent="0.25">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x14ac:dyDescent="0.25">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25">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x14ac:dyDescent="0.25">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25">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x14ac:dyDescent="0.25">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25">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25">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25">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x14ac:dyDescent="0.25">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25">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x14ac:dyDescent="0.25">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25">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25">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25">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x14ac:dyDescent="0.25">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25">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x14ac:dyDescent="0.25">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25">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25">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25">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x14ac:dyDescent="0.25">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25">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x14ac:dyDescent="0.25">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25">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25">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x14ac:dyDescent="0.25">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x14ac:dyDescent="0.25">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x14ac:dyDescent="0.25">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x14ac:dyDescent="0.25">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x14ac:dyDescent="0.25">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x14ac:dyDescent="0.25">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x14ac:dyDescent="0.25">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x14ac:dyDescent="0.25">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x14ac:dyDescent="0.25">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x14ac:dyDescent="0.25">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x14ac:dyDescent="0.25">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x14ac:dyDescent="0.25">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x14ac:dyDescent="0.25">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x14ac:dyDescent="0.25">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25">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x14ac:dyDescent="0.25">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x14ac:dyDescent="0.25">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25">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x14ac:dyDescent="0.25">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x14ac:dyDescent="0.25">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x14ac:dyDescent="0.25">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x14ac:dyDescent="0.25">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x14ac:dyDescent="0.25">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x14ac:dyDescent="0.25">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x14ac:dyDescent="0.25">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x14ac:dyDescent="0.25">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x14ac:dyDescent="0.25">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x14ac:dyDescent="0.25">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x14ac:dyDescent="0.25">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x14ac:dyDescent="0.25">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x14ac:dyDescent="0.25">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x14ac:dyDescent="0.25">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x14ac:dyDescent="0.25">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x14ac:dyDescent="0.25">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25">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x14ac:dyDescent="0.25">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x14ac:dyDescent="0.25">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x14ac:dyDescent="0.25">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25">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x14ac:dyDescent="0.25">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25">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25">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25">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x14ac:dyDescent="0.25">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25">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25">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x14ac:dyDescent="0.25">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x14ac:dyDescent="0.25">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x14ac:dyDescent="0.25">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25">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x14ac:dyDescent="0.25">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25">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25">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x14ac:dyDescent="0.25">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x14ac:dyDescent="0.25">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25">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x14ac:dyDescent="0.25">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x14ac:dyDescent="0.25">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x14ac:dyDescent="0.25">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x14ac:dyDescent="0.25">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x14ac:dyDescent="0.25">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25">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x14ac:dyDescent="0.25">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25">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25">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x14ac:dyDescent="0.25">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x14ac:dyDescent="0.25">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25">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x14ac:dyDescent="0.25">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x14ac:dyDescent="0.25">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25">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x14ac:dyDescent="0.25">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x14ac:dyDescent="0.25">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x14ac:dyDescent="0.25">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x14ac:dyDescent="0.25">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x14ac:dyDescent="0.25">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x14ac:dyDescent="0.25">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x14ac:dyDescent="0.25">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x14ac:dyDescent="0.25">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x14ac:dyDescent="0.25">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x14ac:dyDescent="0.25">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x14ac:dyDescent="0.25">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x14ac:dyDescent="0.25">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x14ac:dyDescent="0.25">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x14ac:dyDescent="0.25">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x14ac:dyDescent="0.25">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25">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x14ac:dyDescent="0.25">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x14ac:dyDescent="0.25">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x14ac:dyDescent="0.25">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x14ac:dyDescent="0.25">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x14ac:dyDescent="0.25">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x14ac:dyDescent="0.25">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x14ac:dyDescent="0.25">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x14ac:dyDescent="0.25">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x14ac:dyDescent="0.25">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x14ac:dyDescent="0.25">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x14ac:dyDescent="0.25">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x14ac:dyDescent="0.25">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x14ac:dyDescent="0.25">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x14ac:dyDescent="0.25">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x14ac:dyDescent="0.25">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x14ac:dyDescent="0.25">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x14ac:dyDescent="0.25">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x14ac:dyDescent="0.25">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x14ac:dyDescent="0.25">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25">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x14ac:dyDescent="0.25">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x14ac:dyDescent="0.25">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25">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25">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x14ac:dyDescent="0.25">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25">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x14ac:dyDescent="0.25">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x14ac:dyDescent="0.25">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25">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25">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x14ac:dyDescent="0.25">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x14ac:dyDescent="0.25">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x14ac:dyDescent="0.25">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x14ac:dyDescent="0.25">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25">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25">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x14ac:dyDescent="0.25">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25">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x14ac:dyDescent="0.25">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x14ac:dyDescent="0.25">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25">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25">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x14ac:dyDescent="0.25">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x14ac:dyDescent="0.25">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x14ac:dyDescent="0.25">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x14ac:dyDescent="0.25">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25">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25">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x14ac:dyDescent="0.25">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25">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x14ac:dyDescent="0.25">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x14ac:dyDescent="0.25">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x14ac:dyDescent="0.25">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25">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x14ac:dyDescent="0.25">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25">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x14ac:dyDescent="0.25">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f>Data!$I726+0.05</f>
        <v>0.5</v>
      </c>
      <c r="Q726" s="12"/>
      <c r="R726" s="13"/>
    </row>
    <row r="727" spans="1:18" ht="15.75" customHeight="1" x14ac:dyDescent="0.25">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f>Data!$I727+0.05</f>
        <v>0.5</v>
      </c>
      <c r="Q727" s="12"/>
      <c r="R727" s="13"/>
    </row>
    <row r="728" spans="1:18" ht="15.75" customHeight="1" x14ac:dyDescent="0.25">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f>Data!$I728+0.05</f>
        <v>0.4</v>
      </c>
      <c r="Q728" s="12"/>
      <c r="R728" s="13"/>
    </row>
    <row r="729" spans="1:18" ht="15.75" customHeight="1" x14ac:dyDescent="0.25">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7">
        <f>Data!$I729+0.05</f>
        <v>0.44999999999999996</v>
      </c>
      <c r="Q729" s="12"/>
      <c r="R729" s="13"/>
    </row>
    <row r="730" spans="1:18" ht="15.75" customHeight="1" x14ac:dyDescent="0.25">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7">
        <f>Data!$I730+0.05</f>
        <v>0.60000000000000009</v>
      </c>
      <c r="Q730" s="12"/>
      <c r="R730" s="13"/>
    </row>
    <row r="731" spans="1:18" ht="15.75" customHeight="1" x14ac:dyDescent="0.25">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7">
        <f>Data!$I731+0.05</f>
        <v>0.5</v>
      </c>
      <c r="Q731" s="12"/>
      <c r="R731" s="13"/>
    </row>
    <row r="732" spans="1:18" ht="15.75" customHeight="1" x14ac:dyDescent="0.25">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7">
        <f>Data!$I732+0.05</f>
        <v>0.5</v>
      </c>
      <c r="Q732" s="12"/>
      <c r="R732" s="13"/>
    </row>
    <row r="733" spans="1:18" ht="15.75" customHeight="1" x14ac:dyDescent="0.25">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7">
        <f>Data!$I733+0.05</f>
        <v>0.5</v>
      </c>
      <c r="Q733" s="12"/>
      <c r="R733" s="13"/>
    </row>
    <row r="734" spans="1:18" ht="15.75" customHeight="1" x14ac:dyDescent="0.25">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f>Data!$I734+0.05</f>
        <v>0.4</v>
      </c>
      <c r="Q734" s="12"/>
      <c r="R734" s="13"/>
    </row>
    <row r="735" spans="1:18" ht="15.75" customHeight="1" x14ac:dyDescent="0.25">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f>Data!$I735+0.05</f>
        <v>0.44999999999999996</v>
      </c>
      <c r="Q735" s="12"/>
      <c r="R735" s="13"/>
    </row>
    <row r="736" spans="1:18" ht="15.75" customHeight="1" x14ac:dyDescent="0.25">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f>Data!$I736+0.05</f>
        <v>0.60000000000000009</v>
      </c>
      <c r="Q736" s="12"/>
      <c r="R736" s="13"/>
    </row>
    <row r="737" spans="1:18" ht="15.75" customHeight="1" x14ac:dyDescent="0.25">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7">
        <f>Data!$I737+0.05</f>
        <v>0.5</v>
      </c>
      <c r="Q737" s="12"/>
      <c r="R737" s="13"/>
    </row>
    <row r="738" spans="1:18" ht="15.75" customHeight="1" x14ac:dyDescent="0.25">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7">
        <f>Data!$I738+0.05</f>
        <v>0.5</v>
      </c>
      <c r="Q738" s="12"/>
      <c r="R738" s="13"/>
    </row>
    <row r="739" spans="1:18" ht="15.75" customHeight="1" x14ac:dyDescent="0.25">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7">
        <f>Data!$I739+0.05</f>
        <v>0.5</v>
      </c>
      <c r="Q739" s="12"/>
      <c r="R739" s="13"/>
    </row>
    <row r="740" spans="1:18" ht="15.75" customHeight="1" x14ac:dyDescent="0.25">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7">
        <f>Data!$I740+0.05</f>
        <v>0.4</v>
      </c>
      <c r="Q740" s="12"/>
      <c r="R740" s="13"/>
    </row>
    <row r="741" spans="1:18" ht="15.75" customHeight="1" x14ac:dyDescent="0.25">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7">
        <f>Data!$I741+0.05</f>
        <v>0.44999999999999996</v>
      </c>
      <c r="Q741" s="12"/>
      <c r="R741" s="13"/>
    </row>
    <row r="742" spans="1:18" ht="15.75" customHeight="1" x14ac:dyDescent="0.25">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f>Data!$I742+0.05</f>
        <v>0.60000000000000009</v>
      </c>
      <c r="Q742" s="12"/>
      <c r="R742" s="13"/>
    </row>
    <row r="743" spans="1:18" ht="15.75" customHeight="1" x14ac:dyDescent="0.25">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f>Data!$I743+0.05</f>
        <v>0.5</v>
      </c>
      <c r="Q743" s="12"/>
      <c r="R743" s="13"/>
    </row>
    <row r="744" spans="1:18" ht="15.75" customHeight="1" x14ac:dyDescent="0.25">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f>Data!$I744+0.05</f>
        <v>0.5</v>
      </c>
      <c r="Q744" s="12"/>
      <c r="R744" s="13"/>
    </row>
    <row r="745" spans="1:18" ht="15.75" customHeight="1" x14ac:dyDescent="0.25">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7">
        <f>Data!$I745+0.05</f>
        <v>0.5</v>
      </c>
      <c r="Q745" s="12"/>
      <c r="R745" s="13"/>
    </row>
    <row r="746" spans="1:18" ht="15.75" customHeight="1" x14ac:dyDescent="0.25">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7">
        <f>Data!$I746+0.05</f>
        <v>0.4</v>
      </c>
      <c r="Q746" s="12"/>
      <c r="R746" s="13"/>
    </row>
    <row r="747" spans="1:18" ht="15.75" customHeight="1" x14ac:dyDescent="0.25">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7">
        <f>Data!$I747+0.05</f>
        <v>0.44999999999999996</v>
      </c>
      <c r="Q747" s="12"/>
      <c r="R747" s="13"/>
    </row>
    <row r="748" spans="1:18" ht="15.75" customHeight="1" x14ac:dyDescent="0.25">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7">
        <f>Data!$I748+0.05</f>
        <v>0.60000000000000009</v>
      </c>
      <c r="Q748" s="12"/>
      <c r="R748" s="13"/>
    </row>
    <row r="749" spans="1:18" ht="15.75" customHeight="1" x14ac:dyDescent="0.25">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7">
        <f>Data!$I749+0.05</f>
        <v>0.5</v>
      </c>
      <c r="Q749" s="12"/>
      <c r="R749" s="13"/>
    </row>
    <row r="750" spans="1:18" ht="15.75" customHeight="1" x14ac:dyDescent="0.25">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f>Data!$I750+0.05</f>
        <v>0.60000000000000009</v>
      </c>
      <c r="Q750" s="12"/>
      <c r="R750" s="13"/>
    </row>
    <row r="751" spans="1:18" ht="15.75" customHeight="1" x14ac:dyDescent="0.25">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f>Data!$I751+0.05</f>
        <v>0.60000000000000009</v>
      </c>
      <c r="Q751" s="12"/>
      <c r="R751" s="13"/>
    </row>
    <row r="752" spans="1:18" ht="15.75" customHeight="1" x14ac:dyDescent="0.25">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f>Data!$I752+0.05</f>
        <v>0.55000000000000004</v>
      </c>
      <c r="Q752" s="12"/>
      <c r="R752" s="13"/>
    </row>
    <row r="753" spans="1:18" ht="15.75" customHeight="1" x14ac:dyDescent="0.25">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7">
        <f>Data!$I753+0.05</f>
        <v>0.55000000000000004</v>
      </c>
      <c r="Q753" s="12"/>
      <c r="R753" s="13"/>
    </row>
    <row r="754" spans="1:18" ht="15.75" customHeight="1" x14ac:dyDescent="0.25">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7">
        <f>Data!$I754+0.05</f>
        <v>0.65</v>
      </c>
      <c r="Q754" s="12"/>
      <c r="R754" s="13"/>
    </row>
    <row r="755" spans="1:18" ht="15.75" customHeight="1" x14ac:dyDescent="0.25">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7">
        <f>Data!$I755+0.05</f>
        <v>0.70000000000000007</v>
      </c>
      <c r="Q755" s="12"/>
      <c r="R755" s="13"/>
    </row>
    <row r="756" spans="1:18" ht="15.75" customHeight="1" x14ac:dyDescent="0.25">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7">
        <f>Data!$I756+0.05</f>
        <v>0.65</v>
      </c>
      <c r="Q756" s="12"/>
      <c r="R756" s="13"/>
    </row>
    <row r="757" spans="1:18" ht="15.75" customHeight="1" x14ac:dyDescent="0.25">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7">
        <f>Data!$I757+0.05</f>
        <v>0.60000000000000009</v>
      </c>
      <c r="Q757" s="12"/>
      <c r="R757" s="13"/>
    </row>
    <row r="758" spans="1:18" ht="15.75" customHeight="1" x14ac:dyDescent="0.25">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f>Data!$I758+0.05</f>
        <v>0.55000000000000004</v>
      </c>
      <c r="Q758" s="12"/>
      <c r="R758" s="13"/>
    </row>
    <row r="759" spans="1:18" ht="15.75" customHeight="1" x14ac:dyDescent="0.25">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f>Data!$I759+0.05</f>
        <v>0.55000000000000004</v>
      </c>
      <c r="Q759" s="12"/>
      <c r="R759" s="13"/>
    </row>
    <row r="760" spans="1:18" ht="15.75" customHeight="1" x14ac:dyDescent="0.25">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f>Data!$I760+0.05</f>
        <v>0.70000000000000007</v>
      </c>
      <c r="Q760" s="12"/>
      <c r="R760" s="13"/>
    </row>
    <row r="761" spans="1:18" ht="15.75" customHeight="1" x14ac:dyDescent="0.25">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7">
        <f>Data!$I761+0.05</f>
        <v>0.75000000000000011</v>
      </c>
      <c r="Q761" s="12"/>
      <c r="R761" s="13"/>
    </row>
    <row r="762" spans="1:18" ht="15.75" customHeight="1" x14ac:dyDescent="0.25">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7">
        <f>Data!$I762+0.05</f>
        <v>0.70000000000000007</v>
      </c>
      <c r="Q762" s="12"/>
      <c r="R762" s="13"/>
    </row>
    <row r="763" spans="1:18" ht="15.75" customHeight="1" x14ac:dyDescent="0.25">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7">
        <f>Data!$I763+0.05</f>
        <v>0.65000000000000013</v>
      </c>
      <c r="Q763" s="12"/>
      <c r="R763" s="13"/>
    </row>
    <row r="764" spans="1:18" ht="15.75" customHeight="1" x14ac:dyDescent="0.25">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7">
        <f>Data!$I764+0.05</f>
        <v>0.60000000000000009</v>
      </c>
      <c r="Q764" s="12"/>
      <c r="R764" s="13"/>
    </row>
    <row r="765" spans="1:18" ht="15.75" customHeight="1" x14ac:dyDescent="0.25">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7">
        <f>Data!$I765+0.05</f>
        <v>0.60000000000000009</v>
      </c>
      <c r="Q765" s="12"/>
      <c r="R765" s="13"/>
    </row>
    <row r="766" spans="1:18" ht="15.75" customHeight="1" x14ac:dyDescent="0.25">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f>Data!$I766+0.05</f>
        <v>0.70000000000000007</v>
      </c>
      <c r="Q766" s="12"/>
      <c r="R766" s="13"/>
    </row>
    <row r="767" spans="1:18" ht="15.75" customHeight="1" x14ac:dyDescent="0.25">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f>Data!$I767+0.05</f>
        <v>0.75000000000000011</v>
      </c>
      <c r="Q767" s="12"/>
      <c r="R767" s="13"/>
    </row>
    <row r="768" spans="1:18" ht="15.75" customHeight="1" x14ac:dyDescent="0.25">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f>Data!$I768+0.05</f>
        <v>0.70000000000000007</v>
      </c>
      <c r="Q768" s="12"/>
      <c r="R768" s="13"/>
    </row>
    <row r="769" spans="1:18" ht="15.75" customHeight="1" x14ac:dyDescent="0.25">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7">
        <f>Data!$I769+0.05</f>
        <v>0.65000000000000013</v>
      </c>
      <c r="Q769" s="12"/>
      <c r="R769" s="13"/>
    </row>
    <row r="770" spans="1:18" ht="15.75" customHeight="1" x14ac:dyDescent="0.25">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7">
        <f>Data!$I770+0.05</f>
        <v>0.60000000000000009</v>
      </c>
      <c r="Q770" s="12"/>
      <c r="R770" s="13"/>
    </row>
    <row r="771" spans="1:18" ht="15.75" customHeight="1" x14ac:dyDescent="0.25">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7">
        <f>Data!$I771+0.05</f>
        <v>0.5</v>
      </c>
      <c r="Q771" s="12"/>
      <c r="R771" s="13"/>
    </row>
    <row r="772" spans="1:18" ht="15.75" customHeight="1" x14ac:dyDescent="0.25">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7">
        <f>Data!$I772+0.05</f>
        <v>0.60000000000000009</v>
      </c>
      <c r="Q772" s="12"/>
      <c r="R772" s="13"/>
    </row>
    <row r="773" spans="1:18" ht="15.75" customHeight="1" x14ac:dyDescent="0.25">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7">
        <f>Data!$I773+0.05</f>
        <v>0.65000000000000013</v>
      </c>
      <c r="Q773" s="12"/>
      <c r="R773" s="13"/>
    </row>
    <row r="774" spans="1:18" ht="15.75" customHeight="1" x14ac:dyDescent="0.25">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f>Data!$I774+0.05</f>
        <v>0.60000000000000009</v>
      </c>
      <c r="Q774" s="12"/>
      <c r="R774" s="13"/>
    </row>
    <row r="775" spans="1:18" ht="15.75" customHeight="1" x14ac:dyDescent="0.25">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f>Data!$I775+0.05</f>
        <v>0.55000000000000016</v>
      </c>
      <c r="Q775" s="12"/>
      <c r="R775" s="13"/>
    </row>
    <row r="776" spans="1:18" ht="15.75" customHeight="1" x14ac:dyDescent="0.25">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f>Data!$I776+0.05</f>
        <v>0.5</v>
      </c>
      <c r="Q776" s="12"/>
      <c r="R776" s="13"/>
    </row>
    <row r="777" spans="1:18" ht="15.75" customHeight="1" x14ac:dyDescent="0.25">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7">
        <f>Data!$I777+0.05</f>
        <v>0.5</v>
      </c>
      <c r="Q777" s="12"/>
      <c r="R777" s="13"/>
    </row>
    <row r="778" spans="1:18" ht="15.75" customHeight="1" x14ac:dyDescent="0.25">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7">
        <f>Data!$I778+0.05</f>
        <v>0.60000000000000009</v>
      </c>
      <c r="Q778" s="12"/>
      <c r="R778" s="13"/>
    </row>
    <row r="779" spans="1:18" ht="15.75" customHeight="1" x14ac:dyDescent="0.25">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7">
        <f>Data!$I779+0.05</f>
        <v>0.65000000000000013</v>
      </c>
      <c r="Q779" s="12"/>
      <c r="R779" s="13"/>
    </row>
    <row r="780" spans="1:18" ht="15.75" customHeight="1" x14ac:dyDescent="0.25">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7">
        <f>Data!$I780+0.05</f>
        <v>0.65000000000000013</v>
      </c>
      <c r="Q780" s="12"/>
      <c r="R780" s="13"/>
    </row>
    <row r="781" spans="1:18" ht="15.75" customHeight="1" x14ac:dyDescent="0.25">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7">
        <f>Data!$I781+0.05</f>
        <v>0.55000000000000016</v>
      </c>
      <c r="Q781" s="12"/>
      <c r="R781" s="13"/>
    </row>
    <row r="782" spans="1:18" ht="15.75" customHeight="1" x14ac:dyDescent="0.25">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f>Data!$I782+0.05</f>
        <v>0.55000000000000016</v>
      </c>
      <c r="Q782" s="12"/>
      <c r="R782" s="13"/>
    </row>
    <row r="783" spans="1:18" ht="15.75" customHeight="1" x14ac:dyDescent="0.25">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f>Data!$I783+0.05</f>
        <v>0.55000000000000016</v>
      </c>
      <c r="Q783" s="12"/>
      <c r="R783" s="13"/>
    </row>
    <row r="784" spans="1:18" ht="15.75" customHeight="1" x14ac:dyDescent="0.25">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f>Data!$I784+0.05</f>
        <v>0.65000000000000013</v>
      </c>
      <c r="Q784" s="12"/>
      <c r="R784" s="13"/>
    </row>
    <row r="785" spans="1:18" ht="15.75" customHeight="1" x14ac:dyDescent="0.25">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7">
        <f>Data!$I785+0.05</f>
        <v>0.70000000000000007</v>
      </c>
      <c r="Q785" s="12"/>
      <c r="R785" s="13"/>
    </row>
    <row r="786" spans="1:18" ht="15.75" customHeight="1" x14ac:dyDescent="0.25">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7">
        <f>Data!$I786+0.05</f>
        <v>0.65000000000000013</v>
      </c>
      <c r="Q786" s="12"/>
      <c r="R786" s="13"/>
    </row>
    <row r="787" spans="1:18" ht="15.75" customHeight="1" x14ac:dyDescent="0.25">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7">
        <f>Data!$I787+0.05</f>
        <v>0.55000000000000016</v>
      </c>
      <c r="Q787" s="12"/>
      <c r="R787" s="13"/>
    </row>
    <row r="788" spans="1:18" ht="15.75" customHeight="1" x14ac:dyDescent="0.25">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7">
        <f>Data!$I788+0.05</f>
        <v>0.55000000000000016</v>
      </c>
      <c r="Q788" s="12"/>
      <c r="R788" s="13"/>
    </row>
    <row r="789" spans="1:18" ht="15.75" customHeight="1" x14ac:dyDescent="0.25">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7">
        <f>Data!$I789+0.05</f>
        <v>0.55000000000000016</v>
      </c>
      <c r="Q789" s="12"/>
      <c r="R789" s="13"/>
    </row>
    <row r="790" spans="1:18" ht="15.75" customHeight="1" x14ac:dyDescent="0.25">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f>Data!$I790+0.05</f>
        <v>0.70000000000000007</v>
      </c>
      <c r="Q790" s="12"/>
      <c r="R790" s="13"/>
    </row>
    <row r="791" spans="1:18" ht="15.75" customHeight="1" x14ac:dyDescent="0.25">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f>Data!$I791+0.05</f>
        <v>0.75</v>
      </c>
      <c r="Q791" s="12"/>
      <c r="R791" s="13"/>
    </row>
    <row r="792" spans="1:18" ht="15.75" customHeight="1" x14ac:dyDescent="0.25">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f>Data!$I792+0.05</f>
        <v>0.70000000000000007</v>
      </c>
      <c r="Q792" s="12"/>
      <c r="R792" s="13"/>
    </row>
    <row r="793" spans="1:18" ht="15.75" customHeight="1" x14ac:dyDescent="0.25">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7">
        <f>Data!$I793+0.05</f>
        <v>0.60000000000000009</v>
      </c>
      <c r="Q793" s="12"/>
      <c r="R793" s="13"/>
    </row>
    <row r="794" spans="1:18" ht="15.75" customHeight="1" x14ac:dyDescent="0.25">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7">
        <f>Data!$I794+0.05</f>
        <v>0.60000000000000009</v>
      </c>
      <c r="Q794" s="12"/>
      <c r="R794" s="13"/>
    </row>
    <row r="795" spans="1:18" ht="15.75" customHeight="1" x14ac:dyDescent="0.25">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7">
        <f>Data!$I795+0.05</f>
        <v>0.60000000000000009</v>
      </c>
      <c r="Q795" s="12"/>
      <c r="R795" s="13"/>
    </row>
    <row r="796" spans="1:18" ht="15.75" customHeight="1" x14ac:dyDescent="0.25">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7">
        <f>Data!$I796+0.05</f>
        <v>0.70000000000000007</v>
      </c>
      <c r="Q796" s="12"/>
      <c r="R796" s="13"/>
    </row>
    <row r="797" spans="1:18" ht="15.75" customHeight="1" x14ac:dyDescent="0.25">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7">
        <f>Data!$I797+0.05</f>
        <v>0.75</v>
      </c>
      <c r="Q797" s="12"/>
      <c r="R797" s="13"/>
    </row>
    <row r="798" spans="1:18" ht="15.75" customHeight="1" x14ac:dyDescent="0.25">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x14ac:dyDescent="0.25">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x14ac:dyDescent="0.25">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x14ac:dyDescent="0.25">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25">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x14ac:dyDescent="0.25">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x14ac:dyDescent="0.25">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x14ac:dyDescent="0.25">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x14ac:dyDescent="0.25">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x14ac:dyDescent="0.25">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25">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x14ac:dyDescent="0.25">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x14ac:dyDescent="0.25">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x14ac:dyDescent="0.25">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x14ac:dyDescent="0.25">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x14ac:dyDescent="0.25">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x14ac:dyDescent="0.25">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x14ac:dyDescent="0.25">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x14ac:dyDescent="0.25">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x14ac:dyDescent="0.25">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x14ac:dyDescent="0.25">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x14ac:dyDescent="0.25">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x14ac:dyDescent="0.25">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x14ac:dyDescent="0.25">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x14ac:dyDescent="0.25">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x14ac:dyDescent="0.25">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x14ac:dyDescent="0.25">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x14ac:dyDescent="0.25">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x14ac:dyDescent="0.25">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x14ac:dyDescent="0.25">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x14ac:dyDescent="0.25">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x14ac:dyDescent="0.25">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x14ac:dyDescent="0.25">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x14ac:dyDescent="0.25">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25">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x14ac:dyDescent="0.25">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25">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x14ac:dyDescent="0.25">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x14ac:dyDescent="0.25">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x14ac:dyDescent="0.25">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x14ac:dyDescent="0.25">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x14ac:dyDescent="0.25">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x14ac:dyDescent="0.25">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x14ac:dyDescent="0.25">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x14ac:dyDescent="0.25">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x14ac:dyDescent="0.25">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25">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x14ac:dyDescent="0.25">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x14ac:dyDescent="0.25">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x14ac:dyDescent="0.25">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x14ac:dyDescent="0.25">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x14ac:dyDescent="0.25">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x14ac:dyDescent="0.25">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x14ac:dyDescent="0.25">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x14ac:dyDescent="0.25">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25">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x14ac:dyDescent="0.25">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x14ac:dyDescent="0.25">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x14ac:dyDescent="0.25">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x14ac:dyDescent="0.25">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25">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x14ac:dyDescent="0.25">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x14ac:dyDescent="0.25">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x14ac:dyDescent="0.25">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x14ac:dyDescent="0.25">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x14ac:dyDescent="0.25">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25">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25">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x14ac:dyDescent="0.25">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x14ac:dyDescent="0.25">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x14ac:dyDescent="0.25">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x14ac:dyDescent="0.25">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25">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x14ac:dyDescent="0.25">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x14ac:dyDescent="0.25">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x14ac:dyDescent="0.25">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x14ac:dyDescent="0.25">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x14ac:dyDescent="0.25">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x14ac:dyDescent="0.25">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x14ac:dyDescent="0.25">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x14ac:dyDescent="0.25">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x14ac:dyDescent="0.25">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x14ac:dyDescent="0.25">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x14ac:dyDescent="0.25">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x14ac:dyDescent="0.25">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x14ac:dyDescent="0.25">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x14ac:dyDescent="0.25">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x14ac:dyDescent="0.25">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x14ac:dyDescent="0.25">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x14ac:dyDescent="0.25">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x14ac:dyDescent="0.25">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x14ac:dyDescent="0.25">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x14ac:dyDescent="0.25">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x14ac:dyDescent="0.25">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x14ac:dyDescent="0.25">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x14ac:dyDescent="0.25">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x14ac:dyDescent="0.25">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x14ac:dyDescent="0.25">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x14ac:dyDescent="0.25">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x14ac:dyDescent="0.25">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x14ac:dyDescent="0.25">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x14ac:dyDescent="0.25">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x14ac:dyDescent="0.25">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x14ac:dyDescent="0.25">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x14ac:dyDescent="0.25">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x14ac:dyDescent="0.25">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x14ac:dyDescent="0.25">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x14ac:dyDescent="0.25">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x14ac:dyDescent="0.25">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x14ac:dyDescent="0.25">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x14ac:dyDescent="0.25">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x14ac:dyDescent="0.25">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x14ac:dyDescent="0.25">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x14ac:dyDescent="0.25">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x14ac:dyDescent="0.25">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x14ac:dyDescent="0.25">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x14ac:dyDescent="0.25">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x14ac:dyDescent="0.25">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x14ac:dyDescent="0.25">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25">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x14ac:dyDescent="0.25">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x14ac:dyDescent="0.25">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x14ac:dyDescent="0.25">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x14ac:dyDescent="0.25">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x14ac:dyDescent="0.25">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25">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x14ac:dyDescent="0.25">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x14ac:dyDescent="0.25">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x14ac:dyDescent="0.25">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x14ac:dyDescent="0.25">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x14ac:dyDescent="0.25">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25">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x14ac:dyDescent="0.25">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x14ac:dyDescent="0.25">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x14ac:dyDescent="0.25">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x14ac:dyDescent="0.25">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x14ac:dyDescent="0.25">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25">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x14ac:dyDescent="0.25">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x14ac:dyDescent="0.25">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x14ac:dyDescent="0.25">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x14ac:dyDescent="0.25">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x14ac:dyDescent="0.25">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25">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x14ac:dyDescent="0.25">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x14ac:dyDescent="0.25">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x14ac:dyDescent="0.25">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x14ac:dyDescent="0.25">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x14ac:dyDescent="0.25">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x14ac:dyDescent="0.25">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x14ac:dyDescent="0.25">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x14ac:dyDescent="0.25">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x14ac:dyDescent="0.25">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x14ac:dyDescent="0.25">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x14ac:dyDescent="0.25">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x14ac:dyDescent="0.25">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x14ac:dyDescent="0.25">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x14ac:dyDescent="0.25">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x14ac:dyDescent="0.25">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x14ac:dyDescent="0.25">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x14ac:dyDescent="0.25">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x14ac:dyDescent="0.25">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25">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x14ac:dyDescent="0.25">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25">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25">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x14ac:dyDescent="0.25">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x14ac:dyDescent="0.25">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25">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25">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25">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25">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x14ac:dyDescent="0.25">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x14ac:dyDescent="0.25">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x14ac:dyDescent="0.25">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x14ac:dyDescent="0.25">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x14ac:dyDescent="0.25">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x14ac:dyDescent="0.25">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x14ac:dyDescent="0.25">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x14ac:dyDescent="0.25">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x14ac:dyDescent="0.25">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x14ac:dyDescent="0.25">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x14ac:dyDescent="0.25">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x14ac:dyDescent="0.25">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x14ac:dyDescent="0.25">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x14ac:dyDescent="0.25">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25">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x14ac:dyDescent="0.25">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25">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x14ac:dyDescent="0.25">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x14ac:dyDescent="0.25">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x14ac:dyDescent="0.25">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25">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x14ac:dyDescent="0.25">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x14ac:dyDescent="0.25">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25">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25">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x14ac:dyDescent="0.25">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x14ac:dyDescent="0.25">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25">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25">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x14ac:dyDescent="0.25">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x14ac:dyDescent="0.25">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25">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x14ac:dyDescent="0.25">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25">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25">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25">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25">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25">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x14ac:dyDescent="0.25">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25">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25">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x14ac:dyDescent="0.25">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x14ac:dyDescent="0.25">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25">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x14ac:dyDescent="0.25">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x14ac:dyDescent="0.25">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x14ac:dyDescent="0.25">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x14ac:dyDescent="0.25">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25">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x14ac:dyDescent="0.25">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x14ac:dyDescent="0.25">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x14ac:dyDescent="0.25">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x14ac:dyDescent="0.25">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x14ac:dyDescent="0.25">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25">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x14ac:dyDescent="0.25">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x14ac:dyDescent="0.25">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25">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x14ac:dyDescent="0.25">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x14ac:dyDescent="0.25">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x14ac:dyDescent="0.25">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x14ac:dyDescent="0.25">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x14ac:dyDescent="0.25">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x14ac:dyDescent="0.25">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x14ac:dyDescent="0.25">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x14ac:dyDescent="0.25">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x14ac:dyDescent="0.25">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x14ac:dyDescent="0.25">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x14ac:dyDescent="0.25">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x14ac:dyDescent="0.25">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25">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25">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25">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25">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25">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x14ac:dyDescent="0.25">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25">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25">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25">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x14ac:dyDescent="0.25">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x14ac:dyDescent="0.25">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x14ac:dyDescent="0.25">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25">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x14ac:dyDescent="0.25">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25">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x14ac:dyDescent="0.25">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x14ac:dyDescent="0.25">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x14ac:dyDescent="0.25">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25">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x14ac:dyDescent="0.25">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25">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x14ac:dyDescent="0.25">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x14ac:dyDescent="0.25">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x14ac:dyDescent="0.25">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25">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x14ac:dyDescent="0.25">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x14ac:dyDescent="0.25">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x14ac:dyDescent="0.25">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x14ac:dyDescent="0.25">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x14ac:dyDescent="0.25">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x14ac:dyDescent="0.25">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x14ac:dyDescent="0.25">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x14ac:dyDescent="0.25">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25">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25">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x14ac:dyDescent="0.25">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x14ac:dyDescent="0.25">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25">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25">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25">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25">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25">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x14ac:dyDescent="0.25">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x14ac:dyDescent="0.25">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x14ac:dyDescent="0.25">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25">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25">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x14ac:dyDescent="0.25">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x14ac:dyDescent="0.25">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x14ac:dyDescent="0.25">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x14ac:dyDescent="0.25">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x14ac:dyDescent="0.25">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x14ac:dyDescent="0.25">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x14ac:dyDescent="0.25">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x14ac:dyDescent="0.25">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x14ac:dyDescent="0.25">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x14ac:dyDescent="0.25">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x14ac:dyDescent="0.25">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x14ac:dyDescent="0.25">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x14ac:dyDescent="0.25">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x14ac:dyDescent="0.25">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x14ac:dyDescent="0.25">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25">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x14ac:dyDescent="0.25">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25">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25">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25">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25">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25">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x14ac:dyDescent="0.25">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25">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25">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25">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25">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25">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x14ac:dyDescent="0.25">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x14ac:dyDescent="0.25">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x14ac:dyDescent="0.25">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x14ac:dyDescent="0.25">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x14ac:dyDescent="0.25">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x14ac:dyDescent="0.25">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x14ac:dyDescent="0.25">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25">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x14ac:dyDescent="0.25">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x14ac:dyDescent="0.25">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x14ac:dyDescent="0.25">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x14ac:dyDescent="0.25">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x14ac:dyDescent="0.25">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x14ac:dyDescent="0.25">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x14ac:dyDescent="0.25">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25">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25">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x14ac:dyDescent="0.25">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25">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x14ac:dyDescent="0.25">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25">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25">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x14ac:dyDescent="0.25">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x14ac:dyDescent="0.25">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x14ac:dyDescent="0.25">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x14ac:dyDescent="0.25">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25">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25">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25">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25">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25">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x14ac:dyDescent="0.25">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25">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25">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25">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25">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25">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x14ac:dyDescent="0.25">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x14ac:dyDescent="0.25">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x14ac:dyDescent="0.25">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x14ac:dyDescent="0.25">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x14ac:dyDescent="0.25">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x14ac:dyDescent="0.25">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25">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x14ac:dyDescent="0.25">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x14ac:dyDescent="0.25">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25">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x14ac:dyDescent="0.25">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x14ac:dyDescent="0.25">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x14ac:dyDescent="0.25">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x14ac:dyDescent="0.25">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x14ac:dyDescent="0.25">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25">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x14ac:dyDescent="0.25">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x14ac:dyDescent="0.25">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x14ac:dyDescent="0.25">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x14ac:dyDescent="0.25">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x14ac:dyDescent="0.25">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25">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x14ac:dyDescent="0.25">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x14ac:dyDescent="0.25">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x14ac:dyDescent="0.25">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x14ac:dyDescent="0.25">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x14ac:dyDescent="0.25">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25">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x14ac:dyDescent="0.25">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x14ac:dyDescent="0.25">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x14ac:dyDescent="0.25">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25">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x14ac:dyDescent="0.25">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x14ac:dyDescent="0.25">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x14ac:dyDescent="0.25">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25">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x14ac:dyDescent="0.25">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25">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x14ac:dyDescent="0.25">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x14ac:dyDescent="0.25">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x14ac:dyDescent="0.25">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25">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x14ac:dyDescent="0.25">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25">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x14ac:dyDescent="0.25">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x14ac:dyDescent="0.25">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x14ac:dyDescent="0.25">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25">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x14ac:dyDescent="0.25">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25">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x14ac:dyDescent="0.25">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x14ac:dyDescent="0.25">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x14ac:dyDescent="0.25">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25">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x14ac:dyDescent="0.25">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25">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x14ac:dyDescent="0.25">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x14ac:dyDescent="0.25">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x14ac:dyDescent="0.25">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25">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x14ac:dyDescent="0.25">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x14ac:dyDescent="0.25">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x14ac:dyDescent="0.25">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x14ac:dyDescent="0.25">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x14ac:dyDescent="0.25">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x14ac:dyDescent="0.25">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x14ac:dyDescent="0.25">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x14ac:dyDescent="0.25">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x14ac:dyDescent="0.25">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25">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x14ac:dyDescent="0.25">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x14ac:dyDescent="0.25">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x14ac:dyDescent="0.25">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x14ac:dyDescent="0.25">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x14ac:dyDescent="0.25">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x14ac:dyDescent="0.25">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x14ac:dyDescent="0.25">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x14ac:dyDescent="0.25">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x14ac:dyDescent="0.25">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25">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x14ac:dyDescent="0.25">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x14ac:dyDescent="0.25">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x14ac:dyDescent="0.25">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x14ac:dyDescent="0.25">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x14ac:dyDescent="0.25">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25">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x14ac:dyDescent="0.25">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x14ac:dyDescent="0.25">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x14ac:dyDescent="0.25">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x14ac:dyDescent="0.25">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x14ac:dyDescent="0.25">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x14ac:dyDescent="0.25">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x14ac:dyDescent="0.25">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25">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25">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x14ac:dyDescent="0.25">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x14ac:dyDescent="0.25">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x14ac:dyDescent="0.25">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x14ac:dyDescent="0.25">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x14ac:dyDescent="0.25">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x14ac:dyDescent="0.25">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25">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x14ac:dyDescent="0.25">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25">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x14ac:dyDescent="0.25">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x14ac:dyDescent="0.25">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25">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x14ac:dyDescent="0.25">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x14ac:dyDescent="0.25">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x14ac:dyDescent="0.25">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x14ac:dyDescent="0.25">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x14ac:dyDescent="0.25">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x14ac:dyDescent="0.25">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25">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x14ac:dyDescent="0.25">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x14ac:dyDescent="0.25">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25">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25">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x14ac:dyDescent="0.25">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25">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x14ac:dyDescent="0.25">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25">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25">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x14ac:dyDescent="0.25">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25">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x14ac:dyDescent="0.25">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x14ac:dyDescent="0.25">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25">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25">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25">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25">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25">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x14ac:dyDescent="0.25">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x14ac:dyDescent="0.25">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25">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25">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25">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x14ac:dyDescent="0.25">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x14ac:dyDescent="0.25">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25">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25">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x14ac:dyDescent="0.25">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25">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25">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25">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25">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25">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25">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25">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25">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25">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25">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25">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25">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25">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25">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25">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25">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25">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25">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25">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25">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25">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25">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25">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25">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25">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25">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25">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25">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25">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25">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25">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25">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25">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25">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25">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25">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25">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25">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25">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25">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25">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25">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25">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25">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25">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25">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25">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25">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25">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25">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25">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25">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25">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25">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25">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25">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25">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25">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25">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25">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25">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25">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25">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25">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25">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25">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25">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25">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25">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25">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25">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25">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25">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25">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25">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25">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25">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25">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25">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25">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25">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x14ac:dyDescent="0.25">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x14ac:dyDescent="0.25">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x14ac:dyDescent="0.25">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x14ac:dyDescent="0.25">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x14ac:dyDescent="0.25">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x14ac:dyDescent="0.25">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x14ac:dyDescent="0.25">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x14ac:dyDescent="0.25">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x14ac:dyDescent="0.25">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x14ac:dyDescent="0.25">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x14ac:dyDescent="0.25">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x14ac:dyDescent="0.25">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x14ac:dyDescent="0.25">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x14ac:dyDescent="0.25">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x14ac:dyDescent="0.25">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x14ac:dyDescent="0.25">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x14ac:dyDescent="0.25">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x14ac:dyDescent="0.25">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x14ac:dyDescent="0.25">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x14ac:dyDescent="0.25">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x14ac:dyDescent="0.25">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x14ac:dyDescent="0.25">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x14ac:dyDescent="0.25">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x14ac:dyDescent="0.25">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x14ac:dyDescent="0.25">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x14ac:dyDescent="0.25">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x14ac:dyDescent="0.25">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x14ac:dyDescent="0.25">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x14ac:dyDescent="0.25">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x14ac:dyDescent="0.25">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x14ac:dyDescent="0.25">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x14ac:dyDescent="0.25">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x14ac:dyDescent="0.25">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x14ac:dyDescent="0.25">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x14ac:dyDescent="0.25">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x14ac:dyDescent="0.25">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x14ac:dyDescent="0.25">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x14ac:dyDescent="0.25">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x14ac:dyDescent="0.25">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x14ac:dyDescent="0.25">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x14ac:dyDescent="0.25">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x14ac:dyDescent="0.25">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x14ac:dyDescent="0.25">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x14ac:dyDescent="0.25">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x14ac:dyDescent="0.25">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x14ac:dyDescent="0.25">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x14ac:dyDescent="0.25">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x14ac:dyDescent="0.25">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x14ac:dyDescent="0.25">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x14ac:dyDescent="0.25">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x14ac:dyDescent="0.25">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x14ac:dyDescent="0.25">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x14ac:dyDescent="0.25">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x14ac:dyDescent="0.25">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x14ac:dyDescent="0.25">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x14ac:dyDescent="0.25">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x14ac:dyDescent="0.25">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x14ac:dyDescent="0.25">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x14ac:dyDescent="0.25">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x14ac:dyDescent="0.25">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x14ac:dyDescent="0.25">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x14ac:dyDescent="0.25">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x14ac:dyDescent="0.25">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x14ac:dyDescent="0.25">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x14ac:dyDescent="0.25">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x14ac:dyDescent="0.25">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x14ac:dyDescent="0.25">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x14ac:dyDescent="0.25">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x14ac:dyDescent="0.25">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x14ac:dyDescent="0.25">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x14ac:dyDescent="0.25">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x14ac:dyDescent="0.25">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x14ac:dyDescent="0.25">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x14ac:dyDescent="0.25">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x14ac:dyDescent="0.25">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x14ac:dyDescent="0.25">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x14ac:dyDescent="0.25">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x14ac:dyDescent="0.25">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x14ac:dyDescent="0.25">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x14ac:dyDescent="0.25">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x14ac:dyDescent="0.25">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x14ac:dyDescent="0.25">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x14ac:dyDescent="0.25">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x14ac:dyDescent="0.25">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x14ac:dyDescent="0.25">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x14ac:dyDescent="0.25">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x14ac:dyDescent="0.25">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x14ac:dyDescent="0.25">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x14ac:dyDescent="0.25">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x14ac:dyDescent="0.25">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x14ac:dyDescent="0.25">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x14ac:dyDescent="0.25">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x14ac:dyDescent="0.25">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x14ac:dyDescent="0.25">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x14ac:dyDescent="0.25">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x14ac:dyDescent="0.25">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x14ac:dyDescent="0.25">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25">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x14ac:dyDescent="0.25">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x14ac:dyDescent="0.25">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x14ac:dyDescent="0.25">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25">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x14ac:dyDescent="0.25">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25">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x14ac:dyDescent="0.25">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x14ac:dyDescent="0.25">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x14ac:dyDescent="0.25">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25">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x14ac:dyDescent="0.25">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25">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x14ac:dyDescent="0.25">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x14ac:dyDescent="0.25">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x14ac:dyDescent="0.25">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25">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x14ac:dyDescent="0.25">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25">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x14ac:dyDescent="0.25">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x14ac:dyDescent="0.25">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x14ac:dyDescent="0.25">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25">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x14ac:dyDescent="0.25">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25">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x14ac:dyDescent="0.25">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x14ac:dyDescent="0.25">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x14ac:dyDescent="0.25">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25">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x14ac:dyDescent="0.25">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25">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25">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25">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x14ac:dyDescent="0.25">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x14ac:dyDescent="0.25">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x14ac:dyDescent="0.25">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25">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25">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25">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x14ac:dyDescent="0.25">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x14ac:dyDescent="0.25">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x14ac:dyDescent="0.25">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25">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25">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25">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x14ac:dyDescent="0.25">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x14ac:dyDescent="0.25">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25">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x14ac:dyDescent="0.25">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x14ac:dyDescent="0.25">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x14ac:dyDescent="0.25">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25">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x14ac:dyDescent="0.25">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25">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x14ac:dyDescent="0.25">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x14ac:dyDescent="0.25">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x14ac:dyDescent="0.25">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25">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x14ac:dyDescent="0.25">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x14ac:dyDescent="0.25">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x14ac:dyDescent="0.25">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25">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x14ac:dyDescent="0.25">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x14ac:dyDescent="0.25">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x14ac:dyDescent="0.25">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25">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x14ac:dyDescent="0.25">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x14ac:dyDescent="0.25">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25">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25">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25">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x14ac:dyDescent="0.25">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25">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25">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x14ac:dyDescent="0.25">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x14ac:dyDescent="0.25">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x14ac:dyDescent="0.25">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25">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25">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x14ac:dyDescent="0.25">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x14ac:dyDescent="0.25">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x14ac:dyDescent="0.25">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x14ac:dyDescent="0.25">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x14ac:dyDescent="0.25">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x14ac:dyDescent="0.25">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x14ac:dyDescent="0.25">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x14ac:dyDescent="0.25">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x14ac:dyDescent="0.25">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x14ac:dyDescent="0.25">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x14ac:dyDescent="0.25">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x14ac:dyDescent="0.25">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x14ac:dyDescent="0.25">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25">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x14ac:dyDescent="0.25">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x14ac:dyDescent="0.25">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25">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25">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25">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25">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25">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x14ac:dyDescent="0.25">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x14ac:dyDescent="0.25">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25">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25">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25">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25">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25">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25">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25">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25">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25">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25">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25">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25">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25">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25">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25">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25">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25">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x14ac:dyDescent="0.25">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25">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x14ac:dyDescent="0.25">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25">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25">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25">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x14ac:dyDescent="0.25">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x14ac:dyDescent="0.25">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x14ac:dyDescent="0.25">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25">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25">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25">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x14ac:dyDescent="0.25">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x14ac:dyDescent="0.25">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x14ac:dyDescent="0.25">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25">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25">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25">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x14ac:dyDescent="0.25">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x14ac:dyDescent="0.25">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25">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x14ac:dyDescent="0.25">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x14ac:dyDescent="0.25">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x14ac:dyDescent="0.25">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x14ac:dyDescent="0.25">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x14ac:dyDescent="0.25">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x14ac:dyDescent="0.25">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x14ac:dyDescent="0.25">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25">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x14ac:dyDescent="0.25">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25">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x14ac:dyDescent="0.25">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x14ac:dyDescent="0.25">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x14ac:dyDescent="0.25">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x14ac:dyDescent="0.25">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x14ac:dyDescent="0.25">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x14ac:dyDescent="0.25">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25">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x14ac:dyDescent="0.25">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x14ac:dyDescent="0.25">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x14ac:dyDescent="0.25">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x14ac:dyDescent="0.25">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x14ac:dyDescent="0.25">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25">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25">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x14ac:dyDescent="0.25">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25">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25">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25">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25">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x14ac:dyDescent="0.25">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x14ac:dyDescent="0.25">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25">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25">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25">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25">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25">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25">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25">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25">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25">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25">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25">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25">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x14ac:dyDescent="0.25">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25">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x14ac:dyDescent="0.25">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x14ac:dyDescent="0.25">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x14ac:dyDescent="0.25">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x14ac:dyDescent="0.25">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x14ac:dyDescent="0.25">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25">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x14ac:dyDescent="0.25">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x14ac:dyDescent="0.25">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x14ac:dyDescent="0.25">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25">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x14ac:dyDescent="0.25">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x14ac:dyDescent="0.25">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x14ac:dyDescent="0.25">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x14ac:dyDescent="0.25">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x14ac:dyDescent="0.25">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25">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x14ac:dyDescent="0.25">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x14ac:dyDescent="0.25">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x14ac:dyDescent="0.25">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x14ac:dyDescent="0.25">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25">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x14ac:dyDescent="0.25">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x14ac:dyDescent="0.25">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25">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25">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25">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25">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x14ac:dyDescent="0.25">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x14ac:dyDescent="0.25">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25">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x14ac:dyDescent="0.25">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25">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x14ac:dyDescent="0.25">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25">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x14ac:dyDescent="0.25">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25">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x14ac:dyDescent="0.25">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25">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25">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25">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x14ac:dyDescent="0.25">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x14ac:dyDescent="0.25">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x14ac:dyDescent="0.25">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25">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25">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25">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x14ac:dyDescent="0.25">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x14ac:dyDescent="0.25">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x14ac:dyDescent="0.25">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25">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25">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25">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x14ac:dyDescent="0.25">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x14ac:dyDescent="0.25">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x14ac:dyDescent="0.25">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25">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x14ac:dyDescent="0.25">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25">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x14ac:dyDescent="0.25">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25">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x14ac:dyDescent="0.25">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x14ac:dyDescent="0.25">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x14ac:dyDescent="0.25">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x14ac:dyDescent="0.25">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x14ac:dyDescent="0.25">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25">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25">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25">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25">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25">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25">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25">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25">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25">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25">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25">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25">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25">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x14ac:dyDescent="0.25">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x14ac:dyDescent="0.25">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25">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25">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x14ac:dyDescent="0.25">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x14ac:dyDescent="0.25">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x14ac:dyDescent="0.25">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x14ac:dyDescent="0.25">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25">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25">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x14ac:dyDescent="0.25">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x14ac:dyDescent="0.25">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25">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25">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25">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x14ac:dyDescent="0.25">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x14ac:dyDescent="0.25">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25">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25">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25">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25">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x14ac:dyDescent="0.25">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25">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25">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x14ac:dyDescent="0.25">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25">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25">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25">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x14ac:dyDescent="0.25">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25">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25">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25">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25">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25">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25">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x14ac:dyDescent="0.25">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25">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25">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25">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25">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25">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x14ac:dyDescent="0.25">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25">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25">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25">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25">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25">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25">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25">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25">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25">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25">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x14ac:dyDescent="0.25">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25">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x14ac:dyDescent="0.25">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x14ac:dyDescent="0.25">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x14ac:dyDescent="0.25">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25">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x14ac:dyDescent="0.25">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25">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25">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25">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25">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25">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25">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25">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25">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x14ac:dyDescent="0.25">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25">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25">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25">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25">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25">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x14ac:dyDescent="0.25">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x14ac:dyDescent="0.25">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x14ac:dyDescent="0.25">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25">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x14ac:dyDescent="0.25">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25">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x14ac:dyDescent="0.25">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x14ac:dyDescent="0.25">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x14ac:dyDescent="0.25">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25">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x14ac:dyDescent="0.25">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x14ac:dyDescent="0.25">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x14ac:dyDescent="0.25">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25">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x14ac:dyDescent="0.25">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x14ac:dyDescent="0.25">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x14ac:dyDescent="0.25">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25">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x14ac:dyDescent="0.25">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x14ac:dyDescent="0.25">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25">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25">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25">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x14ac:dyDescent="0.25">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25">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25">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x14ac:dyDescent="0.25">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x14ac:dyDescent="0.25">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x14ac:dyDescent="0.25">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25">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25">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x14ac:dyDescent="0.25">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x14ac:dyDescent="0.25">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x14ac:dyDescent="0.25">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x14ac:dyDescent="0.25">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x14ac:dyDescent="0.25">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x14ac:dyDescent="0.25">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x14ac:dyDescent="0.25">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x14ac:dyDescent="0.25">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x14ac:dyDescent="0.25">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x14ac:dyDescent="0.25">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x14ac:dyDescent="0.25">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x14ac:dyDescent="0.25">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x14ac:dyDescent="0.25">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25">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x14ac:dyDescent="0.25">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x14ac:dyDescent="0.25">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25">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25">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25">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25">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25">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x14ac:dyDescent="0.25">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x14ac:dyDescent="0.25">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25">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25">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25">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25">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25">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25">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25">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25">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25">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25">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25">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25">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25">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25">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25">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25">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25">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25">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x14ac:dyDescent="0.25">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x14ac:dyDescent="0.25">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x14ac:dyDescent="0.25">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25">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x14ac:dyDescent="0.25">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25">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x14ac:dyDescent="0.25">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x14ac:dyDescent="0.25">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x14ac:dyDescent="0.25">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25">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x14ac:dyDescent="0.25">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25">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25">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x14ac:dyDescent="0.25">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25">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25">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x14ac:dyDescent="0.25">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x14ac:dyDescent="0.25">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25">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25">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25">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25">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25">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x14ac:dyDescent="0.25">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x14ac:dyDescent="0.25">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x14ac:dyDescent="0.25">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x14ac:dyDescent="0.25">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25">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x14ac:dyDescent="0.25">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x14ac:dyDescent="0.25">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x14ac:dyDescent="0.25">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x14ac:dyDescent="0.25">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25">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x14ac:dyDescent="0.25">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x14ac:dyDescent="0.25">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x14ac:dyDescent="0.25">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25">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25">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x14ac:dyDescent="0.25">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x14ac:dyDescent="0.25">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x14ac:dyDescent="0.25">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25">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25">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25">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25">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25">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x14ac:dyDescent="0.25">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25">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25">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25">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25">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25">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x14ac:dyDescent="0.25">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25">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25">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25">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25">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x14ac:dyDescent="0.25">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x14ac:dyDescent="0.25">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25">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25">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25">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25">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25">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25">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25">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25">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25">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25">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25">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25">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x14ac:dyDescent="0.25">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x14ac:dyDescent="0.25">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x14ac:dyDescent="0.25">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x14ac:dyDescent="0.25">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x14ac:dyDescent="0.25">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x14ac:dyDescent="0.25">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x14ac:dyDescent="0.25">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x14ac:dyDescent="0.25">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x14ac:dyDescent="0.25">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x14ac:dyDescent="0.25">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x14ac:dyDescent="0.25">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x14ac:dyDescent="0.25">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x14ac:dyDescent="0.25">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x14ac:dyDescent="0.25">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x14ac:dyDescent="0.25">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25">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x14ac:dyDescent="0.25">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25">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x14ac:dyDescent="0.25">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x14ac:dyDescent="0.25">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25">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25">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x14ac:dyDescent="0.25">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25">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25">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25">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25">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25">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x14ac:dyDescent="0.25">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x14ac:dyDescent="0.25">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x14ac:dyDescent="0.25">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x14ac:dyDescent="0.25">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x14ac:dyDescent="0.25">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x14ac:dyDescent="0.25">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x14ac:dyDescent="0.25">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25">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x14ac:dyDescent="0.25">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25">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x14ac:dyDescent="0.25">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x14ac:dyDescent="0.25">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25">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x14ac:dyDescent="0.25">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x14ac:dyDescent="0.25">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25">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x14ac:dyDescent="0.25">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x14ac:dyDescent="0.25">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25">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x14ac:dyDescent="0.25">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25">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25">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x14ac:dyDescent="0.25">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x14ac:dyDescent="0.25">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x14ac:dyDescent="0.25">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x14ac:dyDescent="0.25">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x14ac:dyDescent="0.25">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x14ac:dyDescent="0.25">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25">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x14ac:dyDescent="0.25">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25">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x14ac:dyDescent="0.25">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25">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25">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x14ac:dyDescent="0.25">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x14ac:dyDescent="0.25">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25">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x14ac:dyDescent="0.25">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25">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25">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x14ac:dyDescent="0.25">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x14ac:dyDescent="0.25">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25">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x14ac:dyDescent="0.25">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25">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x14ac:dyDescent="0.25">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x14ac:dyDescent="0.25">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x14ac:dyDescent="0.25">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x14ac:dyDescent="0.25">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x14ac:dyDescent="0.25">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25">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x14ac:dyDescent="0.25">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x14ac:dyDescent="0.25">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x14ac:dyDescent="0.25">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25">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x14ac:dyDescent="0.25">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x14ac:dyDescent="0.25">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x14ac:dyDescent="0.25">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x14ac:dyDescent="0.25">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x14ac:dyDescent="0.25">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x14ac:dyDescent="0.25">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x14ac:dyDescent="0.25">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x14ac:dyDescent="0.25">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25">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25">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x14ac:dyDescent="0.25">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25">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x14ac:dyDescent="0.25">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25">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x14ac:dyDescent="0.25">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x14ac:dyDescent="0.25">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x14ac:dyDescent="0.25">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x14ac:dyDescent="0.25">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25">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x14ac:dyDescent="0.25">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x14ac:dyDescent="0.25">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25">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x14ac:dyDescent="0.25">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x14ac:dyDescent="0.25">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25">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x14ac:dyDescent="0.25">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25">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25">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x14ac:dyDescent="0.25">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x14ac:dyDescent="0.25">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25">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25">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25">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x14ac:dyDescent="0.25">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x14ac:dyDescent="0.25">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x14ac:dyDescent="0.25">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25">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25">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25">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25">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25">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x14ac:dyDescent="0.25">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25">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25">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25">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25">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25">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25">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25">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25">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25">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25">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25">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25">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25">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25">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25">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25">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25">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x14ac:dyDescent="0.25">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25">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25">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x14ac:dyDescent="0.25">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x14ac:dyDescent="0.25">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x14ac:dyDescent="0.25">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25">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x14ac:dyDescent="0.25">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25">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x14ac:dyDescent="0.25">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x14ac:dyDescent="0.25">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x14ac:dyDescent="0.25">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25">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x14ac:dyDescent="0.25">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x14ac:dyDescent="0.25">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x14ac:dyDescent="0.25">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x14ac:dyDescent="0.25">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25">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25">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x14ac:dyDescent="0.25">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25">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25">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25">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x14ac:dyDescent="0.25">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25">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25">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25">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25">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25">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25">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25">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25">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25">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25">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x14ac:dyDescent="0.25">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x14ac:dyDescent="0.25">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x14ac:dyDescent="0.25">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25">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x14ac:dyDescent="0.25">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25">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x14ac:dyDescent="0.25">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x14ac:dyDescent="0.25">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25">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25">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25">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25">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25">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25">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25">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25">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25">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25">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25">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25">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25">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25">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25">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25">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25">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25">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x14ac:dyDescent="0.25">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25">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x14ac:dyDescent="0.25">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25">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25">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25">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25">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25">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25">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25">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x14ac:dyDescent="0.25">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x14ac:dyDescent="0.25">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25">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25">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25">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x14ac:dyDescent="0.25">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x14ac:dyDescent="0.25">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x14ac:dyDescent="0.25">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25">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x14ac:dyDescent="0.25">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25">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x14ac:dyDescent="0.25">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x14ac:dyDescent="0.25">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x14ac:dyDescent="0.25">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25">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x14ac:dyDescent="0.25">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x14ac:dyDescent="0.25">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x14ac:dyDescent="0.25">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x14ac:dyDescent="0.25">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x14ac:dyDescent="0.25">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25">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x14ac:dyDescent="0.25">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x14ac:dyDescent="0.25">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25">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x14ac:dyDescent="0.25">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x14ac:dyDescent="0.25">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25">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25">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x14ac:dyDescent="0.25">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x14ac:dyDescent="0.25">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x14ac:dyDescent="0.25">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x14ac:dyDescent="0.25">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x14ac:dyDescent="0.25">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25">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x14ac:dyDescent="0.25">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25">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25">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x14ac:dyDescent="0.25">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25">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25">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x14ac:dyDescent="0.25">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25">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25">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x14ac:dyDescent="0.25">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25">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25">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25">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25">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x14ac:dyDescent="0.25">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x14ac:dyDescent="0.25">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x14ac:dyDescent="0.25">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25">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25">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25">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25">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25">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x14ac:dyDescent="0.25">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25">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25">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25">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25">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25">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x14ac:dyDescent="0.25">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25">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25">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25">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x14ac:dyDescent="0.25">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x14ac:dyDescent="0.25">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x14ac:dyDescent="0.25">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25">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25">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25">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25">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x14ac:dyDescent="0.25">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x14ac:dyDescent="0.25">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25">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x14ac:dyDescent="0.25">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x14ac:dyDescent="0.25">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25">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x14ac:dyDescent="0.25">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x14ac:dyDescent="0.25">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x14ac:dyDescent="0.25">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x14ac:dyDescent="0.25">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x14ac:dyDescent="0.25">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25">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x14ac:dyDescent="0.25">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x14ac:dyDescent="0.25">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x14ac:dyDescent="0.25">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x14ac:dyDescent="0.25">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x14ac:dyDescent="0.25">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x14ac:dyDescent="0.25">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25">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25">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x14ac:dyDescent="0.25">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x14ac:dyDescent="0.25">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x14ac:dyDescent="0.25">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x14ac:dyDescent="0.25">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25">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x14ac:dyDescent="0.25">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x14ac:dyDescent="0.25">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x14ac:dyDescent="0.25">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x14ac:dyDescent="0.25">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x14ac:dyDescent="0.25">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x14ac:dyDescent="0.25">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25">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x14ac:dyDescent="0.25">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25">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x14ac:dyDescent="0.25">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x14ac:dyDescent="0.25">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x14ac:dyDescent="0.25">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x14ac:dyDescent="0.25">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25">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x14ac:dyDescent="0.25">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25">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x14ac:dyDescent="0.25">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x14ac:dyDescent="0.25">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x14ac:dyDescent="0.25">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25">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x14ac:dyDescent="0.25">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25">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x14ac:dyDescent="0.25">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x14ac:dyDescent="0.25">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x14ac:dyDescent="0.25">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25">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25">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25">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x14ac:dyDescent="0.25">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x14ac:dyDescent="0.25">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x14ac:dyDescent="0.25">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x14ac:dyDescent="0.25">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x14ac:dyDescent="0.25">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25">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25">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25">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25">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x14ac:dyDescent="0.25">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x14ac:dyDescent="0.25">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25">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25">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25">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25">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x14ac:dyDescent="0.25">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25">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25">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25">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25">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25">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x14ac:dyDescent="0.25">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25">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25">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25">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x14ac:dyDescent="0.25">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x14ac:dyDescent="0.25">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25">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25">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x14ac:dyDescent="0.25">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25">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x14ac:dyDescent="0.25">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x14ac:dyDescent="0.25">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x14ac:dyDescent="0.25">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x14ac:dyDescent="0.25">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x14ac:dyDescent="0.25">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x14ac:dyDescent="0.25">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25">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25">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x14ac:dyDescent="0.25">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x14ac:dyDescent="0.25">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x14ac:dyDescent="0.25">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x14ac:dyDescent="0.25">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25">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x14ac:dyDescent="0.25">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x14ac:dyDescent="0.25">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x14ac:dyDescent="0.25">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x14ac:dyDescent="0.25">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x14ac:dyDescent="0.25">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x14ac:dyDescent="0.25">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25">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25">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25">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x14ac:dyDescent="0.25">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x14ac:dyDescent="0.25">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x14ac:dyDescent="0.25">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x14ac:dyDescent="0.25">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25">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x14ac:dyDescent="0.25">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25">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25">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25">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x14ac:dyDescent="0.25">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25">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x14ac:dyDescent="0.25">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25">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25">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x14ac:dyDescent="0.25">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25">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25">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x14ac:dyDescent="0.25">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25">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25">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25">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x14ac:dyDescent="0.25">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25">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25">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25">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25">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25">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25">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x14ac:dyDescent="0.25">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25">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25">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25">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25">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25">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x14ac:dyDescent="0.25">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25">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25">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25">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25">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x14ac:dyDescent="0.25">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x14ac:dyDescent="0.25">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25">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25">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25">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x14ac:dyDescent="0.25">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x14ac:dyDescent="0.25">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25">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25">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25">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25">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x14ac:dyDescent="0.25">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x14ac:dyDescent="0.25">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x14ac:dyDescent="0.25">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x14ac:dyDescent="0.25">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x14ac:dyDescent="0.25">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x14ac:dyDescent="0.25">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25">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x14ac:dyDescent="0.25">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x14ac:dyDescent="0.25">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x14ac:dyDescent="0.25">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x14ac:dyDescent="0.25">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x14ac:dyDescent="0.25">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25">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x14ac:dyDescent="0.25">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25">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x14ac:dyDescent="0.25">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x14ac:dyDescent="0.25">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x14ac:dyDescent="0.25">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x14ac:dyDescent="0.25">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25">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25">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x14ac:dyDescent="0.25">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x14ac:dyDescent="0.25">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x14ac:dyDescent="0.25">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x14ac:dyDescent="0.25">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x14ac:dyDescent="0.25">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x14ac:dyDescent="0.25">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x14ac:dyDescent="0.25">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x14ac:dyDescent="0.25">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25">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25">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x14ac:dyDescent="0.25">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25">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x14ac:dyDescent="0.25">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x14ac:dyDescent="0.25">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25">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x14ac:dyDescent="0.25">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x14ac:dyDescent="0.25">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25">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x14ac:dyDescent="0.25">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25">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25">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25">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25">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25">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25">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25">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25">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25">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x14ac:dyDescent="0.25">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x14ac:dyDescent="0.25">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25">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25">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25">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25">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25">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x14ac:dyDescent="0.25">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25">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25">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25">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25">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25">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x14ac:dyDescent="0.25">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x14ac:dyDescent="0.25">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x14ac:dyDescent="0.25">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25">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x14ac:dyDescent="0.25">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25">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x14ac:dyDescent="0.25">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x14ac:dyDescent="0.25">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x14ac:dyDescent="0.25">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25">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25">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25">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x14ac:dyDescent="0.25">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x14ac:dyDescent="0.25">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x14ac:dyDescent="0.25">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25">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x14ac:dyDescent="0.25">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25">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x14ac:dyDescent="0.25">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x14ac:dyDescent="0.25">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x14ac:dyDescent="0.25">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x14ac:dyDescent="0.25">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x14ac:dyDescent="0.25">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x14ac:dyDescent="0.25">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x14ac:dyDescent="0.25">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x14ac:dyDescent="0.25">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25">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x14ac:dyDescent="0.25">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x14ac:dyDescent="0.25">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x14ac:dyDescent="0.25">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25">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x14ac:dyDescent="0.25">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25">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25">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25">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x14ac:dyDescent="0.25">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x14ac:dyDescent="0.25">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x14ac:dyDescent="0.25">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25">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x14ac:dyDescent="0.25">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x14ac:dyDescent="0.25">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x14ac:dyDescent="0.25">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x14ac:dyDescent="0.25">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x14ac:dyDescent="0.25">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25">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x14ac:dyDescent="0.25">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x14ac:dyDescent="0.25">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x14ac:dyDescent="0.25">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x14ac:dyDescent="0.25">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x14ac:dyDescent="0.25">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25">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25">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25">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x14ac:dyDescent="0.25">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x14ac:dyDescent="0.25">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25">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x14ac:dyDescent="0.25">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x14ac:dyDescent="0.25">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x14ac:dyDescent="0.25">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25">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25">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x14ac:dyDescent="0.25">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x14ac:dyDescent="0.25">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x14ac:dyDescent="0.25">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x14ac:dyDescent="0.25">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x14ac:dyDescent="0.25">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x14ac:dyDescent="0.25">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x14ac:dyDescent="0.25">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25">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25">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x14ac:dyDescent="0.25">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x14ac:dyDescent="0.25">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25">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25">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25">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25">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x14ac:dyDescent="0.25">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x14ac:dyDescent="0.25">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25">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25">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25">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25">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x14ac:dyDescent="0.25">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x14ac:dyDescent="0.25">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x14ac:dyDescent="0.25">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x14ac:dyDescent="0.25">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x14ac:dyDescent="0.25">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25">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25">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25">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x14ac:dyDescent="0.25">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x14ac:dyDescent="0.25">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x14ac:dyDescent="0.25">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25">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25">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x14ac:dyDescent="0.25">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25">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x14ac:dyDescent="0.25">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x14ac:dyDescent="0.25">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25">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25">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25">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25">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25">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x14ac:dyDescent="0.25">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x14ac:dyDescent="0.25">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x14ac:dyDescent="0.25">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x14ac:dyDescent="0.25">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x14ac:dyDescent="0.25">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x14ac:dyDescent="0.25">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x14ac:dyDescent="0.25">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x14ac:dyDescent="0.25">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x14ac:dyDescent="0.25">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x14ac:dyDescent="0.25">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x14ac:dyDescent="0.25">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x14ac:dyDescent="0.25">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x14ac:dyDescent="0.25">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x14ac:dyDescent="0.25">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x14ac:dyDescent="0.25">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x14ac:dyDescent="0.25">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25">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x14ac:dyDescent="0.25">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25">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25">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25">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25">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25">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25">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25">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25">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25">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25">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25">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25">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25">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25">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25">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25">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x14ac:dyDescent="0.25">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25">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25">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25">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25">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25">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x14ac:dyDescent="0.25">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25">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25">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25">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x14ac:dyDescent="0.25">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25">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25">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25">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25">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25">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x14ac:dyDescent="0.25">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x14ac:dyDescent="0.25">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x14ac:dyDescent="0.25">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x14ac:dyDescent="0.25">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x14ac:dyDescent="0.25">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25">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25">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25">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x14ac:dyDescent="0.25">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x14ac:dyDescent="0.25">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x14ac:dyDescent="0.25">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25">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25">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x14ac:dyDescent="0.25">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25">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x14ac:dyDescent="0.25">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x14ac:dyDescent="0.25">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25">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x14ac:dyDescent="0.25">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25">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x14ac:dyDescent="0.25">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x14ac:dyDescent="0.25">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25">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x14ac:dyDescent="0.25">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x14ac:dyDescent="0.25">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25">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x14ac:dyDescent="0.25">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25">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x14ac:dyDescent="0.25">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x14ac:dyDescent="0.25">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x14ac:dyDescent="0.25">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x14ac:dyDescent="0.25">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x14ac:dyDescent="0.25">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x14ac:dyDescent="0.25">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25">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x14ac:dyDescent="0.25">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x14ac:dyDescent="0.25">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x14ac:dyDescent="0.25">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25">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x14ac:dyDescent="0.25">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25">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25">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25">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25">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25">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25">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25">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25">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25">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25">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25">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25">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25">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25">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25">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25">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x14ac:dyDescent="0.25">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25">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x14ac:dyDescent="0.25">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25">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25">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25">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x14ac:dyDescent="0.25">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25">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25">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25">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x14ac:dyDescent="0.25">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25">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25">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25">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25">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25">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x14ac:dyDescent="0.25">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25">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x14ac:dyDescent="0.25">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x14ac:dyDescent="0.25">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x14ac:dyDescent="0.25">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25">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25">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25">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x14ac:dyDescent="0.25">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x14ac:dyDescent="0.25">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x14ac:dyDescent="0.25">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25">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25">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x14ac:dyDescent="0.25">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25">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x14ac:dyDescent="0.25">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x14ac:dyDescent="0.25">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25">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25">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x14ac:dyDescent="0.25">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x14ac:dyDescent="0.25">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x14ac:dyDescent="0.25">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25">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x14ac:dyDescent="0.25">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x14ac:dyDescent="0.25">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25">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x14ac:dyDescent="0.25">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x14ac:dyDescent="0.25">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x14ac:dyDescent="0.25">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x14ac:dyDescent="0.25">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x14ac:dyDescent="0.25">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x14ac:dyDescent="0.25">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x14ac:dyDescent="0.25">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x14ac:dyDescent="0.25">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x14ac:dyDescent="0.25">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x14ac:dyDescent="0.25">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x14ac:dyDescent="0.25">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x14ac:dyDescent="0.25">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x14ac:dyDescent="0.25">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x14ac:dyDescent="0.25">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25">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25">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25">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25">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25">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25">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25">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25">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25">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25">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25">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25">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25">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25">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25">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25">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x14ac:dyDescent="0.25">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x14ac:dyDescent="0.25">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25">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25">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25">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x14ac:dyDescent="0.25">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x14ac:dyDescent="0.25">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25">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25">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25">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x14ac:dyDescent="0.25">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25">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25">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x14ac:dyDescent="0.25">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25">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25">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x14ac:dyDescent="0.25">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25">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x14ac:dyDescent="0.25">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x14ac:dyDescent="0.25">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x14ac:dyDescent="0.25">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25">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25">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25">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x14ac:dyDescent="0.25">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x14ac:dyDescent="0.25">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x14ac:dyDescent="0.25">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25">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25">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x14ac:dyDescent="0.25">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x14ac:dyDescent="0.25">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x14ac:dyDescent="0.25">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x14ac:dyDescent="0.25">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25">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25">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25">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25">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x14ac:dyDescent="0.25">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x14ac:dyDescent="0.25">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x14ac:dyDescent="0.25">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x14ac:dyDescent="0.25">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25">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x14ac:dyDescent="0.25">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25">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x14ac:dyDescent="0.25">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x14ac:dyDescent="0.25">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x14ac:dyDescent="0.25">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x14ac:dyDescent="0.25">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x14ac:dyDescent="0.25">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x14ac:dyDescent="0.25">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x14ac:dyDescent="0.25">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x14ac:dyDescent="0.25">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x14ac:dyDescent="0.25">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x14ac:dyDescent="0.25">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x14ac:dyDescent="0.25">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x14ac:dyDescent="0.25">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25">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25">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25">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25">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25">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25">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25">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25">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25">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25">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x14ac:dyDescent="0.25">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25">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25">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25">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25">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25">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x14ac:dyDescent="0.25">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x14ac:dyDescent="0.25">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25">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25">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25">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x14ac:dyDescent="0.25">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x14ac:dyDescent="0.25">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x14ac:dyDescent="0.25">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x14ac:dyDescent="0.25">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25">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x14ac:dyDescent="0.25">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25">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x14ac:dyDescent="0.25">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x14ac:dyDescent="0.25">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x14ac:dyDescent="0.25">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25">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25">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25">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x14ac:dyDescent="0.25">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x14ac:dyDescent="0.25">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x14ac:dyDescent="0.25">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25">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x14ac:dyDescent="0.25">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x14ac:dyDescent="0.25">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x14ac:dyDescent="0.25">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x14ac:dyDescent="0.25">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x14ac:dyDescent="0.25">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x14ac:dyDescent="0.25">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x14ac:dyDescent="0.25">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x14ac:dyDescent="0.25">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x14ac:dyDescent="0.25">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x14ac:dyDescent="0.25">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x14ac:dyDescent="0.25">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x14ac:dyDescent="0.25">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x14ac:dyDescent="0.25">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25">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x14ac:dyDescent="0.25">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x14ac:dyDescent="0.25">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25">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25">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25">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x14ac:dyDescent="0.25">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25">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x14ac:dyDescent="0.25">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25">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x14ac:dyDescent="0.25">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x14ac:dyDescent="0.25">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x14ac:dyDescent="0.25">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x14ac:dyDescent="0.25">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x14ac:dyDescent="0.25">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25">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x14ac:dyDescent="0.25">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x14ac:dyDescent="0.25">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x14ac:dyDescent="0.25">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25">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x14ac:dyDescent="0.25">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25">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25">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x14ac:dyDescent="0.25">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x14ac:dyDescent="0.25">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x14ac:dyDescent="0.25">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25">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x14ac:dyDescent="0.25">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x14ac:dyDescent="0.25">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x14ac:dyDescent="0.25">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25">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25">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25">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x14ac:dyDescent="0.25">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x14ac:dyDescent="0.25">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x14ac:dyDescent="0.25">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x14ac:dyDescent="0.25">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x14ac:dyDescent="0.25">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x14ac:dyDescent="0.25">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x14ac:dyDescent="0.25">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x14ac:dyDescent="0.25">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x14ac:dyDescent="0.25">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x14ac:dyDescent="0.25">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x14ac:dyDescent="0.25">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25">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x14ac:dyDescent="0.25">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25">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25">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25">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25">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25">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25">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25">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25">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25">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25">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25">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25">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25">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25">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x14ac:dyDescent="0.25">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25">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25">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x14ac:dyDescent="0.25">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25">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25">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x14ac:dyDescent="0.25">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x14ac:dyDescent="0.25">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x14ac:dyDescent="0.25">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x14ac:dyDescent="0.25">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x14ac:dyDescent="0.25">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x14ac:dyDescent="0.25">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25">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25">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x14ac:dyDescent="0.25">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25">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25">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25">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x14ac:dyDescent="0.25">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25">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x14ac:dyDescent="0.25">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25">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x14ac:dyDescent="0.25">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x14ac:dyDescent="0.25">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x14ac:dyDescent="0.25">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x14ac:dyDescent="0.25">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x14ac:dyDescent="0.25">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25">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x14ac:dyDescent="0.25">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x14ac:dyDescent="0.25">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x14ac:dyDescent="0.25">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25">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x14ac:dyDescent="0.25">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25">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25">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x14ac:dyDescent="0.25">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x14ac:dyDescent="0.25">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x14ac:dyDescent="0.25">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25">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x14ac:dyDescent="0.25">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x14ac:dyDescent="0.25">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x14ac:dyDescent="0.25">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25">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25">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25">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x14ac:dyDescent="0.25">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x14ac:dyDescent="0.25">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x14ac:dyDescent="0.25">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x14ac:dyDescent="0.25">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x14ac:dyDescent="0.25">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x14ac:dyDescent="0.25">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x14ac:dyDescent="0.25">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x14ac:dyDescent="0.25">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x14ac:dyDescent="0.25">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x14ac:dyDescent="0.25">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x14ac:dyDescent="0.25">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25">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x14ac:dyDescent="0.25">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25">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25">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x14ac:dyDescent="0.25">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25">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25">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x14ac:dyDescent="0.25">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25">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25">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x14ac:dyDescent="0.25">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25">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25">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25">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25">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25">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25">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25">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25">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25">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25">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25">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x14ac:dyDescent="0.25">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x14ac:dyDescent="0.25">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x14ac:dyDescent="0.25">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x14ac:dyDescent="0.25">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25">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x14ac:dyDescent="0.25">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25">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25">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x14ac:dyDescent="0.25">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25">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25">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25">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25">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25">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x14ac:dyDescent="0.25">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25">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x14ac:dyDescent="0.25">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x14ac:dyDescent="0.25">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x14ac:dyDescent="0.25">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x14ac:dyDescent="0.25">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x14ac:dyDescent="0.25">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25">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x14ac:dyDescent="0.25">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x14ac:dyDescent="0.25">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x14ac:dyDescent="0.25">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25">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25">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25">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25">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25">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x14ac:dyDescent="0.25">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x14ac:dyDescent="0.25">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25">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25">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x14ac:dyDescent="0.25">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x14ac:dyDescent="0.25">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x14ac:dyDescent="0.25">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25">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25">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25">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25">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25">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x14ac:dyDescent="0.25">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x14ac:dyDescent="0.25">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x14ac:dyDescent="0.25">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x14ac:dyDescent="0.25">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x14ac:dyDescent="0.25">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x14ac:dyDescent="0.25">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x14ac:dyDescent="0.25">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25">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25">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x14ac:dyDescent="0.25">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25">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25">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x14ac:dyDescent="0.25">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25">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25">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x14ac:dyDescent="0.25">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25">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25">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x14ac:dyDescent="0.25">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25">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25">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25">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25">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25">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25">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25">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25">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25">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25">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25">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x14ac:dyDescent="0.25">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x14ac:dyDescent="0.25">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x14ac:dyDescent="0.25">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x14ac:dyDescent="0.25">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25">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x14ac:dyDescent="0.25">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25">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25">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x14ac:dyDescent="0.25">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25">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25">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25">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25">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25">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25">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25">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x14ac:dyDescent="0.25">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x14ac:dyDescent="0.25">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x14ac:dyDescent="0.25">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x14ac:dyDescent="0.25">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x14ac:dyDescent="0.25">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25">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x14ac:dyDescent="0.25">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x14ac:dyDescent="0.25">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x14ac:dyDescent="0.25">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25">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25">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25">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25">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25">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25">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x14ac:dyDescent="0.25">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25">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25">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x14ac:dyDescent="0.25">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x14ac:dyDescent="0.25">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x14ac:dyDescent="0.25">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25">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25">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x14ac:dyDescent="0.25">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x14ac:dyDescent="0.25">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25">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x14ac:dyDescent="0.25">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x14ac:dyDescent="0.25">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x14ac:dyDescent="0.25">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x14ac:dyDescent="0.25">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x14ac:dyDescent="0.25">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x14ac:dyDescent="0.25">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x14ac:dyDescent="0.25">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25">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25">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x14ac:dyDescent="0.25">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x14ac:dyDescent="0.25">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x14ac:dyDescent="0.25">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25">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x14ac:dyDescent="0.25">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25">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25">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25">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25">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25">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25">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25">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25">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25">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25">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25">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25">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25">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25">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25">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25">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x14ac:dyDescent="0.25">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x14ac:dyDescent="0.25">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x14ac:dyDescent="0.25">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x14ac:dyDescent="0.25">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25">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25">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25">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x14ac:dyDescent="0.25">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x14ac:dyDescent="0.25">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25">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25">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25">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x14ac:dyDescent="0.25">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25">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25">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25">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x14ac:dyDescent="0.25">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x14ac:dyDescent="0.25">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x14ac:dyDescent="0.25">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25">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x14ac:dyDescent="0.25">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25">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x14ac:dyDescent="0.25">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x14ac:dyDescent="0.25">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x14ac:dyDescent="0.25">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25">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25">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25">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25">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25">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x14ac:dyDescent="0.25">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x14ac:dyDescent="0.25">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x14ac:dyDescent="0.25">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25">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x14ac:dyDescent="0.25">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x14ac:dyDescent="0.25">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25">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25">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x14ac:dyDescent="0.25">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x14ac:dyDescent="0.25">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25">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25">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x14ac:dyDescent="0.25">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25">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x14ac:dyDescent="0.25">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x14ac:dyDescent="0.25">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x14ac:dyDescent="0.25">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x14ac:dyDescent="0.25">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x14ac:dyDescent="0.25">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25">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25">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x14ac:dyDescent="0.25">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25">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25">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x14ac:dyDescent="0.25">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x14ac:dyDescent="0.25">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25">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x14ac:dyDescent="0.25">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25">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25">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25">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25">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25">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25">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x14ac:dyDescent="0.25">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25">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x14ac:dyDescent="0.25">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25">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25">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25">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x14ac:dyDescent="0.25">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25">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x14ac:dyDescent="0.25">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x14ac:dyDescent="0.25">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x14ac:dyDescent="0.25">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x14ac:dyDescent="0.25">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25">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25">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x14ac:dyDescent="0.25">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x14ac:dyDescent="0.25">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x14ac:dyDescent="0.25">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25">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x14ac:dyDescent="0.25">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25">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x14ac:dyDescent="0.25">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25">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25">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25">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x14ac:dyDescent="0.25">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x14ac:dyDescent="0.25">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25">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25">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x14ac:dyDescent="0.25">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25">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x14ac:dyDescent="0.25">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x14ac:dyDescent="0.25">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x14ac:dyDescent="0.25">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x14ac:dyDescent="0.25">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25">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25">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25">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25">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25">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x14ac:dyDescent="0.25">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x14ac:dyDescent="0.25">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25">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25">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25">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x14ac:dyDescent="0.25">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25">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x14ac:dyDescent="0.25">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25">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x14ac:dyDescent="0.25">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x14ac:dyDescent="0.25">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x14ac:dyDescent="0.25">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x14ac:dyDescent="0.25">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x14ac:dyDescent="0.25">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x14ac:dyDescent="0.25">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x14ac:dyDescent="0.25">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25">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x14ac:dyDescent="0.25">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x14ac:dyDescent="0.25">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25">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25">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25">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x14ac:dyDescent="0.25">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x14ac:dyDescent="0.25">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25">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25">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25">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25">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x14ac:dyDescent="0.25">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x14ac:dyDescent="0.25">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25">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25">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x14ac:dyDescent="0.25">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25">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x14ac:dyDescent="0.25">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x14ac:dyDescent="0.25">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25">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25">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25">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25">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x14ac:dyDescent="0.25">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x14ac:dyDescent="0.25">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25">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25">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x14ac:dyDescent="0.25">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x14ac:dyDescent="0.25">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x14ac:dyDescent="0.25">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25">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25">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25">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x14ac:dyDescent="0.25">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x14ac:dyDescent="0.25">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x14ac:dyDescent="0.25">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25">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25">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25">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x14ac:dyDescent="0.25">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x14ac:dyDescent="0.25">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x14ac:dyDescent="0.25">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25">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25">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25">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x14ac:dyDescent="0.25">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x14ac:dyDescent="0.25">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x14ac:dyDescent="0.25">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25">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25">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25">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x14ac:dyDescent="0.25">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x14ac:dyDescent="0.25">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x14ac:dyDescent="0.25">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25">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25">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25">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x14ac:dyDescent="0.25">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x14ac:dyDescent="0.25">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x14ac:dyDescent="0.25">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x14ac:dyDescent="0.25">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25">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x14ac:dyDescent="0.25">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x14ac:dyDescent="0.25">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x14ac:dyDescent="0.25">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x14ac:dyDescent="0.25">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x14ac:dyDescent="0.25">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25">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x14ac:dyDescent="0.25">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x14ac:dyDescent="0.25">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x14ac:dyDescent="0.25">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x14ac:dyDescent="0.25">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x14ac:dyDescent="0.25">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25">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x14ac:dyDescent="0.25">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x14ac:dyDescent="0.25">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25">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25">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x14ac:dyDescent="0.25">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x14ac:dyDescent="0.25">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x14ac:dyDescent="0.25">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x14ac:dyDescent="0.25">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25">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x14ac:dyDescent="0.25">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x14ac:dyDescent="0.25">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x14ac:dyDescent="0.25">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x14ac:dyDescent="0.25">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x14ac:dyDescent="0.25">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25">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x14ac:dyDescent="0.25">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x14ac:dyDescent="0.25">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x14ac:dyDescent="0.25">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x14ac:dyDescent="0.25">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x14ac:dyDescent="0.25">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25">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x14ac:dyDescent="0.25">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x14ac:dyDescent="0.25">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x14ac:dyDescent="0.25">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25">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x14ac:dyDescent="0.25">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x14ac:dyDescent="0.25">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x14ac:dyDescent="0.25">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25">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x14ac:dyDescent="0.25">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25">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x14ac:dyDescent="0.25">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x14ac:dyDescent="0.25">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x14ac:dyDescent="0.25">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25">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x14ac:dyDescent="0.25">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25">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x14ac:dyDescent="0.25">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x14ac:dyDescent="0.25">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x14ac:dyDescent="0.25">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25">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x14ac:dyDescent="0.25">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25">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x14ac:dyDescent="0.25">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x14ac:dyDescent="0.25">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x14ac:dyDescent="0.25">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25">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x14ac:dyDescent="0.25">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25">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x14ac:dyDescent="0.25">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x14ac:dyDescent="0.25">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x14ac:dyDescent="0.25">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25">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x14ac:dyDescent="0.25">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x14ac:dyDescent="0.25">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x14ac:dyDescent="0.25">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x14ac:dyDescent="0.25">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25">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x14ac:dyDescent="0.25">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x14ac:dyDescent="0.25">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x14ac:dyDescent="0.25">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25">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25">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25">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x14ac:dyDescent="0.25">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x14ac:dyDescent="0.25">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x14ac:dyDescent="0.25">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x14ac:dyDescent="0.25">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x14ac:dyDescent="0.25">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25">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x14ac:dyDescent="0.25">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x14ac:dyDescent="0.25">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25">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25">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25">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x14ac:dyDescent="0.25">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x14ac:dyDescent="0.25">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25">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25">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25">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25">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x14ac:dyDescent="0.25">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x14ac:dyDescent="0.25">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25">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25">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25">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25">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x14ac:dyDescent="0.25">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x14ac:dyDescent="0.25">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25">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25">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25">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25">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x14ac:dyDescent="0.25">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x14ac:dyDescent="0.25">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25">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25">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x14ac:dyDescent="0.25">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x14ac:dyDescent="0.25">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x14ac:dyDescent="0.25">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25">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x14ac:dyDescent="0.25">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25">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x14ac:dyDescent="0.25">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x14ac:dyDescent="0.25">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x14ac:dyDescent="0.25">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25">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25">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25">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x14ac:dyDescent="0.25">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x14ac:dyDescent="0.25">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x14ac:dyDescent="0.25">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25">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25">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25">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x14ac:dyDescent="0.25">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x14ac:dyDescent="0.25">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x14ac:dyDescent="0.25">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25">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x14ac:dyDescent="0.25">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25">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x14ac:dyDescent="0.25">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x14ac:dyDescent="0.25">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x14ac:dyDescent="0.25">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25">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25">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25">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x14ac:dyDescent="0.25">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x14ac:dyDescent="0.25">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x14ac:dyDescent="0.25">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x14ac:dyDescent="0.25">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x14ac:dyDescent="0.25">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x14ac:dyDescent="0.25">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x14ac:dyDescent="0.25">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x14ac:dyDescent="0.25">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x14ac:dyDescent="0.25">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x14ac:dyDescent="0.25">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25">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x14ac:dyDescent="0.25">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x14ac:dyDescent="0.25">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x14ac:dyDescent="0.25">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x14ac:dyDescent="0.25">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x14ac:dyDescent="0.25">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25">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x14ac:dyDescent="0.25">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x14ac:dyDescent="0.25">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x14ac:dyDescent="0.25">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x14ac:dyDescent="0.25">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x14ac:dyDescent="0.25">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x14ac:dyDescent="0.25">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x14ac:dyDescent="0.25">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x14ac:dyDescent="0.25">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25">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x14ac:dyDescent="0.25">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x14ac:dyDescent="0.25">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x14ac:dyDescent="0.25">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x14ac:dyDescent="0.25">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x14ac:dyDescent="0.25">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25">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x14ac:dyDescent="0.25">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x14ac:dyDescent="0.25">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x14ac:dyDescent="0.25">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x14ac:dyDescent="0.25">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x14ac:dyDescent="0.25">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25">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x14ac:dyDescent="0.25">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x14ac:dyDescent="0.25">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x14ac:dyDescent="0.25">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25">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x14ac:dyDescent="0.25">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x14ac:dyDescent="0.25">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x14ac:dyDescent="0.25">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25">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x14ac:dyDescent="0.25">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x14ac:dyDescent="0.25">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x14ac:dyDescent="0.25">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x14ac:dyDescent="0.25">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x14ac:dyDescent="0.25">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25">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x14ac:dyDescent="0.25">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x14ac:dyDescent="0.25">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x14ac:dyDescent="0.25">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x14ac:dyDescent="0.25">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x14ac:dyDescent="0.25">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25">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x14ac:dyDescent="0.25">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x14ac:dyDescent="0.25">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x14ac:dyDescent="0.25">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x14ac:dyDescent="0.25">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x14ac:dyDescent="0.25">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25">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x14ac:dyDescent="0.25">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25">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x14ac:dyDescent="0.25">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x14ac:dyDescent="0.25">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x14ac:dyDescent="0.25">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25">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x14ac:dyDescent="0.25">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x14ac:dyDescent="0.25">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25">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x14ac:dyDescent="0.25">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25">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x14ac:dyDescent="0.25">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x14ac:dyDescent="0.25">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x14ac:dyDescent="0.25">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25">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25">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25">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x14ac:dyDescent="0.25">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x14ac:dyDescent="0.25">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x14ac:dyDescent="0.25">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x14ac:dyDescent="0.25">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x14ac:dyDescent="0.25">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25">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x14ac:dyDescent="0.25">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x14ac:dyDescent="0.25">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25">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25">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25">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x14ac:dyDescent="0.25">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x14ac:dyDescent="0.25">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25">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25">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25">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25">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x14ac:dyDescent="0.25">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x14ac:dyDescent="0.25">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25">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25">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x14ac:dyDescent="0.25">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25">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x14ac:dyDescent="0.25">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x14ac:dyDescent="0.25">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25">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25">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25">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25">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x14ac:dyDescent="0.25">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x14ac:dyDescent="0.25">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25">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25">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x14ac:dyDescent="0.25">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x14ac:dyDescent="0.25">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x14ac:dyDescent="0.25">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25">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x14ac:dyDescent="0.25">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25">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x14ac:dyDescent="0.25">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x14ac:dyDescent="0.25">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x14ac:dyDescent="0.25">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25">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x14ac:dyDescent="0.25">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25">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x14ac:dyDescent="0.25">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x14ac:dyDescent="0.25">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x14ac:dyDescent="0.25">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25">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25">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25">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x14ac:dyDescent="0.25">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x14ac:dyDescent="0.25">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x14ac:dyDescent="0.25">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25">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x14ac:dyDescent="0.25">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25">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x14ac:dyDescent="0.25">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x14ac:dyDescent="0.25">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x14ac:dyDescent="0.25">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25">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25">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25">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x14ac:dyDescent="0.25">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x14ac:dyDescent="0.25">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x14ac:dyDescent="0.25">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x14ac:dyDescent="0.25">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25">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x14ac:dyDescent="0.25">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x14ac:dyDescent="0.25">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x14ac:dyDescent="0.25">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x14ac:dyDescent="0.25">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x14ac:dyDescent="0.25">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x14ac:dyDescent="0.25">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x14ac:dyDescent="0.25">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x14ac:dyDescent="0.25">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x14ac:dyDescent="0.25">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x14ac:dyDescent="0.25">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x14ac:dyDescent="0.25">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25">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x14ac:dyDescent="0.25">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x14ac:dyDescent="0.25">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25">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x14ac:dyDescent="0.25">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x14ac:dyDescent="0.25">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x14ac:dyDescent="0.25">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x14ac:dyDescent="0.25">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x14ac:dyDescent="0.25">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25">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x14ac:dyDescent="0.25">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x14ac:dyDescent="0.25">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x14ac:dyDescent="0.25">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x14ac:dyDescent="0.25">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x14ac:dyDescent="0.25">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25">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x14ac:dyDescent="0.25">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x14ac:dyDescent="0.25">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x14ac:dyDescent="0.25">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x14ac:dyDescent="0.25">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x14ac:dyDescent="0.25">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25">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x14ac:dyDescent="0.25">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x14ac:dyDescent="0.25">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x14ac:dyDescent="0.25">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25">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x14ac:dyDescent="0.25">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x14ac:dyDescent="0.25">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x14ac:dyDescent="0.25">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25">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x14ac:dyDescent="0.25">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25">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x14ac:dyDescent="0.25">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x14ac:dyDescent="0.25">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x14ac:dyDescent="0.25">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25">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x14ac:dyDescent="0.25">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25">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x14ac:dyDescent="0.25">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x14ac:dyDescent="0.25">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x14ac:dyDescent="0.25">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25">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x14ac:dyDescent="0.25">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25">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x14ac:dyDescent="0.25">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x14ac:dyDescent="0.25">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x14ac:dyDescent="0.25">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25">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x14ac:dyDescent="0.25">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25">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x14ac:dyDescent="0.25">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x14ac:dyDescent="0.25">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x14ac:dyDescent="0.25">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25">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x14ac:dyDescent="0.25">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x14ac:dyDescent="0.25">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x14ac:dyDescent="0.25">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x14ac:dyDescent="0.25">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x14ac:dyDescent="0.25">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x14ac:dyDescent="0.25">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x14ac:dyDescent="0.25">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x14ac:dyDescent="0.25">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25">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25">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25">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x14ac:dyDescent="0.25">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x14ac:dyDescent="0.25">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x14ac:dyDescent="0.25">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x14ac:dyDescent="0.25">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25">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25">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x14ac:dyDescent="0.25">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x14ac:dyDescent="0.25">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x14ac:dyDescent="0.25">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x14ac:dyDescent="0.25">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x14ac:dyDescent="0.25">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25">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x14ac:dyDescent="0.25">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x14ac:dyDescent="0.25">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x14ac:dyDescent="0.25">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x14ac:dyDescent="0.25">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25">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x14ac:dyDescent="0.25">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x14ac:dyDescent="0.25">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x14ac:dyDescent="0.25">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x14ac:dyDescent="0.25">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x14ac:dyDescent="0.25">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25">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25">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25">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25">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x14ac:dyDescent="0.25">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x14ac:dyDescent="0.25">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25">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x14ac:dyDescent="0.25">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25">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x14ac:dyDescent="0.25">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x14ac:dyDescent="0.25">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25">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x14ac:dyDescent="0.25">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x14ac:dyDescent="0.25">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x14ac:dyDescent="0.25">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x14ac:dyDescent="0.25">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x14ac:dyDescent="0.25">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x14ac:dyDescent="0.25">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x14ac:dyDescent="0.25">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x14ac:dyDescent="0.25">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x14ac:dyDescent="0.25">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x14ac:dyDescent="0.25">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x14ac:dyDescent="0.25">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x14ac:dyDescent="0.25">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x14ac:dyDescent="0.25">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x14ac:dyDescent="0.25">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x14ac:dyDescent="0.25">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x14ac:dyDescent="0.25">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x14ac:dyDescent="0.25">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x14ac:dyDescent="0.25">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x14ac:dyDescent="0.25">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x14ac:dyDescent="0.25">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x14ac:dyDescent="0.25">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x14ac:dyDescent="0.25">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x14ac:dyDescent="0.25">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25">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x14ac:dyDescent="0.25">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x14ac:dyDescent="0.25">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x14ac:dyDescent="0.25">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x14ac:dyDescent="0.25">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x14ac:dyDescent="0.25">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25">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25">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25">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25">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x14ac:dyDescent="0.25">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25">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25">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x14ac:dyDescent="0.25">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x14ac:dyDescent="0.25">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25">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x14ac:dyDescent="0.25">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x14ac:dyDescent="0.25">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25">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25">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x14ac:dyDescent="0.25">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x14ac:dyDescent="0.25">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x14ac:dyDescent="0.25">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x14ac:dyDescent="0.25">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x14ac:dyDescent="0.25">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x14ac:dyDescent="0.25">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25">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25">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x14ac:dyDescent="0.25">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x14ac:dyDescent="0.25">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x14ac:dyDescent="0.25">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x14ac:dyDescent="0.25">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25">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25">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x14ac:dyDescent="0.25">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x14ac:dyDescent="0.25">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x14ac:dyDescent="0.25">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x14ac:dyDescent="0.25">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25">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25">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x14ac:dyDescent="0.25">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x14ac:dyDescent="0.25">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x14ac:dyDescent="0.25">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x14ac:dyDescent="0.25">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25">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25">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x14ac:dyDescent="0.25">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x14ac:dyDescent="0.25">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25">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x14ac:dyDescent="0.25">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25">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x14ac:dyDescent="0.25">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25">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x14ac:dyDescent="0.25">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25">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x14ac:dyDescent="0.25">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x14ac:dyDescent="0.25">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x14ac:dyDescent="0.25">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25">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x14ac:dyDescent="0.25">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25">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x14ac:dyDescent="0.25">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x14ac:dyDescent="0.25">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x14ac:dyDescent="0.25">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25">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x14ac:dyDescent="0.25">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25">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x14ac:dyDescent="0.25">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25">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x14ac:dyDescent="0.25">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25">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x14ac:dyDescent="0.25">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25">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x14ac:dyDescent="0.25">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x14ac:dyDescent="0.25">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x14ac:dyDescent="0.25">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x14ac:dyDescent="0.25">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25">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25">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25">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25">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25">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x14ac:dyDescent="0.25">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25">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25">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25">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25">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25">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x14ac:dyDescent="0.25">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25">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25">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25">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25">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25">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x14ac:dyDescent="0.25">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25">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25">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25">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25">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25">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25">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25">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25">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25">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25">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25">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25">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25">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25">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25">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25">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25">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25">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25">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25">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25">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25">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25">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25">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25">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25">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25">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25">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25">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25">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25">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25">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25">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25">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25">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25">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25">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25">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25">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25">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25">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25">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25">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25">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25">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25">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25">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25">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25">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25">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25">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25">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25">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25">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25">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25">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25">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25">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25">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25">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25">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25">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25">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25">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25">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25">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25">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25">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25">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25">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25">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4301-3E1D-481A-AFC2-14C2609CA4BA}">
  <dimension ref="A3:E78"/>
  <sheetViews>
    <sheetView workbookViewId="0">
      <selection activeCell="B29" sqref="B29"/>
    </sheetView>
  </sheetViews>
  <sheetFormatPr defaultRowHeight="15" x14ac:dyDescent="0.25"/>
  <cols>
    <col min="1" max="1" width="15.28515625" bestFit="1" customWidth="1"/>
    <col min="2" max="2" width="16.7109375" bestFit="1" customWidth="1"/>
    <col min="3" max="3" width="22.28515625" bestFit="1" customWidth="1"/>
    <col min="4" max="4" width="27.140625" bestFit="1" customWidth="1"/>
    <col min="5" max="5" width="13.28515625" bestFit="1" customWidth="1"/>
  </cols>
  <sheetData>
    <row r="3" spans="1:4" x14ac:dyDescent="0.25">
      <c r="A3" t="s">
        <v>133</v>
      </c>
      <c r="B3" t="s">
        <v>134</v>
      </c>
      <c r="C3" t="s">
        <v>135</v>
      </c>
      <c r="D3" t="s">
        <v>136</v>
      </c>
    </row>
    <row r="4" spans="1:4" x14ac:dyDescent="0.25">
      <c r="A4" s="18">
        <v>8684027.5</v>
      </c>
      <c r="B4" s="19">
        <v>17148250</v>
      </c>
      <c r="C4" s="18">
        <v>3173631.875</v>
      </c>
      <c r="D4" s="20">
        <v>0.36310442386830921</v>
      </c>
    </row>
    <row r="9" spans="1:4" x14ac:dyDescent="0.25">
      <c r="A9" s="27" t="s">
        <v>137</v>
      </c>
      <c r="B9" t="s">
        <v>133</v>
      </c>
    </row>
    <row r="10" spans="1:4" x14ac:dyDescent="0.25">
      <c r="A10" s="28" t="s">
        <v>139</v>
      </c>
      <c r="B10" s="18">
        <v>510750</v>
      </c>
    </row>
    <row r="11" spans="1:4" x14ac:dyDescent="0.25">
      <c r="A11" s="28" t="s">
        <v>140</v>
      </c>
      <c r="B11" s="18">
        <v>484975</v>
      </c>
    </row>
    <row r="12" spans="1:4" x14ac:dyDescent="0.25">
      <c r="A12" s="28" t="s">
        <v>141</v>
      </c>
      <c r="B12" s="18">
        <v>483530</v>
      </c>
    </row>
    <row r="13" spans="1:4" x14ac:dyDescent="0.25">
      <c r="A13" s="28" t="s">
        <v>142</v>
      </c>
      <c r="B13" s="18">
        <v>494887.5</v>
      </c>
    </row>
    <row r="14" spans="1:4" x14ac:dyDescent="0.25">
      <c r="A14" s="28" t="s">
        <v>143</v>
      </c>
      <c r="B14" s="18">
        <v>673572.5</v>
      </c>
    </row>
    <row r="15" spans="1:4" x14ac:dyDescent="0.25">
      <c r="A15" s="28" t="s">
        <v>144</v>
      </c>
      <c r="B15" s="18">
        <v>903837.5</v>
      </c>
    </row>
    <row r="16" spans="1:4" x14ac:dyDescent="0.25">
      <c r="A16" s="28" t="s">
        <v>145</v>
      </c>
      <c r="B16" s="18">
        <v>1041437.5</v>
      </c>
    </row>
    <row r="17" spans="1:5" x14ac:dyDescent="0.25">
      <c r="A17" s="28" t="s">
        <v>146</v>
      </c>
      <c r="B17" s="18">
        <v>945275</v>
      </c>
    </row>
    <row r="18" spans="1:5" x14ac:dyDescent="0.25">
      <c r="A18" s="28" t="s">
        <v>147</v>
      </c>
      <c r="B18" s="18">
        <v>681000</v>
      </c>
    </row>
    <row r="19" spans="1:5" x14ac:dyDescent="0.25">
      <c r="A19" s="28" t="s">
        <v>148</v>
      </c>
      <c r="B19" s="18">
        <v>623375</v>
      </c>
    </row>
    <row r="20" spans="1:5" x14ac:dyDescent="0.25">
      <c r="A20" s="28" t="s">
        <v>149</v>
      </c>
      <c r="B20" s="18">
        <v>795612.5</v>
      </c>
    </row>
    <row r="21" spans="1:5" x14ac:dyDescent="0.25">
      <c r="A21" s="28" t="s">
        <v>150</v>
      </c>
      <c r="B21" s="18">
        <v>1045775</v>
      </c>
    </row>
    <row r="22" spans="1:5" x14ac:dyDescent="0.25">
      <c r="A22" s="28" t="s">
        <v>138</v>
      </c>
      <c r="B22" s="18">
        <v>8684027.5</v>
      </c>
    </row>
    <row r="27" spans="1:5" x14ac:dyDescent="0.25">
      <c r="A27" s="27" t="s">
        <v>137</v>
      </c>
      <c r="B27" t="s">
        <v>134</v>
      </c>
      <c r="D27" s="30" t="s">
        <v>6</v>
      </c>
      <c r="E27" s="30" t="s">
        <v>154</v>
      </c>
    </row>
    <row r="28" spans="1:5" x14ac:dyDescent="0.25">
      <c r="A28" s="28" t="s">
        <v>57</v>
      </c>
      <c r="B28" s="19">
        <v>408500</v>
      </c>
      <c r="D28" t="str">
        <f>A28</f>
        <v>Alabama</v>
      </c>
      <c r="E28" s="29">
        <f>B28</f>
        <v>408500</v>
      </c>
    </row>
    <row r="29" spans="1:5" x14ac:dyDescent="0.25">
      <c r="A29" s="28" t="s">
        <v>61</v>
      </c>
      <c r="B29" s="19">
        <v>312250</v>
      </c>
      <c r="D29" t="str">
        <f t="shared" ref="D29:D77" si="0">A29</f>
        <v>Alaska</v>
      </c>
      <c r="E29" s="29">
        <f t="shared" ref="E29:E77" si="1">B29</f>
        <v>312250</v>
      </c>
    </row>
    <row r="30" spans="1:5" x14ac:dyDescent="0.25">
      <c r="A30" s="28" t="s">
        <v>82</v>
      </c>
      <c r="B30" s="19">
        <v>331500</v>
      </c>
      <c r="D30" t="str">
        <f t="shared" si="0"/>
        <v>Arizona</v>
      </c>
      <c r="E30" s="29">
        <f t="shared" si="1"/>
        <v>331500</v>
      </c>
    </row>
    <row r="31" spans="1:5" x14ac:dyDescent="0.25">
      <c r="A31" s="28" t="s">
        <v>98</v>
      </c>
      <c r="B31" s="19">
        <v>255350</v>
      </c>
      <c r="D31" t="str">
        <f t="shared" si="0"/>
        <v>Arkansas</v>
      </c>
      <c r="E31" s="29">
        <f t="shared" si="1"/>
        <v>255350</v>
      </c>
    </row>
    <row r="32" spans="1:5" x14ac:dyDescent="0.25">
      <c r="A32" s="28" t="s">
        <v>29</v>
      </c>
      <c r="B32" s="19">
        <v>1037250</v>
      </c>
      <c r="D32" t="str">
        <f t="shared" si="0"/>
        <v>California</v>
      </c>
      <c r="E32" s="29">
        <f t="shared" si="1"/>
        <v>1037250</v>
      </c>
    </row>
    <row r="33" spans="1:5" x14ac:dyDescent="0.25">
      <c r="A33" s="28" t="s">
        <v>42</v>
      </c>
      <c r="B33" s="19">
        <v>324250</v>
      </c>
      <c r="D33" t="str">
        <f t="shared" si="0"/>
        <v>Colorado</v>
      </c>
      <c r="E33" s="29">
        <f t="shared" si="1"/>
        <v>324250</v>
      </c>
    </row>
    <row r="34" spans="1:5" x14ac:dyDescent="0.25">
      <c r="A34" s="28" t="s">
        <v>121</v>
      </c>
      <c r="B34" s="19">
        <v>169600</v>
      </c>
      <c r="D34" t="str">
        <f t="shared" si="0"/>
        <v>Connecticut</v>
      </c>
      <c r="E34" s="29">
        <f t="shared" si="1"/>
        <v>169600</v>
      </c>
    </row>
    <row r="35" spans="1:5" x14ac:dyDescent="0.25">
      <c r="A35" s="28" t="s">
        <v>117</v>
      </c>
      <c r="B35" s="19">
        <v>205600</v>
      </c>
      <c r="D35" t="str">
        <f t="shared" si="0"/>
        <v>Delaware</v>
      </c>
      <c r="E35" s="29">
        <f t="shared" si="1"/>
        <v>205600</v>
      </c>
    </row>
    <row r="36" spans="1:5" x14ac:dyDescent="0.25">
      <c r="A36" s="28" t="s">
        <v>47</v>
      </c>
      <c r="B36" s="19">
        <v>1051700</v>
      </c>
      <c r="D36" t="str">
        <f t="shared" si="0"/>
        <v>Florida</v>
      </c>
      <c r="E36" s="29">
        <f t="shared" si="1"/>
        <v>1051700</v>
      </c>
    </row>
    <row r="37" spans="1:5" x14ac:dyDescent="0.25">
      <c r="A37" s="28" t="s">
        <v>86</v>
      </c>
      <c r="B37" s="19">
        <v>579350</v>
      </c>
      <c r="D37" t="str">
        <f t="shared" si="0"/>
        <v>Georgia</v>
      </c>
      <c r="E37" s="29">
        <f t="shared" si="1"/>
        <v>579350</v>
      </c>
    </row>
    <row r="38" spans="1:5" x14ac:dyDescent="0.25">
      <c r="A38" s="28" t="s">
        <v>63</v>
      </c>
      <c r="B38" s="19">
        <v>353500</v>
      </c>
      <c r="D38" t="str">
        <f t="shared" si="0"/>
        <v>Hawaii</v>
      </c>
      <c r="E38" s="29">
        <f t="shared" si="1"/>
        <v>353500</v>
      </c>
    </row>
    <row r="39" spans="1:5" x14ac:dyDescent="0.25">
      <c r="A39" s="28" t="s">
        <v>80</v>
      </c>
      <c r="B39" s="19">
        <v>288250</v>
      </c>
      <c r="D39" t="str">
        <f t="shared" si="0"/>
        <v>Idaho</v>
      </c>
      <c r="E39" s="29">
        <f t="shared" si="1"/>
        <v>288250</v>
      </c>
    </row>
    <row r="40" spans="1:5" x14ac:dyDescent="0.25">
      <c r="A40" s="28" t="s">
        <v>34</v>
      </c>
      <c r="B40" s="19">
        <v>185600</v>
      </c>
      <c r="D40" t="str">
        <f t="shared" si="0"/>
        <v>Illinois</v>
      </c>
      <c r="E40" s="29">
        <f t="shared" si="1"/>
        <v>185600</v>
      </c>
    </row>
    <row r="41" spans="1:5" x14ac:dyDescent="0.25">
      <c r="A41" s="28" t="s">
        <v>112</v>
      </c>
      <c r="B41" s="19">
        <v>241600</v>
      </c>
      <c r="D41" t="str">
        <f t="shared" si="0"/>
        <v>Indiana</v>
      </c>
      <c r="E41" s="29">
        <f t="shared" si="1"/>
        <v>241600</v>
      </c>
    </row>
    <row r="42" spans="1:5" x14ac:dyDescent="0.25">
      <c r="A42" s="28" t="s">
        <v>108</v>
      </c>
      <c r="B42" s="19">
        <v>183100</v>
      </c>
      <c r="D42" t="str">
        <f t="shared" si="0"/>
        <v>Iowa</v>
      </c>
      <c r="E42" s="29">
        <f t="shared" si="1"/>
        <v>183100</v>
      </c>
    </row>
    <row r="43" spans="1:5" x14ac:dyDescent="0.25">
      <c r="A43" s="28" t="s">
        <v>102</v>
      </c>
      <c r="B43" s="19">
        <v>180600</v>
      </c>
      <c r="D43" t="str">
        <f t="shared" si="0"/>
        <v>Kansas</v>
      </c>
      <c r="E43" s="29">
        <f t="shared" si="1"/>
        <v>180600</v>
      </c>
    </row>
    <row r="44" spans="1:5" x14ac:dyDescent="0.25">
      <c r="A44" s="28" t="s">
        <v>94</v>
      </c>
      <c r="B44" s="19">
        <v>363350</v>
      </c>
      <c r="D44" t="str">
        <f t="shared" si="0"/>
        <v>Kentucky</v>
      </c>
      <c r="E44" s="29">
        <f t="shared" si="1"/>
        <v>363350</v>
      </c>
    </row>
    <row r="45" spans="1:5" x14ac:dyDescent="0.25">
      <c r="A45" s="28" t="s">
        <v>78</v>
      </c>
      <c r="B45" s="19">
        <v>412250</v>
      </c>
      <c r="D45" t="str">
        <f t="shared" si="0"/>
        <v>Louisiana</v>
      </c>
      <c r="E45" s="29">
        <f t="shared" si="1"/>
        <v>412250</v>
      </c>
    </row>
    <row r="46" spans="1:5" x14ac:dyDescent="0.25">
      <c r="A46" s="28" t="s">
        <v>59</v>
      </c>
      <c r="B46" s="19">
        <v>172600</v>
      </c>
      <c r="D46" t="str">
        <f t="shared" si="0"/>
        <v>Maine</v>
      </c>
      <c r="E46" s="29">
        <f t="shared" si="1"/>
        <v>172600</v>
      </c>
    </row>
    <row r="47" spans="1:5" x14ac:dyDescent="0.25">
      <c r="A47" s="28" t="s">
        <v>115</v>
      </c>
      <c r="B47" s="19">
        <v>241600</v>
      </c>
      <c r="D47" t="str">
        <f t="shared" si="0"/>
        <v>Maryland</v>
      </c>
      <c r="E47" s="29">
        <f t="shared" si="1"/>
        <v>241600</v>
      </c>
    </row>
    <row r="48" spans="1:5" x14ac:dyDescent="0.25">
      <c r="A48" s="28" t="s">
        <v>125</v>
      </c>
      <c r="B48" s="19">
        <v>241600</v>
      </c>
      <c r="D48" t="str">
        <f t="shared" si="0"/>
        <v>Massachusetts</v>
      </c>
      <c r="E48" s="29">
        <f t="shared" si="1"/>
        <v>241600</v>
      </c>
    </row>
    <row r="49" spans="1:5" x14ac:dyDescent="0.25">
      <c r="A49" s="28" t="s">
        <v>71</v>
      </c>
      <c r="B49" s="19">
        <v>280350</v>
      </c>
      <c r="D49" t="str">
        <f t="shared" si="0"/>
        <v>Michigan</v>
      </c>
      <c r="E49" s="29">
        <f t="shared" si="1"/>
        <v>280350</v>
      </c>
    </row>
    <row r="50" spans="1:5" x14ac:dyDescent="0.25">
      <c r="A50" s="28" t="s">
        <v>49</v>
      </c>
      <c r="B50" s="19">
        <v>156850</v>
      </c>
      <c r="D50" t="str">
        <f t="shared" si="0"/>
        <v>Minnesota</v>
      </c>
      <c r="E50" s="29">
        <f t="shared" si="1"/>
        <v>156850</v>
      </c>
    </row>
    <row r="51" spans="1:5" x14ac:dyDescent="0.25">
      <c r="A51" s="28" t="s">
        <v>96</v>
      </c>
      <c r="B51" s="19">
        <v>309350</v>
      </c>
      <c r="D51" t="str">
        <f t="shared" si="0"/>
        <v>Mississippi</v>
      </c>
      <c r="E51" s="29">
        <f t="shared" si="1"/>
        <v>309350</v>
      </c>
    </row>
    <row r="52" spans="1:5" x14ac:dyDescent="0.25">
      <c r="A52" s="28" t="s">
        <v>73</v>
      </c>
      <c r="B52" s="19">
        <v>316350</v>
      </c>
      <c r="D52" t="str">
        <f t="shared" si="0"/>
        <v>Missouri</v>
      </c>
      <c r="E52" s="29">
        <f t="shared" si="1"/>
        <v>316350</v>
      </c>
    </row>
    <row r="53" spans="1:5" x14ac:dyDescent="0.25">
      <c r="A53" s="28" t="s">
        <v>51</v>
      </c>
      <c r="B53" s="19">
        <v>328000</v>
      </c>
      <c r="D53" t="str">
        <f t="shared" si="0"/>
        <v>Montana</v>
      </c>
      <c r="E53" s="29">
        <f t="shared" si="1"/>
        <v>328000</v>
      </c>
    </row>
    <row r="54" spans="1:5" x14ac:dyDescent="0.25">
      <c r="A54" s="28" t="s">
        <v>55</v>
      </c>
      <c r="B54" s="19">
        <v>136350</v>
      </c>
      <c r="D54" t="str">
        <f t="shared" si="0"/>
        <v>Nebraska</v>
      </c>
      <c r="E54" s="29">
        <f t="shared" si="1"/>
        <v>136350</v>
      </c>
    </row>
    <row r="55" spans="1:5" x14ac:dyDescent="0.25">
      <c r="A55" s="28" t="s">
        <v>40</v>
      </c>
      <c r="B55" s="19">
        <v>324000</v>
      </c>
      <c r="D55" t="str">
        <f t="shared" si="0"/>
        <v>Nevada</v>
      </c>
      <c r="E55" s="29">
        <f t="shared" si="1"/>
        <v>324000</v>
      </c>
    </row>
    <row r="56" spans="1:5" x14ac:dyDescent="0.25">
      <c r="A56" s="28" t="s">
        <v>129</v>
      </c>
      <c r="B56" s="19">
        <v>238850</v>
      </c>
      <c r="D56" t="str">
        <f t="shared" si="0"/>
        <v>New Hampshire</v>
      </c>
      <c r="E56" s="29">
        <f t="shared" si="1"/>
        <v>238850</v>
      </c>
    </row>
    <row r="57" spans="1:5" x14ac:dyDescent="0.25">
      <c r="A57" s="28" t="s">
        <v>119</v>
      </c>
      <c r="B57" s="19">
        <v>223600</v>
      </c>
      <c r="D57" t="str">
        <f t="shared" si="0"/>
        <v>New Jersey</v>
      </c>
      <c r="E57" s="29">
        <f t="shared" si="1"/>
        <v>223600</v>
      </c>
    </row>
    <row r="58" spans="1:5" x14ac:dyDescent="0.25">
      <c r="A58" s="28" t="s">
        <v>84</v>
      </c>
      <c r="B58" s="19">
        <v>313500</v>
      </c>
      <c r="D58" t="str">
        <f t="shared" si="0"/>
        <v>New Mexico</v>
      </c>
      <c r="E58" s="29">
        <f t="shared" si="1"/>
        <v>313500</v>
      </c>
    </row>
    <row r="59" spans="1:5" x14ac:dyDescent="0.25">
      <c r="A59" s="28" t="s">
        <v>16</v>
      </c>
      <c r="B59" s="19">
        <v>1125200</v>
      </c>
      <c r="D59" t="str">
        <f t="shared" si="0"/>
        <v>New York</v>
      </c>
      <c r="E59" s="29">
        <f t="shared" si="1"/>
        <v>1125200</v>
      </c>
    </row>
    <row r="60" spans="1:5" x14ac:dyDescent="0.25">
      <c r="A60" s="28" t="s">
        <v>90</v>
      </c>
      <c r="B60" s="19">
        <v>399350</v>
      </c>
      <c r="D60" t="str">
        <f t="shared" si="0"/>
        <v>North Carolina</v>
      </c>
      <c r="E60" s="29">
        <f t="shared" si="1"/>
        <v>399350</v>
      </c>
    </row>
    <row r="61" spans="1:5" x14ac:dyDescent="0.25">
      <c r="A61" s="28" t="s">
        <v>106</v>
      </c>
      <c r="B61" s="19">
        <v>184100</v>
      </c>
      <c r="D61" t="str">
        <f t="shared" si="0"/>
        <v>North Dakota</v>
      </c>
      <c r="E61" s="29">
        <f t="shared" si="1"/>
        <v>184100</v>
      </c>
    </row>
    <row r="62" spans="1:5" x14ac:dyDescent="0.25">
      <c r="A62" s="28" t="s">
        <v>92</v>
      </c>
      <c r="B62" s="19">
        <v>203600</v>
      </c>
      <c r="D62" t="str">
        <f t="shared" si="0"/>
        <v>Ohio</v>
      </c>
      <c r="E62" s="29">
        <f t="shared" si="1"/>
        <v>203600</v>
      </c>
    </row>
    <row r="63" spans="1:5" x14ac:dyDescent="0.25">
      <c r="A63" s="28" t="s">
        <v>100</v>
      </c>
      <c r="B63" s="19">
        <v>237350</v>
      </c>
      <c r="D63" t="str">
        <f t="shared" si="0"/>
        <v>Oklahoma</v>
      </c>
      <c r="E63" s="29">
        <f t="shared" si="1"/>
        <v>237350</v>
      </c>
    </row>
    <row r="64" spans="1:5" x14ac:dyDescent="0.25">
      <c r="A64" s="28" t="s">
        <v>77</v>
      </c>
      <c r="B64" s="19">
        <v>346750</v>
      </c>
      <c r="D64" t="str">
        <f t="shared" si="0"/>
        <v>Oregon</v>
      </c>
      <c r="E64" s="29">
        <f t="shared" si="1"/>
        <v>346750</v>
      </c>
    </row>
    <row r="65" spans="1:5" x14ac:dyDescent="0.25">
      <c r="A65" s="28" t="s">
        <v>37</v>
      </c>
      <c r="B65" s="19">
        <v>165600</v>
      </c>
      <c r="D65" t="str">
        <f t="shared" si="0"/>
        <v>Pennsylvania</v>
      </c>
      <c r="E65" s="29">
        <f t="shared" si="1"/>
        <v>165600</v>
      </c>
    </row>
    <row r="66" spans="1:5" x14ac:dyDescent="0.25">
      <c r="A66" s="28" t="s">
        <v>123</v>
      </c>
      <c r="B66" s="19">
        <v>198850</v>
      </c>
      <c r="D66" t="str">
        <f t="shared" si="0"/>
        <v>Rhode Island</v>
      </c>
      <c r="E66" s="29">
        <f t="shared" si="1"/>
        <v>198850</v>
      </c>
    </row>
    <row r="67" spans="1:5" x14ac:dyDescent="0.25">
      <c r="A67" s="28" t="s">
        <v>88</v>
      </c>
      <c r="B67" s="19">
        <v>507350</v>
      </c>
      <c r="D67" t="str">
        <f t="shared" si="0"/>
        <v>South Carolina</v>
      </c>
      <c r="E67" s="29">
        <f t="shared" si="1"/>
        <v>507350</v>
      </c>
    </row>
    <row r="68" spans="1:5" x14ac:dyDescent="0.25">
      <c r="A68" s="28" t="s">
        <v>104</v>
      </c>
      <c r="B68" s="19">
        <v>180600</v>
      </c>
      <c r="D68" t="str">
        <f t="shared" si="0"/>
        <v>South Dakota</v>
      </c>
      <c r="E68" s="29">
        <f t="shared" si="1"/>
        <v>180600</v>
      </c>
    </row>
    <row r="69" spans="1:5" x14ac:dyDescent="0.25">
      <c r="A69" s="28" t="s">
        <v>53</v>
      </c>
      <c r="B69" s="19">
        <v>427750</v>
      </c>
      <c r="D69" t="str">
        <f t="shared" si="0"/>
        <v>Tennessee</v>
      </c>
      <c r="E69" s="29">
        <f t="shared" si="1"/>
        <v>427750</v>
      </c>
    </row>
    <row r="70" spans="1:5" x14ac:dyDescent="0.25">
      <c r="A70" s="28" t="s">
        <v>25</v>
      </c>
      <c r="B70" s="19">
        <v>1014250</v>
      </c>
      <c r="D70" t="str">
        <f t="shared" si="0"/>
        <v>Texas</v>
      </c>
      <c r="E70" s="29">
        <f t="shared" si="1"/>
        <v>1014250</v>
      </c>
    </row>
    <row r="71" spans="1:5" x14ac:dyDescent="0.25">
      <c r="A71" s="28" t="s">
        <v>75</v>
      </c>
      <c r="B71" s="19">
        <v>310750</v>
      </c>
      <c r="D71" t="str">
        <f t="shared" si="0"/>
        <v>Utah</v>
      </c>
      <c r="E71" s="29">
        <f t="shared" si="1"/>
        <v>310750</v>
      </c>
    </row>
    <row r="72" spans="1:5" x14ac:dyDescent="0.25">
      <c r="A72" s="28" t="s">
        <v>127</v>
      </c>
      <c r="B72" s="19">
        <v>256850</v>
      </c>
      <c r="D72" t="str">
        <f t="shared" si="0"/>
        <v>Vermont</v>
      </c>
      <c r="E72" s="29">
        <f t="shared" si="1"/>
        <v>256850</v>
      </c>
    </row>
    <row r="73" spans="1:5" x14ac:dyDescent="0.25">
      <c r="A73" s="28" t="s">
        <v>69</v>
      </c>
      <c r="B73" s="19">
        <v>403350</v>
      </c>
      <c r="D73" t="str">
        <f t="shared" si="0"/>
        <v>Virginia</v>
      </c>
      <c r="E73" s="29">
        <f t="shared" si="1"/>
        <v>403350</v>
      </c>
    </row>
    <row r="74" spans="1:5" x14ac:dyDescent="0.25">
      <c r="A74" s="28" t="s">
        <v>44</v>
      </c>
      <c r="B74" s="19">
        <v>348750</v>
      </c>
      <c r="D74" t="str">
        <f t="shared" si="0"/>
        <v>Washington</v>
      </c>
      <c r="E74" s="29">
        <f t="shared" si="1"/>
        <v>348750</v>
      </c>
    </row>
    <row r="75" spans="1:5" x14ac:dyDescent="0.25">
      <c r="A75" s="28" t="s">
        <v>114</v>
      </c>
      <c r="B75" s="19">
        <v>154600</v>
      </c>
      <c r="D75" t="str">
        <f t="shared" si="0"/>
        <v>West Virginia</v>
      </c>
      <c r="E75" s="29">
        <f t="shared" si="1"/>
        <v>154600</v>
      </c>
    </row>
    <row r="76" spans="1:5" x14ac:dyDescent="0.25">
      <c r="A76" s="28" t="s">
        <v>110</v>
      </c>
      <c r="B76" s="19">
        <v>205850</v>
      </c>
      <c r="D76" t="str">
        <f t="shared" si="0"/>
        <v>Wisconsin</v>
      </c>
      <c r="E76" s="29">
        <f t="shared" si="1"/>
        <v>205850</v>
      </c>
    </row>
    <row r="77" spans="1:5" x14ac:dyDescent="0.25">
      <c r="A77" s="28" t="s">
        <v>67</v>
      </c>
      <c r="B77" s="19">
        <v>310750</v>
      </c>
      <c r="D77" t="str">
        <f t="shared" si="0"/>
        <v>Wyoming</v>
      </c>
      <c r="E77" s="29">
        <f t="shared" si="1"/>
        <v>310750</v>
      </c>
    </row>
    <row r="78" spans="1:5" x14ac:dyDescent="0.25">
      <c r="A78" s="28" t="s">
        <v>138</v>
      </c>
      <c r="B78" s="19">
        <v>17148250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showGridLines="0" tabSelected="1" zoomScaleNormal="100" workbookViewId="0">
      <selection activeCell="M35" sqref="M35"/>
    </sheetView>
  </sheetViews>
  <sheetFormatPr defaultColWidth="14.42578125" defaultRowHeight="15" customHeight="1" x14ac:dyDescent="0.25"/>
  <cols>
    <col min="1" max="2" width="8.7109375" style="22" customWidth="1"/>
    <col min="3" max="3" width="10.140625" style="22" customWidth="1"/>
    <col min="4" max="4" width="4.42578125" style="22" customWidth="1"/>
    <col min="5" max="10" width="8.7109375" style="22" customWidth="1"/>
    <col min="11" max="11" width="20.5703125" style="22" customWidth="1"/>
    <col min="12" max="12" width="13.5703125" style="22" customWidth="1"/>
    <col min="13" max="13" width="20.5703125" style="22" customWidth="1"/>
    <col min="14" max="14" width="13.42578125" style="22" customWidth="1"/>
    <col min="15" max="15" width="23.7109375" style="22" customWidth="1"/>
    <col min="16" max="16" width="19.5703125" style="22" customWidth="1"/>
    <col min="17" max="17" width="23.42578125" style="22" customWidth="1"/>
    <col min="18" max="18" width="16.85546875" style="22" customWidth="1"/>
    <col min="19" max="19" width="31" style="22" customWidth="1"/>
    <col min="20" max="16384" width="14.42578125" style="22"/>
  </cols>
  <sheetData>
    <row r="1" spans="1:19" ht="7.5" customHeight="1" x14ac:dyDescent="0.25">
      <c r="A1" s="21"/>
      <c r="B1" s="21"/>
      <c r="C1" s="21"/>
      <c r="D1" s="21"/>
      <c r="E1" s="21"/>
      <c r="F1" s="21"/>
      <c r="G1" s="21"/>
      <c r="H1" s="21"/>
      <c r="I1" s="21"/>
      <c r="J1" s="21"/>
      <c r="K1" s="21"/>
      <c r="L1" s="21"/>
      <c r="M1" s="21"/>
      <c r="N1" s="21"/>
      <c r="O1" s="21"/>
      <c r="P1" s="21"/>
      <c r="Q1" s="21"/>
      <c r="R1" s="21"/>
      <c r="S1" s="21"/>
    </row>
    <row r="2" spans="1:19" ht="33" customHeight="1" x14ac:dyDescent="0.25">
      <c r="A2" s="21"/>
      <c r="B2" s="21"/>
      <c r="C2" s="21"/>
      <c r="D2" s="40" t="s">
        <v>131</v>
      </c>
      <c r="E2" s="35"/>
      <c r="F2" s="35"/>
      <c r="G2" s="35"/>
      <c r="H2" s="35"/>
      <c r="I2" s="35"/>
      <c r="J2" s="35"/>
      <c r="K2" s="36"/>
      <c r="L2" s="42" t="s">
        <v>151</v>
      </c>
      <c r="M2" s="42"/>
      <c r="N2" s="42" t="s">
        <v>152</v>
      </c>
      <c r="O2" s="42"/>
      <c r="P2" s="42" t="s">
        <v>153</v>
      </c>
      <c r="Q2" s="43"/>
      <c r="R2" s="44" t="s">
        <v>155</v>
      </c>
      <c r="S2" s="45"/>
    </row>
    <row r="3" spans="1:19" ht="33" customHeight="1" x14ac:dyDescent="0.25">
      <c r="A3" s="24"/>
      <c r="B3" s="24"/>
      <c r="C3" s="23"/>
      <c r="D3" s="37"/>
      <c r="E3" s="38"/>
      <c r="F3" s="38"/>
      <c r="G3" s="38"/>
      <c r="H3" s="38"/>
      <c r="I3" s="38"/>
      <c r="J3" s="38"/>
      <c r="K3" s="39"/>
      <c r="L3" s="31">
        <f>GETPIVOTDATA("Sum of Total Sales",'Piviot Tables'!$A$3)</f>
        <v>8684027.5</v>
      </c>
      <c r="M3" s="32"/>
      <c r="N3" s="41">
        <f>GETPIVOTDATA("Sum of Units Sold",'Piviot Tables'!$A$3)</f>
        <v>17148250</v>
      </c>
      <c r="O3" s="41"/>
      <c r="P3" s="31">
        <f>GETPIVOTDATA("Sum of Operating Profit",'Piviot Tables'!$A$3)</f>
        <v>3173631.875</v>
      </c>
      <c r="Q3" s="32"/>
      <c r="R3" s="34">
        <f>GETPIVOTDATA("Average of Operating Margin",'Piviot Tables'!$A$3)</f>
        <v>0.36310442386830921</v>
      </c>
      <c r="S3" s="33"/>
    </row>
    <row r="4" spans="1:19" ht="7.5" customHeight="1" x14ac:dyDescent="0.25">
      <c r="A4" s="25"/>
      <c r="B4" s="25"/>
      <c r="C4" s="25"/>
      <c r="D4" s="25"/>
      <c r="E4" s="25"/>
      <c r="F4" s="25"/>
      <c r="G4" s="25"/>
      <c r="H4" s="25"/>
      <c r="I4" s="25"/>
      <c r="J4" s="25"/>
      <c r="K4" s="25"/>
      <c r="L4" s="25"/>
      <c r="M4" s="25"/>
      <c r="N4" s="25"/>
      <c r="O4" s="25"/>
      <c r="P4" s="25"/>
      <c r="Q4" s="25"/>
      <c r="R4" s="25"/>
      <c r="S4" s="25"/>
    </row>
    <row r="5" spans="1:19" ht="6.75" customHeight="1" x14ac:dyDescent="0.25">
      <c r="A5" s="26"/>
      <c r="B5" s="26"/>
      <c r="C5" s="26"/>
      <c r="D5" s="26"/>
      <c r="E5" s="26"/>
      <c r="F5" s="26"/>
      <c r="G5" s="26"/>
      <c r="H5" s="26"/>
      <c r="I5" s="26"/>
      <c r="J5" s="26"/>
      <c r="K5" s="26"/>
      <c r="L5" s="26"/>
      <c r="M5" s="26"/>
      <c r="N5" s="26"/>
      <c r="O5" s="26"/>
      <c r="P5" s="26"/>
      <c r="Q5" s="26"/>
      <c r="R5" s="26"/>
      <c r="S5" s="26"/>
    </row>
    <row r="6" spans="1:19" x14ac:dyDescent="0.25">
      <c r="A6" s="26"/>
      <c r="B6" s="26"/>
      <c r="C6" s="26"/>
      <c r="D6" s="26"/>
      <c r="E6" s="26"/>
      <c r="F6" s="26"/>
      <c r="G6" s="26"/>
      <c r="H6" s="26"/>
      <c r="I6" s="26"/>
      <c r="J6" s="26"/>
      <c r="K6" s="26"/>
      <c r="L6" s="26"/>
      <c r="M6" s="26"/>
      <c r="N6" s="26"/>
      <c r="O6" s="26"/>
      <c r="P6" s="26"/>
      <c r="Q6" s="26"/>
      <c r="R6" s="26"/>
      <c r="S6" s="26"/>
    </row>
    <row r="7" spans="1:19" x14ac:dyDescent="0.25">
      <c r="A7" s="26"/>
      <c r="B7" s="26"/>
      <c r="C7" s="26"/>
      <c r="D7" s="26"/>
      <c r="E7" s="26"/>
      <c r="F7" s="26"/>
      <c r="G7" s="26"/>
      <c r="H7" s="26"/>
      <c r="I7" s="26"/>
      <c r="J7" s="26"/>
      <c r="K7" s="26"/>
      <c r="L7" s="26"/>
      <c r="M7" s="26"/>
      <c r="N7" s="26"/>
      <c r="O7" s="26"/>
      <c r="P7" s="26"/>
      <c r="Q7" s="26"/>
      <c r="R7" s="26"/>
      <c r="S7" s="26"/>
    </row>
    <row r="8" spans="1:19" x14ac:dyDescent="0.25">
      <c r="A8" s="26"/>
      <c r="B8" s="26"/>
      <c r="C8" s="26"/>
      <c r="D8" s="26"/>
      <c r="E8" s="26"/>
      <c r="F8" s="26"/>
      <c r="G8" s="26"/>
      <c r="H8" s="26"/>
      <c r="I8" s="26"/>
      <c r="J8" s="26"/>
      <c r="K8" s="26"/>
      <c r="L8" s="26"/>
      <c r="M8" s="26"/>
      <c r="N8" s="26"/>
      <c r="O8" s="26"/>
      <c r="P8" s="26"/>
      <c r="Q8" s="26"/>
      <c r="R8" s="26"/>
      <c r="S8" s="26"/>
    </row>
    <row r="9" spans="1:19" x14ac:dyDescent="0.25">
      <c r="A9" s="26"/>
      <c r="B9" s="26"/>
      <c r="C9" s="26"/>
      <c r="D9" s="26"/>
      <c r="E9" s="26"/>
      <c r="F9" s="26"/>
      <c r="G9" s="26"/>
      <c r="H9" s="26"/>
      <c r="I9" s="26"/>
      <c r="J9" s="26"/>
      <c r="K9" s="26"/>
      <c r="L9" s="26"/>
      <c r="M9" s="26"/>
      <c r="N9" s="26"/>
      <c r="O9" s="26"/>
      <c r="P9" s="26"/>
      <c r="Q9" s="26"/>
      <c r="R9" s="26"/>
      <c r="S9" s="26"/>
    </row>
    <row r="10" spans="1:19" x14ac:dyDescent="0.25">
      <c r="A10" s="26"/>
      <c r="B10" s="26"/>
      <c r="C10" s="26"/>
      <c r="D10" s="26"/>
      <c r="E10" s="26"/>
      <c r="F10" s="26"/>
      <c r="G10" s="26"/>
      <c r="H10" s="26"/>
      <c r="I10" s="26"/>
      <c r="J10" s="26"/>
      <c r="K10" s="26"/>
      <c r="L10" s="26"/>
      <c r="M10" s="26"/>
      <c r="N10" s="26"/>
      <c r="O10" s="26"/>
      <c r="P10" s="26"/>
      <c r="Q10" s="26"/>
      <c r="R10" s="26"/>
      <c r="S10" s="26"/>
    </row>
    <row r="11" spans="1:19" x14ac:dyDescent="0.25">
      <c r="A11" s="26"/>
      <c r="B11" s="26"/>
      <c r="C11" s="26"/>
      <c r="D11" s="26"/>
      <c r="E11" s="26"/>
      <c r="F11" s="26"/>
      <c r="G11" s="26"/>
      <c r="H11" s="26"/>
      <c r="I11" s="26"/>
      <c r="J11" s="26"/>
      <c r="K11" s="26"/>
      <c r="L11" s="26"/>
      <c r="M11" s="26"/>
      <c r="N11" s="26"/>
      <c r="O11" s="26"/>
      <c r="P11" s="26"/>
      <c r="Q11" s="26"/>
      <c r="R11" s="26"/>
      <c r="S11" s="26"/>
    </row>
    <row r="12" spans="1:19" x14ac:dyDescent="0.25">
      <c r="A12" s="26"/>
      <c r="B12" s="26"/>
      <c r="C12" s="26"/>
      <c r="D12" s="26"/>
      <c r="E12" s="26"/>
      <c r="F12" s="26"/>
      <c r="G12" s="26"/>
      <c r="H12" s="26"/>
      <c r="I12" s="26"/>
      <c r="J12" s="26"/>
      <c r="K12" s="26"/>
      <c r="L12" s="26"/>
      <c r="M12" s="26"/>
      <c r="N12" s="26"/>
      <c r="O12" s="26"/>
      <c r="P12" s="26"/>
      <c r="Q12" s="26"/>
      <c r="R12" s="26"/>
      <c r="S12" s="26"/>
    </row>
    <row r="13" spans="1:19" x14ac:dyDescent="0.25">
      <c r="A13" s="26"/>
      <c r="B13" s="26"/>
      <c r="C13" s="26"/>
      <c r="D13" s="26"/>
      <c r="E13" s="26"/>
      <c r="F13" s="26"/>
      <c r="G13" s="26"/>
      <c r="H13" s="26"/>
      <c r="I13" s="26"/>
      <c r="J13" s="26"/>
      <c r="K13" s="26"/>
      <c r="L13" s="26"/>
      <c r="M13" s="26"/>
      <c r="N13" s="26"/>
      <c r="O13" s="26"/>
      <c r="P13" s="26"/>
      <c r="Q13" s="26"/>
      <c r="R13" s="26"/>
      <c r="S13" s="26"/>
    </row>
    <row r="14" spans="1:19" x14ac:dyDescent="0.25">
      <c r="A14" s="26"/>
      <c r="B14" s="26"/>
      <c r="C14" s="26"/>
      <c r="D14" s="26"/>
      <c r="E14" s="26"/>
      <c r="F14" s="26"/>
      <c r="G14" s="26"/>
      <c r="H14" s="26"/>
      <c r="I14" s="26"/>
      <c r="J14" s="26"/>
      <c r="K14" s="26"/>
      <c r="L14" s="26"/>
      <c r="M14" s="26"/>
      <c r="N14" s="26"/>
      <c r="O14" s="26"/>
      <c r="P14" s="26"/>
      <c r="Q14" s="26"/>
      <c r="R14" s="26"/>
      <c r="S14" s="26"/>
    </row>
    <row r="15" spans="1:19" x14ac:dyDescent="0.25">
      <c r="A15" s="26"/>
      <c r="B15" s="26"/>
      <c r="C15" s="26"/>
      <c r="D15" s="26"/>
      <c r="E15" s="26"/>
      <c r="F15" s="26"/>
      <c r="G15" s="26"/>
      <c r="H15" s="26"/>
      <c r="I15" s="26"/>
      <c r="J15" s="26"/>
      <c r="K15" s="26"/>
      <c r="L15" s="26"/>
      <c r="M15" s="26"/>
      <c r="N15" s="26"/>
      <c r="O15" s="26"/>
      <c r="P15" s="26"/>
      <c r="Q15" s="26"/>
      <c r="R15" s="26"/>
      <c r="S15" s="26"/>
    </row>
    <row r="16" spans="1:19" x14ac:dyDescent="0.25">
      <c r="A16" s="26"/>
      <c r="B16" s="26"/>
      <c r="C16" s="26"/>
      <c r="D16" s="26"/>
      <c r="E16" s="26"/>
      <c r="F16" s="26"/>
      <c r="G16" s="26"/>
      <c r="H16" s="26"/>
      <c r="I16" s="26"/>
      <c r="J16" s="26"/>
      <c r="K16" s="26"/>
      <c r="L16" s="26"/>
      <c r="M16" s="26"/>
      <c r="N16" s="26"/>
      <c r="O16" s="26"/>
      <c r="P16" s="26"/>
      <c r="Q16" s="26"/>
      <c r="R16" s="26"/>
      <c r="S16" s="26"/>
    </row>
    <row r="17" spans="1:19" x14ac:dyDescent="0.25">
      <c r="A17" s="26"/>
      <c r="B17" s="26"/>
      <c r="C17" s="26"/>
      <c r="D17" s="26"/>
      <c r="E17" s="26"/>
      <c r="F17" s="26"/>
      <c r="G17" s="26"/>
      <c r="H17" s="26"/>
      <c r="I17" s="26"/>
      <c r="J17" s="26"/>
      <c r="K17" s="26"/>
      <c r="L17" s="26"/>
      <c r="M17" s="26"/>
      <c r="N17" s="26"/>
      <c r="O17" s="26"/>
      <c r="P17" s="26"/>
      <c r="Q17" s="26"/>
      <c r="R17" s="26"/>
      <c r="S17" s="26"/>
    </row>
    <row r="18" spans="1:19" x14ac:dyDescent="0.25">
      <c r="A18" s="26"/>
      <c r="B18" s="26"/>
      <c r="C18" s="26"/>
      <c r="D18" s="26"/>
      <c r="E18" s="26"/>
      <c r="F18" s="26"/>
      <c r="G18" s="26"/>
      <c r="H18" s="26"/>
      <c r="I18" s="26"/>
      <c r="J18" s="26"/>
      <c r="K18" s="26"/>
      <c r="L18" s="26"/>
      <c r="M18" s="26"/>
      <c r="N18" s="26"/>
      <c r="O18" s="26"/>
      <c r="P18" s="26"/>
      <c r="Q18" s="26"/>
      <c r="R18" s="26"/>
      <c r="S18" s="26"/>
    </row>
    <row r="19" spans="1:19" x14ac:dyDescent="0.25">
      <c r="A19" s="26"/>
      <c r="B19" s="26"/>
      <c r="C19" s="26"/>
      <c r="D19" s="26"/>
      <c r="E19" s="26"/>
      <c r="F19" s="26"/>
      <c r="G19" s="26"/>
      <c r="H19" s="26"/>
      <c r="I19" s="26"/>
      <c r="J19" s="26"/>
      <c r="K19" s="26"/>
      <c r="L19" s="26"/>
      <c r="M19" s="26"/>
      <c r="N19" s="26"/>
      <c r="O19" s="26"/>
      <c r="P19" s="26"/>
      <c r="Q19" s="26"/>
      <c r="R19" s="26"/>
      <c r="S19" s="26"/>
    </row>
    <row r="20" spans="1:19" x14ac:dyDescent="0.25">
      <c r="A20" s="26"/>
      <c r="B20" s="26"/>
      <c r="C20" s="26"/>
      <c r="D20" s="26"/>
      <c r="E20" s="26"/>
      <c r="F20" s="26"/>
      <c r="G20" s="26"/>
      <c r="H20" s="26"/>
      <c r="I20" s="26"/>
      <c r="J20" s="26"/>
      <c r="K20" s="26"/>
      <c r="L20" s="26"/>
      <c r="M20" s="26"/>
      <c r="N20" s="26"/>
      <c r="O20" s="26"/>
      <c r="P20" s="26"/>
      <c r="Q20" s="26"/>
      <c r="R20" s="26"/>
      <c r="S20" s="26"/>
    </row>
    <row r="21" spans="1:19" ht="15.75" customHeight="1" x14ac:dyDescent="0.25">
      <c r="A21" s="26"/>
      <c r="B21" s="26"/>
      <c r="C21" s="26"/>
      <c r="D21" s="26"/>
      <c r="E21" s="26"/>
      <c r="F21" s="26"/>
      <c r="G21" s="26"/>
      <c r="H21" s="26"/>
      <c r="I21" s="26"/>
      <c r="J21" s="26"/>
      <c r="K21" s="26"/>
      <c r="L21" s="26"/>
      <c r="M21" s="26"/>
      <c r="N21" s="26"/>
      <c r="O21" s="26"/>
      <c r="P21" s="26"/>
      <c r="Q21" s="26"/>
      <c r="R21" s="26"/>
      <c r="S21" s="26"/>
    </row>
    <row r="22" spans="1:19" ht="15.75" customHeight="1" x14ac:dyDescent="0.25">
      <c r="A22" s="26"/>
      <c r="B22" s="26"/>
      <c r="C22" s="26"/>
      <c r="D22" s="26"/>
      <c r="E22" s="26"/>
      <c r="F22" s="26"/>
      <c r="G22" s="26"/>
      <c r="H22" s="26"/>
      <c r="I22" s="26"/>
      <c r="J22" s="26"/>
      <c r="K22" s="26"/>
      <c r="L22" s="26"/>
      <c r="M22" s="26"/>
      <c r="N22" s="26"/>
      <c r="O22" s="26"/>
      <c r="P22" s="26"/>
      <c r="Q22" s="26"/>
      <c r="R22" s="26"/>
      <c r="S22" s="26"/>
    </row>
    <row r="23" spans="1:19" ht="15.75" customHeight="1" x14ac:dyDescent="0.25">
      <c r="A23" s="26"/>
      <c r="B23" s="26"/>
      <c r="C23" s="26"/>
      <c r="D23" s="26"/>
      <c r="E23" s="26"/>
      <c r="F23" s="26"/>
      <c r="G23" s="26"/>
      <c r="H23" s="26"/>
      <c r="I23" s="26"/>
      <c r="J23" s="26"/>
      <c r="K23" s="26"/>
      <c r="L23" s="26"/>
      <c r="M23" s="26"/>
      <c r="N23" s="26"/>
      <c r="O23" s="26"/>
      <c r="P23" s="26"/>
      <c r="Q23" s="26"/>
      <c r="R23" s="26"/>
      <c r="S23" s="26"/>
    </row>
    <row r="24" spans="1:19" ht="15.75" customHeight="1" x14ac:dyDescent="0.25">
      <c r="A24" s="26"/>
      <c r="B24" s="26"/>
      <c r="C24" s="26"/>
      <c r="D24" s="26"/>
      <c r="E24" s="26"/>
      <c r="F24" s="26"/>
      <c r="G24" s="26"/>
      <c r="H24" s="26"/>
      <c r="I24" s="26"/>
      <c r="J24" s="26"/>
      <c r="K24" s="26"/>
      <c r="L24" s="26"/>
      <c r="M24" s="26"/>
      <c r="N24" s="26"/>
      <c r="O24" s="26"/>
      <c r="P24" s="26"/>
      <c r="Q24" s="26"/>
      <c r="R24" s="26"/>
      <c r="S24" s="26"/>
    </row>
    <row r="25" spans="1:19" ht="15.75" customHeight="1" x14ac:dyDescent="0.25">
      <c r="A25" s="26"/>
      <c r="B25" s="26"/>
      <c r="C25" s="26"/>
      <c r="D25" s="26"/>
      <c r="E25" s="26"/>
      <c r="F25" s="26"/>
      <c r="G25" s="26"/>
      <c r="H25" s="26"/>
      <c r="I25" s="26"/>
      <c r="J25" s="26"/>
      <c r="K25" s="26"/>
      <c r="L25" s="26"/>
      <c r="M25" s="26"/>
      <c r="N25" s="26"/>
      <c r="O25" s="26"/>
      <c r="P25" s="26"/>
      <c r="Q25" s="26"/>
      <c r="R25" s="26"/>
      <c r="S25" s="26"/>
    </row>
    <row r="26" spans="1:19" ht="15.75" customHeight="1" x14ac:dyDescent="0.25">
      <c r="A26" s="26"/>
      <c r="B26" s="26"/>
      <c r="C26" s="26"/>
      <c r="D26" s="26"/>
      <c r="E26" s="26"/>
      <c r="F26" s="26"/>
      <c r="G26" s="26"/>
      <c r="H26" s="26"/>
      <c r="I26" s="26"/>
      <c r="J26" s="26"/>
      <c r="K26" s="26"/>
      <c r="L26" s="26"/>
      <c r="M26" s="26"/>
      <c r="N26" s="26"/>
      <c r="O26" s="26"/>
      <c r="P26" s="26"/>
      <c r="Q26" s="26"/>
      <c r="R26" s="26"/>
      <c r="S26" s="26"/>
    </row>
    <row r="27" spans="1:19" ht="15.75" customHeight="1" x14ac:dyDescent="0.25">
      <c r="A27" s="26"/>
      <c r="B27" s="26"/>
      <c r="C27" s="26"/>
      <c r="D27" s="26"/>
      <c r="E27" s="26"/>
      <c r="F27" s="26"/>
      <c r="G27" s="26"/>
      <c r="H27" s="26"/>
      <c r="I27" s="26"/>
      <c r="J27" s="26"/>
      <c r="K27" s="26"/>
      <c r="L27" s="26"/>
      <c r="M27" s="26"/>
      <c r="N27" s="26"/>
      <c r="O27" s="26"/>
      <c r="P27" s="26"/>
      <c r="Q27" s="26"/>
      <c r="R27" s="26"/>
      <c r="S27" s="26"/>
    </row>
    <row r="28" spans="1:19" ht="15.75" customHeight="1" x14ac:dyDescent="0.25">
      <c r="A28" s="26"/>
      <c r="B28" s="26"/>
      <c r="C28" s="26"/>
      <c r="D28" s="26"/>
      <c r="E28" s="26"/>
      <c r="F28" s="26"/>
      <c r="G28" s="26"/>
      <c r="H28" s="26"/>
      <c r="I28" s="26"/>
      <c r="J28" s="26"/>
      <c r="K28" s="26"/>
      <c r="L28" s="26"/>
      <c r="M28" s="26"/>
      <c r="N28" s="26"/>
      <c r="O28" s="26"/>
      <c r="P28" s="26"/>
      <c r="Q28" s="26"/>
      <c r="R28" s="26"/>
      <c r="S28" s="26"/>
    </row>
    <row r="29" spans="1:19" ht="15.75" customHeight="1" x14ac:dyDescent="0.25">
      <c r="A29" s="26"/>
      <c r="B29" s="26"/>
      <c r="C29" s="26"/>
      <c r="D29" s="26"/>
      <c r="E29" s="26"/>
      <c r="F29" s="26"/>
      <c r="G29" s="26"/>
      <c r="H29" s="26"/>
      <c r="I29" s="26"/>
      <c r="J29" s="26"/>
      <c r="K29" s="26"/>
      <c r="L29" s="26"/>
      <c r="M29" s="26"/>
      <c r="N29" s="26"/>
      <c r="O29" s="26"/>
      <c r="P29" s="26"/>
      <c r="Q29" s="26"/>
      <c r="R29" s="26"/>
      <c r="S29" s="26"/>
    </row>
    <row r="30" spans="1:19" ht="15.75" customHeight="1" x14ac:dyDescent="0.25">
      <c r="A30" s="26"/>
      <c r="B30" s="26"/>
      <c r="C30" s="26"/>
      <c r="D30" s="26"/>
      <c r="E30" s="26"/>
      <c r="F30" s="26"/>
      <c r="G30" s="26"/>
      <c r="H30" s="26"/>
      <c r="I30" s="26"/>
      <c r="J30" s="26"/>
      <c r="K30" s="26"/>
      <c r="L30" s="26"/>
      <c r="M30" s="26"/>
      <c r="N30" s="26"/>
      <c r="O30" s="26"/>
      <c r="P30" s="26"/>
      <c r="Q30" s="26"/>
      <c r="R30" s="26"/>
      <c r="S30" s="26"/>
    </row>
    <row r="31" spans="1:19" ht="15.75" customHeight="1" x14ac:dyDescent="0.25">
      <c r="A31" s="26"/>
      <c r="B31" s="26"/>
      <c r="C31" s="26"/>
      <c r="D31" s="26"/>
      <c r="E31" s="26"/>
      <c r="F31" s="26"/>
      <c r="G31" s="26"/>
      <c r="H31" s="26"/>
      <c r="I31" s="26"/>
      <c r="J31" s="26"/>
      <c r="K31" s="26"/>
      <c r="L31" s="26"/>
      <c r="M31" s="26"/>
      <c r="N31" s="26"/>
      <c r="O31" s="26"/>
      <c r="P31" s="26"/>
      <c r="Q31" s="26"/>
      <c r="R31" s="26"/>
      <c r="S31" s="26"/>
    </row>
    <row r="32" spans="1:19" ht="15.75" customHeight="1" x14ac:dyDescent="0.25">
      <c r="A32" s="26"/>
      <c r="B32" s="26"/>
      <c r="C32" s="26"/>
      <c r="D32" s="26"/>
      <c r="E32" s="26"/>
      <c r="F32" s="26"/>
      <c r="G32" s="26"/>
      <c r="H32" s="26"/>
      <c r="I32" s="26"/>
      <c r="J32" s="26"/>
      <c r="K32" s="26"/>
      <c r="L32" s="26"/>
      <c r="M32" s="26"/>
      <c r="N32" s="26"/>
      <c r="O32" s="26"/>
      <c r="P32" s="26"/>
      <c r="Q32" s="26"/>
      <c r="R32" s="26"/>
      <c r="S32" s="26"/>
    </row>
    <row r="33" spans="1:19" ht="15.75" customHeight="1" x14ac:dyDescent="0.25">
      <c r="A33" s="26"/>
      <c r="B33" s="26"/>
      <c r="C33" s="26"/>
      <c r="D33" s="26"/>
      <c r="E33" s="26"/>
      <c r="F33" s="26"/>
      <c r="G33" s="26"/>
      <c r="H33" s="26"/>
      <c r="I33" s="26"/>
      <c r="J33" s="26"/>
      <c r="K33" s="26"/>
      <c r="L33" s="26"/>
      <c r="M33" s="26"/>
      <c r="N33" s="26"/>
      <c r="O33" s="26"/>
      <c r="P33" s="26"/>
      <c r="Q33" s="26"/>
      <c r="R33" s="26"/>
      <c r="S33" s="26"/>
    </row>
    <row r="34" spans="1:19" ht="15.75" customHeight="1" x14ac:dyDescent="0.25">
      <c r="A34" s="26"/>
      <c r="B34" s="26"/>
      <c r="C34" s="26"/>
      <c r="D34" s="26"/>
      <c r="E34" s="26"/>
      <c r="F34" s="26"/>
      <c r="G34" s="26"/>
      <c r="H34" s="26"/>
      <c r="I34" s="26"/>
      <c r="J34" s="26"/>
      <c r="K34" s="26"/>
      <c r="L34" s="26"/>
      <c r="M34" s="26"/>
      <c r="N34" s="26"/>
      <c r="O34" s="26"/>
      <c r="P34" s="26"/>
      <c r="Q34" s="26"/>
      <c r="R34" s="26"/>
      <c r="S34" s="26"/>
    </row>
    <row r="35" spans="1:19" ht="15.75" customHeight="1" x14ac:dyDescent="0.25">
      <c r="A35" s="26"/>
      <c r="B35" s="26"/>
      <c r="C35" s="26"/>
      <c r="D35" s="26"/>
      <c r="E35" s="26"/>
      <c r="F35" s="26"/>
      <c r="G35" s="26"/>
      <c r="H35" s="26"/>
      <c r="I35" s="26"/>
      <c r="J35" s="26"/>
      <c r="K35" s="26"/>
      <c r="L35" s="26"/>
      <c r="M35" s="26"/>
      <c r="N35" s="26"/>
      <c r="O35" s="26"/>
      <c r="P35" s="26"/>
      <c r="Q35" s="26"/>
      <c r="R35" s="26"/>
      <c r="S35" s="26"/>
    </row>
    <row r="36" spans="1:19" ht="15.75" customHeight="1" x14ac:dyDescent="0.25">
      <c r="A36" s="26"/>
      <c r="B36" s="26"/>
      <c r="C36" s="26"/>
      <c r="D36" s="26"/>
      <c r="E36" s="26"/>
      <c r="F36" s="26"/>
      <c r="G36" s="26"/>
      <c r="H36" s="26"/>
      <c r="I36" s="26"/>
      <c r="J36" s="26"/>
      <c r="K36" s="26"/>
      <c r="L36" s="26"/>
      <c r="M36" s="26"/>
      <c r="N36" s="26"/>
      <c r="O36" s="26"/>
      <c r="P36" s="26"/>
      <c r="Q36" s="26"/>
      <c r="R36" s="26"/>
      <c r="S36" s="26"/>
    </row>
    <row r="37" spans="1:19" ht="15.75" customHeight="1" x14ac:dyDescent="0.25">
      <c r="A37" s="26"/>
      <c r="B37" s="26"/>
      <c r="C37" s="26"/>
      <c r="D37" s="26"/>
      <c r="E37" s="26"/>
      <c r="F37" s="26"/>
      <c r="G37" s="26"/>
      <c r="H37" s="26"/>
      <c r="I37" s="26"/>
      <c r="J37" s="26"/>
      <c r="K37" s="26"/>
      <c r="L37" s="26"/>
      <c r="M37" s="26"/>
      <c r="N37" s="26"/>
      <c r="O37" s="26"/>
      <c r="P37" s="26"/>
      <c r="Q37" s="26"/>
      <c r="R37" s="26"/>
      <c r="S37" s="26"/>
    </row>
    <row r="38" spans="1:19" ht="15.75" customHeight="1" x14ac:dyDescent="0.25">
      <c r="A38" s="26"/>
      <c r="B38" s="26"/>
      <c r="C38" s="26"/>
      <c r="D38" s="26"/>
      <c r="E38" s="26"/>
      <c r="F38" s="26"/>
      <c r="G38" s="26"/>
      <c r="H38" s="26"/>
      <c r="I38" s="26"/>
      <c r="J38" s="26"/>
      <c r="K38" s="26"/>
      <c r="L38" s="26"/>
      <c r="M38" s="26"/>
      <c r="N38" s="26"/>
      <c r="O38" s="26"/>
      <c r="P38" s="26"/>
      <c r="Q38" s="26"/>
      <c r="R38" s="26"/>
      <c r="S38" s="26"/>
    </row>
    <row r="39" spans="1:19" ht="15.75" customHeight="1" x14ac:dyDescent="0.25">
      <c r="A39" s="26"/>
      <c r="B39" s="26"/>
      <c r="C39" s="26"/>
      <c r="D39" s="26"/>
      <c r="E39" s="26"/>
      <c r="F39" s="26"/>
      <c r="G39" s="26"/>
      <c r="H39" s="26"/>
      <c r="I39" s="26"/>
      <c r="J39" s="26"/>
      <c r="K39" s="26"/>
      <c r="L39" s="26"/>
      <c r="M39" s="26"/>
      <c r="N39" s="26"/>
      <c r="O39" s="26"/>
      <c r="P39" s="26"/>
      <c r="Q39" s="26"/>
      <c r="R39" s="26"/>
      <c r="S39" s="26"/>
    </row>
    <row r="40" spans="1:19" ht="15.75" customHeight="1" x14ac:dyDescent="0.25">
      <c r="A40" s="26"/>
      <c r="B40" s="26"/>
      <c r="C40" s="26"/>
      <c r="D40" s="26"/>
      <c r="E40" s="26"/>
      <c r="F40" s="26"/>
      <c r="G40" s="26"/>
      <c r="H40" s="26"/>
      <c r="I40" s="26"/>
      <c r="J40" s="26"/>
      <c r="K40" s="26"/>
      <c r="L40" s="26"/>
      <c r="M40" s="26"/>
      <c r="N40" s="26"/>
      <c r="O40" s="26"/>
      <c r="P40" s="26"/>
      <c r="Q40" s="26"/>
      <c r="R40" s="26"/>
      <c r="S40" s="26"/>
    </row>
    <row r="41" spans="1:19" ht="15.75" customHeight="1" x14ac:dyDescent="0.25">
      <c r="A41" s="26"/>
      <c r="B41" s="26"/>
      <c r="C41" s="26"/>
      <c r="D41" s="26"/>
      <c r="E41" s="26"/>
      <c r="F41" s="26"/>
      <c r="G41" s="26"/>
      <c r="H41" s="26"/>
      <c r="I41" s="26"/>
      <c r="J41" s="26"/>
      <c r="K41" s="26"/>
      <c r="L41" s="26"/>
      <c r="M41" s="26"/>
      <c r="N41" s="26"/>
      <c r="O41" s="26"/>
      <c r="P41" s="26"/>
      <c r="Q41" s="26"/>
      <c r="R41" s="26"/>
      <c r="S41" s="26"/>
    </row>
    <row r="42" spans="1:19" ht="15.75" customHeight="1" x14ac:dyDescent="0.25">
      <c r="A42" s="26"/>
      <c r="B42" s="26"/>
      <c r="C42" s="26"/>
      <c r="D42" s="26"/>
      <c r="E42" s="26"/>
      <c r="F42" s="26"/>
      <c r="G42" s="26"/>
      <c r="H42" s="26"/>
      <c r="I42" s="26"/>
      <c r="J42" s="26"/>
      <c r="K42" s="26"/>
      <c r="L42" s="26"/>
      <c r="M42" s="26"/>
      <c r="N42" s="26"/>
      <c r="O42" s="26"/>
      <c r="P42" s="26"/>
      <c r="Q42" s="26"/>
      <c r="R42" s="26"/>
      <c r="S42" s="26"/>
    </row>
    <row r="43" spans="1:19" ht="15.75" customHeight="1" x14ac:dyDescent="0.25">
      <c r="A43" s="26"/>
      <c r="B43" s="26"/>
      <c r="C43" s="26"/>
      <c r="D43" s="26"/>
      <c r="E43" s="26"/>
      <c r="F43" s="26"/>
      <c r="G43" s="26"/>
      <c r="H43" s="26"/>
      <c r="I43" s="26"/>
      <c r="J43" s="26"/>
      <c r="K43" s="26"/>
      <c r="L43" s="26"/>
      <c r="M43" s="26"/>
      <c r="N43" s="26"/>
      <c r="O43" s="26"/>
      <c r="P43" s="26"/>
      <c r="Q43" s="26"/>
      <c r="R43" s="26"/>
      <c r="S43" s="26"/>
    </row>
    <row r="44" spans="1:19" ht="15.75" customHeight="1" x14ac:dyDescent="0.25">
      <c r="A44" s="26"/>
      <c r="B44" s="26"/>
      <c r="C44" s="26"/>
      <c r="D44" s="26"/>
      <c r="E44" s="26"/>
      <c r="F44" s="26"/>
      <c r="G44" s="26"/>
      <c r="H44" s="26"/>
      <c r="I44" s="26"/>
      <c r="J44" s="26"/>
      <c r="K44" s="26"/>
      <c r="L44" s="26"/>
      <c r="M44" s="26"/>
      <c r="N44" s="26"/>
      <c r="O44" s="26"/>
      <c r="P44" s="26"/>
      <c r="Q44" s="26"/>
      <c r="R44" s="26"/>
      <c r="S44" s="26"/>
    </row>
    <row r="45" spans="1:19" ht="15.75" customHeight="1" x14ac:dyDescent="0.25">
      <c r="A45" s="26"/>
      <c r="B45" s="26"/>
      <c r="C45" s="26"/>
      <c r="D45" s="26"/>
      <c r="E45" s="26"/>
      <c r="F45" s="26"/>
      <c r="G45" s="26"/>
      <c r="H45" s="26"/>
      <c r="I45" s="26"/>
      <c r="J45" s="26"/>
      <c r="K45" s="26"/>
      <c r="L45" s="26"/>
      <c r="M45" s="26"/>
      <c r="N45" s="26"/>
      <c r="O45" s="26"/>
      <c r="P45" s="26"/>
      <c r="Q45" s="26"/>
      <c r="R45" s="26"/>
      <c r="S45" s="26"/>
    </row>
    <row r="46" spans="1:19" ht="15.75" customHeight="1" x14ac:dyDescent="0.25">
      <c r="A46" s="26"/>
      <c r="B46" s="26"/>
      <c r="C46" s="26"/>
      <c r="D46" s="26"/>
      <c r="E46" s="26"/>
      <c r="F46" s="26"/>
      <c r="G46" s="26"/>
      <c r="H46" s="26"/>
      <c r="I46" s="26"/>
      <c r="J46" s="26"/>
      <c r="K46" s="26"/>
      <c r="L46" s="26"/>
      <c r="M46" s="26"/>
      <c r="N46" s="26"/>
      <c r="O46" s="26"/>
      <c r="P46" s="26"/>
      <c r="Q46" s="26"/>
      <c r="R46" s="26"/>
      <c r="S46" s="26"/>
    </row>
    <row r="47" spans="1:19" ht="15.75" customHeight="1" x14ac:dyDescent="0.25">
      <c r="A47" s="26"/>
      <c r="B47" s="26"/>
      <c r="C47" s="26"/>
      <c r="D47" s="26"/>
      <c r="E47" s="26"/>
      <c r="F47" s="26"/>
      <c r="G47" s="26"/>
      <c r="H47" s="26"/>
      <c r="I47" s="26"/>
      <c r="J47" s="26"/>
      <c r="K47" s="26"/>
      <c r="L47" s="26"/>
      <c r="M47" s="26"/>
      <c r="N47" s="26"/>
      <c r="O47" s="26"/>
      <c r="P47" s="26"/>
      <c r="Q47" s="26"/>
      <c r="R47" s="26"/>
      <c r="S47" s="26"/>
    </row>
    <row r="48" spans="1:19" ht="15.75" customHeight="1" x14ac:dyDescent="0.25">
      <c r="A48" s="26"/>
      <c r="B48" s="26"/>
      <c r="C48" s="26"/>
      <c r="D48" s="26"/>
      <c r="E48" s="26"/>
      <c r="F48" s="26"/>
      <c r="G48" s="26"/>
      <c r="H48" s="26"/>
      <c r="I48" s="26"/>
      <c r="J48" s="26"/>
      <c r="K48" s="26"/>
      <c r="L48" s="26"/>
      <c r="M48" s="26"/>
      <c r="N48" s="26"/>
      <c r="O48" s="26"/>
      <c r="P48" s="26"/>
      <c r="Q48" s="26"/>
      <c r="R48" s="26"/>
      <c r="S48" s="26"/>
    </row>
    <row r="49" spans="1:19" ht="15.75" customHeight="1" x14ac:dyDescent="0.25">
      <c r="A49" s="26"/>
      <c r="B49" s="26"/>
      <c r="C49" s="26"/>
      <c r="D49" s="26"/>
      <c r="E49" s="26"/>
      <c r="F49" s="26"/>
      <c r="G49" s="26"/>
      <c r="H49" s="26"/>
      <c r="I49" s="26"/>
      <c r="J49" s="26"/>
      <c r="K49" s="26"/>
      <c r="L49" s="26"/>
      <c r="M49" s="26"/>
      <c r="N49" s="26"/>
      <c r="O49" s="26"/>
      <c r="P49" s="26"/>
      <c r="Q49" s="26"/>
      <c r="R49" s="26"/>
      <c r="S49" s="26"/>
    </row>
    <row r="50" spans="1:19" ht="15.75" customHeight="1" x14ac:dyDescent="0.25">
      <c r="A50" s="26"/>
      <c r="B50" s="26"/>
      <c r="C50" s="26"/>
      <c r="D50" s="26"/>
      <c r="E50" s="26"/>
      <c r="F50" s="26"/>
      <c r="G50" s="26"/>
      <c r="H50" s="26"/>
      <c r="I50" s="26"/>
      <c r="J50" s="26"/>
      <c r="K50" s="26"/>
      <c r="L50" s="26"/>
      <c r="M50" s="26"/>
      <c r="N50" s="26"/>
      <c r="O50" s="26"/>
      <c r="P50" s="26"/>
      <c r="Q50" s="26"/>
      <c r="R50" s="26"/>
      <c r="S50" s="26"/>
    </row>
    <row r="51" spans="1:19" ht="15.75" customHeight="1" x14ac:dyDescent="0.25">
      <c r="A51" s="26"/>
      <c r="B51" s="26"/>
      <c r="C51" s="26"/>
      <c r="D51" s="26"/>
      <c r="E51" s="26"/>
      <c r="F51" s="26"/>
      <c r="G51" s="26"/>
      <c r="H51" s="26"/>
      <c r="I51" s="26"/>
      <c r="J51" s="26"/>
      <c r="K51" s="26"/>
      <c r="L51" s="26"/>
      <c r="M51" s="26"/>
      <c r="N51" s="26"/>
      <c r="O51" s="26"/>
      <c r="P51" s="26"/>
      <c r="Q51" s="26"/>
      <c r="R51" s="26"/>
      <c r="S51" s="26"/>
    </row>
    <row r="52" spans="1:19" ht="15.75" customHeight="1" x14ac:dyDescent="0.25">
      <c r="A52" s="26"/>
      <c r="B52" s="26"/>
      <c r="C52" s="26"/>
      <c r="D52" s="26"/>
      <c r="E52" s="26"/>
      <c r="F52" s="26"/>
      <c r="G52" s="26"/>
      <c r="H52" s="26"/>
      <c r="I52" s="26"/>
      <c r="J52" s="26"/>
      <c r="K52" s="26"/>
      <c r="L52" s="26"/>
      <c r="M52" s="26"/>
      <c r="N52" s="26"/>
      <c r="O52" s="26"/>
      <c r="P52" s="26"/>
      <c r="Q52" s="26"/>
      <c r="R52" s="26"/>
      <c r="S52" s="26"/>
    </row>
    <row r="53" spans="1:19" ht="15.75" customHeight="1" x14ac:dyDescent="0.25">
      <c r="A53" s="26"/>
      <c r="B53" s="26"/>
      <c r="C53" s="26"/>
      <c r="D53" s="26"/>
      <c r="E53" s="26"/>
      <c r="F53" s="26"/>
      <c r="G53" s="26"/>
      <c r="H53" s="26"/>
      <c r="I53" s="26"/>
      <c r="J53" s="26"/>
      <c r="K53" s="26"/>
      <c r="L53" s="26"/>
      <c r="M53" s="26"/>
      <c r="N53" s="26"/>
      <c r="O53" s="26"/>
      <c r="P53" s="26"/>
      <c r="Q53" s="26"/>
      <c r="R53" s="26"/>
      <c r="S53" s="26"/>
    </row>
    <row r="54" spans="1:19" ht="15.75" customHeight="1" x14ac:dyDescent="0.25">
      <c r="A54" s="26"/>
      <c r="B54" s="26"/>
      <c r="C54" s="26"/>
      <c r="D54" s="26"/>
      <c r="E54" s="26"/>
      <c r="F54" s="26"/>
      <c r="G54" s="26"/>
      <c r="H54" s="26"/>
      <c r="I54" s="26"/>
      <c r="J54" s="26"/>
      <c r="K54" s="26"/>
      <c r="L54" s="26"/>
      <c r="M54" s="26"/>
      <c r="N54" s="26"/>
      <c r="O54" s="26"/>
      <c r="P54" s="26"/>
      <c r="Q54" s="26"/>
      <c r="R54" s="26"/>
      <c r="S54" s="26"/>
    </row>
    <row r="55" spans="1:19" ht="15.75" customHeight="1" x14ac:dyDescent="0.25">
      <c r="A55" s="26"/>
      <c r="B55" s="26"/>
      <c r="C55" s="26"/>
      <c r="D55" s="26"/>
      <c r="E55" s="26"/>
      <c r="F55" s="26"/>
      <c r="G55" s="26"/>
      <c r="H55" s="26"/>
      <c r="I55" s="26"/>
      <c r="J55" s="26"/>
      <c r="K55" s="26"/>
      <c r="L55" s="26"/>
      <c r="M55" s="26"/>
      <c r="N55" s="26"/>
      <c r="O55" s="26"/>
      <c r="P55" s="26"/>
      <c r="Q55" s="26"/>
      <c r="R55" s="26"/>
      <c r="S55" s="26"/>
    </row>
    <row r="56" spans="1:19" ht="15.75" customHeight="1" x14ac:dyDescent="0.25">
      <c r="A56" s="26"/>
      <c r="B56" s="26"/>
      <c r="C56" s="26"/>
      <c r="D56" s="26"/>
      <c r="E56" s="26"/>
      <c r="F56" s="26"/>
      <c r="G56" s="26"/>
      <c r="H56" s="26"/>
      <c r="I56" s="26"/>
      <c r="J56" s="26"/>
      <c r="K56" s="26"/>
      <c r="L56" s="26"/>
      <c r="M56" s="26"/>
      <c r="N56" s="26"/>
      <c r="O56" s="26"/>
      <c r="P56" s="26"/>
      <c r="Q56" s="26"/>
      <c r="R56" s="26"/>
      <c r="S56" s="26"/>
    </row>
    <row r="57" spans="1:19" ht="15.75" customHeight="1" x14ac:dyDescent="0.25">
      <c r="A57" s="26"/>
      <c r="B57" s="26"/>
      <c r="C57" s="26"/>
      <c r="D57" s="26"/>
      <c r="E57" s="26"/>
      <c r="F57" s="26"/>
      <c r="G57" s="26"/>
      <c r="H57" s="26"/>
      <c r="I57" s="26"/>
      <c r="J57" s="26"/>
      <c r="K57" s="26"/>
      <c r="L57" s="26"/>
      <c r="M57" s="26"/>
      <c r="N57" s="26"/>
      <c r="O57" s="26"/>
      <c r="P57" s="26"/>
      <c r="Q57" s="26"/>
      <c r="R57" s="26"/>
      <c r="S57" s="26"/>
    </row>
    <row r="58" spans="1:19" ht="15.75" customHeight="1" x14ac:dyDescent="0.25">
      <c r="A58" s="26"/>
      <c r="B58" s="26"/>
      <c r="C58" s="26"/>
      <c r="D58" s="26"/>
      <c r="E58" s="26"/>
      <c r="F58" s="26"/>
      <c r="G58" s="26"/>
      <c r="H58" s="26"/>
      <c r="I58" s="26"/>
      <c r="J58" s="26"/>
      <c r="K58" s="26"/>
      <c r="L58" s="26"/>
      <c r="M58" s="26"/>
      <c r="N58" s="26"/>
      <c r="O58" s="26"/>
      <c r="P58" s="26"/>
      <c r="Q58" s="26"/>
      <c r="R58" s="26"/>
      <c r="S58" s="26"/>
    </row>
    <row r="59" spans="1:19" ht="15.75" customHeight="1" x14ac:dyDescent="0.25">
      <c r="A59" s="26"/>
      <c r="B59" s="26"/>
      <c r="C59" s="26"/>
      <c r="D59" s="26"/>
      <c r="E59" s="26"/>
      <c r="F59" s="26"/>
      <c r="G59" s="26"/>
      <c r="H59" s="26"/>
      <c r="I59" s="26"/>
      <c r="J59" s="26"/>
      <c r="K59" s="26"/>
      <c r="L59" s="26"/>
      <c r="M59" s="26"/>
      <c r="N59" s="26"/>
      <c r="O59" s="26"/>
      <c r="P59" s="26"/>
      <c r="Q59" s="26"/>
      <c r="R59" s="26"/>
      <c r="S59" s="26"/>
    </row>
    <row r="60" spans="1:19" ht="15.75" customHeight="1" x14ac:dyDescent="0.25">
      <c r="A60" s="26"/>
      <c r="B60" s="26"/>
      <c r="C60" s="26"/>
      <c r="D60" s="26"/>
      <c r="E60" s="26"/>
      <c r="F60" s="26"/>
      <c r="G60" s="26"/>
      <c r="H60" s="26"/>
      <c r="I60" s="26"/>
      <c r="J60" s="26"/>
      <c r="K60" s="26"/>
      <c r="L60" s="26"/>
      <c r="M60" s="26"/>
      <c r="N60" s="26"/>
      <c r="O60" s="26"/>
      <c r="P60" s="26"/>
      <c r="Q60" s="26"/>
      <c r="R60" s="26"/>
      <c r="S60" s="26"/>
    </row>
    <row r="61" spans="1:19" ht="15.75" customHeight="1" x14ac:dyDescent="0.25">
      <c r="A61" s="26"/>
      <c r="B61" s="26"/>
      <c r="C61" s="26"/>
      <c r="D61" s="26"/>
      <c r="E61" s="26"/>
      <c r="F61" s="26"/>
      <c r="G61" s="26"/>
      <c r="H61" s="26"/>
      <c r="I61" s="26"/>
      <c r="J61" s="26"/>
      <c r="K61" s="26"/>
      <c r="L61" s="26"/>
      <c r="M61" s="26"/>
      <c r="N61" s="26"/>
      <c r="O61" s="26"/>
      <c r="P61" s="26"/>
      <c r="Q61" s="26"/>
      <c r="R61" s="26"/>
      <c r="S61" s="26"/>
    </row>
    <row r="62" spans="1:19" ht="15.75" customHeight="1" x14ac:dyDescent="0.25">
      <c r="A62" s="26"/>
      <c r="B62" s="26"/>
      <c r="C62" s="26"/>
      <c r="D62" s="26"/>
      <c r="E62" s="26"/>
      <c r="F62" s="26"/>
      <c r="G62" s="26"/>
      <c r="H62" s="26"/>
      <c r="I62" s="26"/>
      <c r="J62" s="26"/>
      <c r="K62" s="26"/>
      <c r="L62" s="26"/>
      <c r="M62" s="26"/>
      <c r="N62" s="26"/>
      <c r="O62" s="26"/>
      <c r="P62" s="26"/>
      <c r="Q62" s="26"/>
      <c r="R62" s="26"/>
      <c r="S62" s="26"/>
    </row>
    <row r="63" spans="1:19" ht="15.75" customHeight="1" x14ac:dyDescent="0.25">
      <c r="A63" s="26"/>
      <c r="B63" s="26"/>
      <c r="C63" s="26"/>
      <c r="D63" s="26"/>
      <c r="E63" s="26"/>
      <c r="F63" s="26"/>
      <c r="G63" s="26"/>
      <c r="H63" s="26"/>
      <c r="I63" s="26"/>
      <c r="J63" s="26"/>
      <c r="K63" s="26"/>
      <c r="L63" s="26"/>
      <c r="M63" s="26"/>
      <c r="N63" s="26"/>
      <c r="O63" s="26"/>
      <c r="P63" s="26"/>
      <c r="Q63" s="26"/>
      <c r="R63" s="26"/>
      <c r="S63" s="26"/>
    </row>
    <row r="64" spans="1:19" ht="15.75" customHeight="1" x14ac:dyDescent="0.25">
      <c r="A64" s="26"/>
      <c r="B64" s="26"/>
      <c r="C64" s="26"/>
      <c r="D64" s="26"/>
      <c r="E64" s="26"/>
      <c r="F64" s="26"/>
      <c r="G64" s="26"/>
      <c r="H64" s="26"/>
      <c r="I64" s="26"/>
      <c r="J64" s="26"/>
      <c r="K64" s="26"/>
      <c r="L64" s="26"/>
      <c r="M64" s="26"/>
      <c r="N64" s="26"/>
      <c r="O64" s="26"/>
      <c r="P64" s="26"/>
      <c r="Q64" s="26"/>
      <c r="R64" s="26"/>
      <c r="S64" s="26"/>
    </row>
    <row r="65" spans="1:19" ht="15.75" customHeight="1" x14ac:dyDescent="0.25">
      <c r="A65" s="26"/>
      <c r="B65" s="26"/>
      <c r="C65" s="26"/>
      <c r="D65" s="26"/>
      <c r="E65" s="26"/>
      <c r="F65" s="26"/>
      <c r="G65" s="26"/>
      <c r="H65" s="26"/>
      <c r="I65" s="26"/>
      <c r="J65" s="26"/>
      <c r="K65" s="26"/>
      <c r="L65" s="26"/>
      <c r="M65" s="26"/>
      <c r="N65" s="26"/>
      <c r="O65" s="26"/>
      <c r="P65" s="26"/>
      <c r="Q65" s="26"/>
      <c r="R65" s="26"/>
      <c r="S65" s="26"/>
    </row>
    <row r="66" spans="1:19" ht="15.75" customHeight="1" x14ac:dyDescent="0.25">
      <c r="A66" s="26"/>
      <c r="B66" s="26"/>
      <c r="C66" s="26"/>
      <c r="D66" s="26"/>
      <c r="E66" s="26"/>
      <c r="F66" s="26"/>
      <c r="G66" s="26"/>
      <c r="H66" s="26"/>
      <c r="I66" s="26"/>
      <c r="J66" s="26"/>
      <c r="K66" s="26"/>
      <c r="L66" s="26"/>
      <c r="M66" s="26"/>
      <c r="N66" s="26"/>
      <c r="O66" s="26"/>
      <c r="P66" s="26"/>
      <c r="Q66" s="26"/>
      <c r="R66" s="26"/>
      <c r="S66" s="26"/>
    </row>
    <row r="67" spans="1:19" ht="15.75" customHeight="1" x14ac:dyDescent="0.25">
      <c r="A67" s="26"/>
      <c r="B67" s="26"/>
      <c r="C67" s="26"/>
      <c r="D67" s="26"/>
      <c r="E67" s="26"/>
      <c r="F67" s="26"/>
      <c r="G67" s="26"/>
      <c r="H67" s="26"/>
      <c r="I67" s="26"/>
      <c r="J67" s="26"/>
      <c r="K67" s="26"/>
      <c r="L67" s="26"/>
      <c r="M67" s="26"/>
      <c r="N67" s="26"/>
      <c r="O67" s="26"/>
      <c r="P67" s="26"/>
      <c r="Q67" s="26"/>
      <c r="R67" s="26"/>
      <c r="S67" s="26"/>
    </row>
    <row r="68" spans="1:19" ht="15.75" customHeight="1" x14ac:dyDescent="0.25">
      <c r="A68" s="26"/>
      <c r="B68" s="26"/>
      <c r="C68" s="26"/>
      <c r="D68" s="26"/>
      <c r="E68" s="26"/>
      <c r="F68" s="26"/>
      <c r="G68" s="26"/>
      <c r="H68" s="26"/>
      <c r="I68" s="26"/>
      <c r="J68" s="26"/>
      <c r="K68" s="26"/>
      <c r="L68" s="26"/>
      <c r="M68" s="26"/>
      <c r="N68" s="26"/>
      <c r="O68" s="26"/>
      <c r="P68" s="26"/>
      <c r="Q68" s="26"/>
      <c r="R68" s="26"/>
      <c r="S68" s="26"/>
    </row>
    <row r="69" spans="1:19" ht="15.75" customHeight="1" x14ac:dyDescent="0.25">
      <c r="A69" s="26"/>
      <c r="B69" s="26"/>
      <c r="C69" s="26"/>
      <c r="D69" s="26"/>
      <c r="E69" s="26"/>
      <c r="F69" s="26"/>
      <c r="G69" s="26"/>
      <c r="H69" s="26"/>
      <c r="I69" s="26"/>
      <c r="J69" s="26"/>
      <c r="K69" s="26"/>
      <c r="L69" s="26"/>
      <c r="M69" s="26"/>
      <c r="N69" s="26"/>
      <c r="O69" s="26"/>
      <c r="P69" s="26"/>
      <c r="Q69" s="26"/>
      <c r="R69" s="26"/>
      <c r="S69" s="26"/>
    </row>
    <row r="70" spans="1:19" ht="15.75" customHeight="1" x14ac:dyDescent="0.25">
      <c r="A70" s="26"/>
      <c r="B70" s="26"/>
      <c r="C70" s="26"/>
      <c r="D70" s="26"/>
      <c r="E70" s="26"/>
      <c r="F70" s="26"/>
      <c r="G70" s="26"/>
      <c r="H70" s="26"/>
      <c r="I70" s="26"/>
      <c r="J70" s="26"/>
      <c r="K70" s="26"/>
      <c r="L70" s="26"/>
      <c r="M70" s="26"/>
      <c r="N70" s="26"/>
      <c r="O70" s="26"/>
      <c r="P70" s="26"/>
      <c r="Q70" s="26"/>
      <c r="R70" s="26"/>
      <c r="S70" s="26"/>
    </row>
    <row r="71" spans="1:19" ht="15.75" customHeight="1" x14ac:dyDescent="0.25">
      <c r="A71" s="26"/>
      <c r="B71" s="26"/>
      <c r="C71" s="26"/>
      <c r="D71" s="26"/>
      <c r="E71" s="26"/>
      <c r="F71" s="26"/>
      <c r="G71" s="26"/>
      <c r="H71" s="26"/>
      <c r="I71" s="26"/>
      <c r="J71" s="26"/>
      <c r="K71" s="26"/>
      <c r="L71" s="26"/>
      <c r="M71" s="26"/>
      <c r="N71" s="26"/>
      <c r="O71" s="26"/>
      <c r="P71" s="26"/>
      <c r="Q71" s="26"/>
      <c r="R71" s="26"/>
      <c r="S71" s="26"/>
    </row>
    <row r="72" spans="1:19" ht="15.75" customHeight="1" x14ac:dyDescent="0.25">
      <c r="A72" s="26"/>
      <c r="B72" s="26"/>
      <c r="C72" s="26"/>
      <c r="D72" s="26"/>
      <c r="E72" s="26"/>
      <c r="F72" s="26"/>
      <c r="G72" s="26"/>
      <c r="H72" s="26"/>
      <c r="I72" s="26"/>
      <c r="J72" s="26"/>
      <c r="K72" s="26"/>
      <c r="L72" s="26"/>
      <c r="M72" s="26"/>
      <c r="N72" s="26"/>
      <c r="O72" s="26"/>
      <c r="P72" s="26"/>
      <c r="Q72" s="26"/>
      <c r="R72" s="26"/>
      <c r="S72" s="26"/>
    </row>
    <row r="73" spans="1:19" ht="15.75" customHeight="1" x14ac:dyDescent="0.25">
      <c r="A73" s="26"/>
      <c r="B73" s="26"/>
      <c r="C73" s="26"/>
      <c r="D73" s="26"/>
      <c r="E73" s="26"/>
      <c r="F73" s="26"/>
      <c r="G73" s="26"/>
      <c r="H73" s="26"/>
      <c r="I73" s="26"/>
      <c r="J73" s="26"/>
      <c r="K73" s="26"/>
      <c r="L73" s="26"/>
      <c r="M73" s="26"/>
      <c r="N73" s="26"/>
      <c r="O73" s="26"/>
      <c r="P73" s="26"/>
      <c r="Q73" s="26"/>
      <c r="R73" s="26"/>
      <c r="S73" s="26"/>
    </row>
    <row r="74" spans="1:19" ht="15.75" customHeight="1" x14ac:dyDescent="0.25">
      <c r="A74" s="26"/>
      <c r="B74" s="26"/>
      <c r="C74" s="26"/>
      <c r="D74" s="26"/>
      <c r="E74" s="26"/>
      <c r="F74" s="26"/>
      <c r="G74" s="26"/>
      <c r="H74" s="26"/>
      <c r="I74" s="26"/>
      <c r="J74" s="26"/>
      <c r="K74" s="26"/>
      <c r="L74" s="26"/>
      <c r="M74" s="26"/>
      <c r="N74" s="26"/>
      <c r="O74" s="26"/>
      <c r="P74" s="26"/>
      <c r="Q74" s="26"/>
      <c r="R74" s="26"/>
      <c r="S74" s="26"/>
    </row>
    <row r="75" spans="1:19" ht="15.75" customHeight="1" x14ac:dyDescent="0.25">
      <c r="A75" s="26"/>
      <c r="B75" s="26"/>
      <c r="C75" s="26"/>
      <c r="D75" s="26"/>
      <c r="E75" s="26"/>
      <c r="F75" s="26"/>
      <c r="G75" s="26"/>
      <c r="H75" s="26"/>
      <c r="I75" s="26"/>
      <c r="J75" s="26"/>
      <c r="K75" s="26"/>
      <c r="L75" s="26"/>
      <c r="M75" s="26"/>
      <c r="N75" s="26"/>
      <c r="O75" s="26"/>
      <c r="P75" s="26"/>
      <c r="Q75" s="26"/>
      <c r="R75" s="26"/>
      <c r="S75" s="26"/>
    </row>
    <row r="76" spans="1:19" ht="15.75" customHeight="1" x14ac:dyDescent="0.25">
      <c r="A76" s="26"/>
      <c r="B76" s="26"/>
      <c r="C76" s="26"/>
      <c r="D76" s="26"/>
      <c r="E76" s="26"/>
      <c r="F76" s="26"/>
      <c r="G76" s="26"/>
      <c r="H76" s="26"/>
      <c r="I76" s="26"/>
      <c r="J76" s="26"/>
      <c r="K76" s="26"/>
      <c r="L76" s="26"/>
      <c r="M76" s="26"/>
      <c r="N76" s="26"/>
      <c r="O76" s="26"/>
      <c r="P76" s="26"/>
      <c r="Q76" s="26"/>
      <c r="R76" s="26"/>
      <c r="S76" s="26"/>
    </row>
    <row r="77" spans="1:19" ht="15.75" customHeight="1" x14ac:dyDescent="0.25">
      <c r="A77" s="26"/>
      <c r="B77" s="26"/>
      <c r="C77" s="26"/>
      <c r="D77" s="26"/>
      <c r="E77" s="26"/>
      <c r="F77" s="26"/>
      <c r="G77" s="26"/>
      <c r="H77" s="26"/>
      <c r="I77" s="26"/>
      <c r="J77" s="26"/>
      <c r="K77" s="26"/>
      <c r="L77" s="26"/>
      <c r="M77" s="26"/>
      <c r="N77" s="26"/>
      <c r="O77" s="26"/>
      <c r="P77" s="26"/>
      <c r="Q77" s="26"/>
      <c r="R77" s="26"/>
      <c r="S77" s="26"/>
    </row>
    <row r="78" spans="1:19" ht="15.75" customHeight="1" x14ac:dyDescent="0.25">
      <c r="A78" s="26"/>
      <c r="B78" s="26"/>
      <c r="C78" s="26"/>
      <c r="D78" s="26"/>
      <c r="E78" s="26"/>
      <c r="F78" s="26"/>
      <c r="G78" s="26"/>
      <c r="H78" s="26"/>
      <c r="I78" s="26"/>
      <c r="J78" s="26"/>
      <c r="K78" s="26"/>
      <c r="L78" s="26"/>
      <c r="M78" s="26"/>
      <c r="N78" s="26"/>
      <c r="O78" s="26"/>
      <c r="P78" s="26"/>
      <c r="Q78" s="26"/>
      <c r="R78" s="26"/>
      <c r="S78" s="26"/>
    </row>
    <row r="79" spans="1:19" ht="15.75" customHeight="1" x14ac:dyDescent="0.25">
      <c r="A79" s="26"/>
      <c r="B79" s="26"/>
      <c r="C79" s="26"/>
      <c r="D79" s="26"/>
      <c r="E79" s="26"/>
      <c r="F79" s="26"/>
      <c r="G79" s="26"/>
      <c r="H79" s="26"/>
      <c r="I79" s="26"/>
      <c r="J79" s="26"/>
      <c r="K79" s="26"/>
      <c r="L79" s="26"/>
      <c r="M79" s="26"/>
      <c r="N79" s="26"/>
      <c r="O79" s="26"/>
      <c r="P79" s="26"/>
      <c r="Q79" s="26"/>
      <c r="R79" s="26"/>
      <c r="S79" s="26"/>
    </row>
    <row r="80" spans="1:19" ht="15.75" customHeight="1" x14ac:dyDescent="0.25">
      <c r="A80" s="26"/>
      <c r="B80" s="26"/>
      <c r="C80" s="26"/>
      <c r="D80" s="26"/>
      <c r="E80" s="26"/>
      <c r="F80" s="26"/>
      <c r="G80" s="26"/>
      <c r="H80" s="26"/>
      <c r="I80" s="26"/>
      <c r="J80" s="26"/>
      <c r="K80" s="26"/>
      <c r="L80" s="26"/>
      <c r="M80" s="26"/>
      <c r="N80" s="26"/>
      <c r="O80" s="26"/>
      <c r="P80" s="26"/>
      <c r="Q80" s="26"/>
      <c r="R80" s="26"/>
      <c r="S80" s="26"/>
    </row>
    <row r="81" spans="1:19" ht="15.75" customHeight="1" x14ac:dyDescent="0.25">
      <c r="A81" s="26"/>
      <c r="B81" s="26"/>
      <c r="C81" s="26"/>
      <c r="D81" s="26"/>
      <c r="E81" s="26"/>
      <c r="F81" s="26"/>
      <c r="G81" s="26"/>
      <c r="H81" s="26"/>
      <c r="I81" s="26"/>
      <c r="J81" s="26"/>
      <c r="K81" s="26"/>
      <c r="L81" s="26"/>
      <c r="M81" s="26"/>
      <c r="N81" s="26"/>
      <c r="O81" s="26"/>
      <c r="P81" s="26"/>
      <c r="Q81" s="26"/>
      <c r="R81" s="26"/>
      <c r="S81" s="26"/>
    </row>
    <row r="82" spans="1:19" ht="15.75" customHeight="1" x14ac:dyDescent="0.25">
      <c r="A82" s="26"/>
      <c r="B82" s="26"/>
      <c r="C82" s="26"/>
      <c r="D82" s="26"/>
      <c r="E82" s="26"/>
      <c r="F82" s="26"/>
      <c r="G82" s="26"/>
      <c r="H82" s="26"/>
      <c r="I82" s="26"/>
      <c r="J82" s="26"/>
      <c r="K82" s="26"/>
      <c r="L82" s="26"/>
      <c r="M82" s="26"/>
      <c r="N82" s="26"/>
      <c r="O82" s="26"/>
      <c r="P82" s="26"/>
      <c r="Q82" s="26"/>
      <c r="R82" s="26"/>
      <c r="S82" s="26"/>
    </row>
    <row r="83" spans="1:19" ht="15.75" customHeight="1" x14ac:dyDescent="0.25">
      <c r="A83" s="26"/>
      <c r="B83" s="26"/>
      <c r="C83" s="26"/>
      <c r="D83" s="26"/>
      <c r="E83" s="26"/>
      <c r="F83" s="26"/>
      <c r="G83" s="26"/>
      <c r="H83" s="26"/>
      <c r="I83" s="26"/>
      <c r="J83" s="26"/>
      <c r="K83" s="26"/>
      <c r="L83" s="26"/>
      <c r="M83" s="26"/>
      <c r="N83" s="26"/>
      <c r="O83" s="26"/>
      <c r="P83" s="26"/>
      <c r="Q83" s="26"/>
      <c r="R83" s="26"/>
      <c r="S83" s="26"/>
    </row>
    <row r="84" spans="1:19" ht="15.75" customHeight="1" x14ac:dyDescent="0.25">
      <c r="A84" s="26"/>
      <c r="B84" s="26"/>
      <c r="C84" s="26"/>
      <c r="D84" s="26"/>
      <c r="E84" s="26"/>
      <c r="F84" s="26"/>
      <c r="G84" s="26"/>
      <c r="H84" s="26"/>
      <c r="I84" s="26"/>
      <c r="J84" s="26"/>
      <c r="K84" s="26"/>
      <c r="L84" s="26"/>
      <c r="M84" s="26"/>
      <c r="N84" s="26"/>
      <c r="O84" s="26"/>
      <c r="P84" s="26"/>
      <c r="Q84" s="26"/>
      <c r="R84" s="26"/>
      <c r="S84" s="26"/>
    </row>
    <row r="85" spans="1:19" ht="15.75" customHeight="1" x14ac:dyDescent="0.25">
      <c r="A85" s="26"/>
      <c r="B85" s="26"/>
      <c r="C85" s="26"/>
      <c r="D85" s="26"/>
      <c r="E85" s="26"/>
      <c r="F85" s="26"/>
      <c r="G85" s="26"/>
      <c r="H85" s="26"/>
      <c r="I85" s="26"/>
      <c r="J85" s="26"/>
      <c r="K85" s="26"/>
      <c r="L85" s="26"/>
      <c r="M85" s="26"/>
      <c r="N85" s="26"/>
      <c r="O85" s="26"/>
      <c r="P85" s="26"/>
      <c r="Q85" s="26"/>
      <c r="R85" s="26"/>
      <c r="S85" s="26"/>
    </row>
    <row r="86" spans="1:19" ht="15.75" customHeight="1" x14ac:dyDescent="0.25">
      <c r="A86" s="26"/>
      <c r="B86" s="26"/>
      <c r="C86" s="26"/>
      <c r="D86" s="26"/>
      <c r="E86" s="26"/>
      <c r="F86" s="26"/>
      <c r="G86" s="26"/>
      <c r="H86" s="26"/>
      <c r="I86" s="26"/>
      <c r="J86" s="26"/>
      <c r="K86" s="26"/>
      <c r="L86" s="26"/>
      <c r="M86" s="26"/>
      <c r="N86" s="26"/>
      <c r="O86" s="26"/>
      <c r="P86" s="26"/>
      <c r="Q86" s="26"/>
      <c r="R86" s="26"/>
      <c r="S86" s="26"/>
    </row>
    <row r="87" spans="1:19" ht="15.75" customHeight="1" x14ac:dyDescent="0.25">
      <c r="A87" s="26"/>
      <c r="B87" s="26"/>
      <c r="C87" s="26"/>
      <c r="D87" s="26"/>
      <c r="E87" s="26"/>
      <c r="F87" s="26"/>
      <c r="G87" s="26"/>
      <c r="H87" s="26"/>
      <c r="I87" s="26"/>
      <c r="J87" s="26"/>
      <c r="K87" s="26"/>
      <c r="L87" s="26"/>
      <c r="M87" s="26"/>
      <c r="N87" s="26"/>
      <c r="O87" s="26"/>
      <c r="P87" s="26"/>
      <c r="Q87" s="26"/>
      <c r="R87" s="26"/>
      <c r="S87" s="26"/>
    </row>
    <row r="88" spans="1:19" ht="15.75" customHeight="1" x14ac:dyDescent="0.25">
      <c r="A88" s="26"/>
      <c r="B88" s="26"/>
      <c r="C88" s="26"/>
      <c r="D88" s="26"/>
      <c r="E88" s="26"/>
      <c r="F88" s="26"/>
      <c r="G88" s="26"/>
      <c r="H88" s="26"/>
      <c r="I88" s="26"/>
      <c r="J88" s="26"/>
      <c r="K88" s="26"/>
      <c r="L88" s="26"/>
      <c r="M88" s="26"/>
      <c r="N88" s="26"/>
      <c r="O88" s="26"/>
      <c r="P88" s="26"/>
      <c r="Q88" s="26"/>
      <c r="R88" s="26"/>
      <c r="S88" s="26"/>
    </row>
    <row r="89" spans="1:19" ht="15.75" customHeight="1" x14ac:dyDescent="0.25">
      <c r="A89" s="26"/>
      <c r="B89" s="26"/>
      <c r="C89" s="26"/>
      <c r="D89" s="26"/>
      <c r="E89" s="26"/>
      <c r="F89" s="26"/>
      <c r="G89" s="26"/>
      <c r="H89" s="26"/>
      <c r="I89" s="26"/>
      <c r="J89" s="26"/>
      <c r="K89" s="26"/>
      <c r="L89" s="26"/>
      <c r="M89" s="26"/>
      <c r="N89" s="26"/>
      <c r="O89" s="26"/>
      <c r="P89" s="26"/>
      <c r="Q89" s="26"/>
      <c r="R89" s="26"/>
      <c r="S89" s="26"/>
    </row>
    <row r="90" spans="1:19" ht="15.75" customHeight="1" x14ac:dyDescent="0.25">
      <c r="A90" s="26"/>
      <c r="B90" s="26"/>
      <c r="C90" s="26"/>
      <c r="D90" s="26"/>
      <c r="E90" s="26"/>
      <c r="F90" s="26"/>
      <c r="G90" s="26"/>
      <c r="H90" s="26"/>
      <c r="I90" s="26"/>
      <c r="J90" s="26"/>
      <c r="K90" s="26"/>
      <c r="L90" s="26"/>
      <c r="M90" s="26"/>
      <c r="N90" s="26"/>
      <c r="O90" s="26"/>
      <c r="P90" s="26"/>
      <c r="Q90" s="26"/>
      <c r="R90" s="26"/>
      <c r="S90" s="26"/>
    </row>
    <row r="91" spans="1:19" ht="15.75" customHeight="1" x14ac:dyDescent="0.25">
      <c r="A91" s="26"/>
      <c r="B91" s="26"/>
      <c r="C91" s="26"/>
      <c r="D91" s="26"/>
      <c r="E91" s="26"/>
      <c r="F91" s="26"/>
      <c r="G91" s="26"/>
      <c r="H91" s="26"/>
      <c r="I91" s="26"/>
      <c r="J91" s="26"/>
      <c r="K91" s="26"/>
      <c r="L91" s="26"/>
      <c r="M91" s="26"/>
      <c r="N91" s="26"/>
      <c r="O91" s="26"/>
      <c r="P91" s="26"/>
      <c r="Q91" s="26"/>
      <c r="R91" s="26"/>
      <c r="S91" s="26"/>
    </row>
    <row r="92" spans="1:19" ht="15.75" customHeight="1" x14ac:dyDescent="0.25">
      <c r="A92" s="26"/>
      <c r="B92" s="26"/>
      <c r="C92" s="26"/>
      <c r="D92" s="26"/>
      <c r="E92" s="26"/>
      <c r="F92" s="26"/>
      <c r="G92" s="26"/>
      <c r="H92" s="26"/>
      <c r="I92" s="26"/>
      <c r="J92" s="26"/>
      <c r="K92" s="26"/>
      <c r="L92" s="26"/>
      <c r="M92" s="26"/>
      <c r="N92" s="26"/>
      <c r="O92" s="26"/>
      <c r="P92" s="26"/>
      <c r="Q92" s="26"/>
      <c r="R92" s="26"/>
      <c r="S92" s="26"/>
    </row>
    <row r="93" spans="1:19" ht="15.75" customHeight="1" x14ac:dyDescent="0.25">
      <c r="A93" s="26"/>
      <c r="B93" s="26"/>
      <c r="C93" s="26"/>
      <c r="D93" s="26"/>
      <c r="E93" s="26"/>
      <c r="F93" s="26"/>
      <c r="G93" s="26"/>
      <c r="H93" s="26"/>
      <c r="I93" s="26"/>
      <c r="J93" s="26"/>
      <c r="K93" s="26"/>
      <c r="L93" s="26"/>
      <c r="M93" s="26"/>
      <c r="N93" s="26"/>
      <c r="O93" s="26"/>
      <c r="P93" s="26"/>
      <c r="Q93" s="26"/>
      <c r="R93" s="26"/>
      <c r="S93" s="26"/>
    </row>
    <row r="94" spans="1:19" ht="15.75" customHeight="1" x14ac:dyDescent="0.25">
      <c r="A94" s="26"/>
      <c r="B94" s="26"/>
      <c r="C94" s="26"/>
      <c r="D94" s="26"/>
      <c r="E94" s="26"/>
      <c r="F94" s="26"/>
      <c r="G94" s="26"/>
      <c r="H94" s="26"/>
      <c r="I94" s="26"/>
      <c r="J94" s="26"/>
      <c r="K94" s="26"/>
      <c r="L94" s="26"/>
      <c r="M94" s="26"/>
      <c r="N94" s="26"/>
      <c r="O94" s="26"/>
      <c r="P94" s="26"/>
      <c r="Q94" s="26"/>
      <c r="R94" s="26"/>
      <c r="S94" s="26"/>
    </row>
    <row r="95" spans="1:19" ht="15.75" customHeight="1" x14ac:dyDescent="0.25">
      <c r="A95" s="26"/>
      <c r="B95" s="26"/>
      <c r="C95" s="26"/>
      <c r="D95" s="26"/>
      <c r="E95" s="26"/>
      <c r="F95" s="26"/>
      <c r="G95" s="26"/>
      <c r="H95" s="26"/>
      <c r="I95" s="26"/>
      <c r="J95" s="26"/>
      <c r="K95" s="26"/>
      <c r="L95" s="26"/>
      <c r="M95" s="26"/>
      <c r="N95" s="26"/>
      <c r="O95" s="26"/>
      <c r="P95" s="26"/>
      <c r="Q95" s="26"/>
      <c r="R95" s="26"/>
      <c r="S95" s="26"/>
    </row>
    <row r="96" spans="1:19" ht="15.75" customHeight="1" x14ac:dyDescent="0.25">
      <c r="A96" s="26"/>
      <c r="B96" s="26"/>
      <c r="C96" s="26"/>
      <c r="D96" s="26"/>
      <c r="E96" s="26"/>
      <c r="F96" s="26"/>
      <c r="G96" s="26"/>
      <c r="H96" s="26"/>
      <c r="I96" s="26"/>
      <c r="J96" s="26"/>
      <c r="K96" s="26"/>
      <c r="L96" s="26"/>
      <c r="M96" s="26"/>
      <c r="N96" s="26"/>
      <c r="O96" s="26"/>
      <c r="P96" s="26"/>
      <c r="Q96" s="26"/>
      <c r="R96" s="26"/>
      <c r="S96" s="26"/>
    </row>
    <row r="97" spans="1:19" ht="15.75" customHeight="1" x14ac:dyDescent="0.25">
      <c r="A97" s="26"/>
      <c r="B97" s="26"/>
      <c r="C97" s="26"/>
      <c r="D97" s="26"/>
      <c r="E97" s="26"/>
      <c r="F97" s="26"/>
      <c r="G97" s="26"/>
      <c r="H97" s="26"/>
      <c r="I97" s="26"/>
      <c r="J97" s="26"/>
      <c r="K97" s="26"/>
      <c r="L97" s="26"/>
      <c r="M97" s="26"/>
      <c r="N97" s="26"/>
      <c r="O97" s="26"/>
      <c r="P97" s="26"/>
      <c r="Q97" s="26"/>
      <c r="R97" s="26"/>
      <c r="S97" s="26"/>
    </row>
    <row r="98" spans="1:19" ht="15.75" customHeight="1" x14ac:dyDescent="0.25">
      <c r="A98" s="26"/>
      <c r="B98" s="26"/>
      <c r="C98" s="26"/>
      <c r="D98" s="26"/>
      <c r="E98" s="26"/>
      <c r="F98" s="26"/>
      <c r="G98" s="26"/>
      <c r="H98" s="26"/>
      <c r="I98" s="26"/>
      <c r="J98" s="26"/>
      <c r="K98" s="26"/>
      <c r="L98" s="26"/>
      <c r="M98" s="26"/>
      <c r="N98" s="26"/>
      <c r="O98" s="26"/>
      <c r="P98" s="26"/>
      <c r="Q98" s="26"/>
      <c r="R98" s="26"/>
      <c r="S98" s="26"/>
    </row>
    <row r="99" spans="1:19" ht="15.75" customHeight="1" x14ac:dyDescent="0.25">
      <c r="A99" s="26"/>
      <c r="B99" s="26"/>
      <c r="C99" s="26"/>
      <c r="D99" s="26"/>
      <c r="E99" s="26"/>
      <c r="F99" s="26"/>
      <c r="G99" s="26"/>
      <c r="H99" s="26"/>
      <c r="I99" s="26"/>
      <c r="J99" s="26"/>
      <c r="K99" s="26"/>
      <c r="L99" s="26"/>
      <c r="M99" s="26"/>
      <c r="N99" s="26"/>
      <c r="O99" s="26"/>
      <c r="P99" s="26"/>
      <c r="Q99" s="26"/>
      <c r="R99" s="26"/>
      <c r="S99" s="26"/>
    </row>
    <row r="100" spans="1:19" ht="15.75" customHeight="1" x14ac:dyDescent="0.25">
      <c r="A100" s="26"/>
      <c r="B100" s="26"/>
      <c r="C100" s="26"/>
      <c r="D100" s="26"/>
      <c r="E100" s="26"/>
      <c r="F100" s="26"/>
      <c r="G100" s="26"/>
      <c r="H100" s="26"/>
      <c r="I100" s="26"/>
      <c r="J100" s="26"/>
      <c r="K100" s="26"/>
      <c r="L100" s="26"/>
      <c r="M100" s="26"/>
      <c r="N100" s="26"/>
      <c r="O100" s="26"/>
      <c r="P100" s="26"/>
      <c r="Q100" s="26"/>
      <c r="R100" s="26"/>
      <c r="S100" s="26"/>
    </row>
    <row r="101" spans="1:19" ht="15.75" customHeight="1" x14ac:dyDescent="0.25">
      <c r="A101" s="26"/>
      <c r="B101" s="26"/>
      <c r="C101" s="26"/>
      <c r="D101" s="26"/>
      <c r="E101" s="26"/>
      <c r="F101" s="26"/>
      <c r="G101" s="26"/>
      <c r="H101" s="26"/>
      <c r="I101" s="26"/>
      <c r="J101" s="26"/>
      <c r="K101" s="26"/>
      <c r="L101" s="26"/>
      <c r="M101" s="26"/>
      <c r="N101" s="26"/>
      <c r="O101" s="26"/>
      <c r="P101" s="26"/>
      <c r="Q101" s="26"/>
      <c r="R101" s="26"/>
      <c r="S101" s="26"/>
    </row>
    <row r="102" spans="1:19" ht="15.75" customHeight="1" x14ac:dyDescent="0.25">
      <c r="A102" s="26"/>
      <c r="B102" s="26"/>
      <c r="C102" s="26"/>
      <c r="D102" s="26"/>
      <c r="E102" s="26"/>
      <c r="F102" s="26"/>
      <c r="G102" s="26"/>
      <c r="H102" s="26"/>
      <c r="I102" s="26"/>
      <c r="J102" s="26"/>
      <c r="K102" s="26"/>
      <c r="L102" s="26"/>
      <c r="M102" s="26"/>
      <c r="N102" s="26"/>
      <c r="O102" s="26"/>
      <c r="P102" s="26"/>
      <c r="Q102" s="26"/>
      <c r="R102" s="26"/>
      <c r="S102" s="26"/>
    </row>
    <row r="103" spans="1:19" ht="15.75" customHeight="1" x14ac:dyDescent="0.25">
      <c r="A103" s="26"/>
      <c r="B103" s="26"/>
      <c r="C103" s="26"/>
      <c r="D103" s="26"/>
      <c r="E103" s="26"/>
      <c r="F103" s="26"/>
      <c r="G103" s="26"/>
      <c r="H103" s="26"/>
      <c r="I103" s="26"/>
      <c r="J103" s="26"/>
      <c r="K103" s="26"/>
      <c r="L103" s="26"/>
      <c r="M103" s="26"/>
      <c r="N103" s="26"/>
      <c r="O103" s="26"/>
      <c r="P103" s="26"/>
      <c r="Q103" s="26"/>
      <c r="R103" s="26"/>
      <c r="S103" s="26"/>
    </row>
    <row r="104" spans="1:19" ht="15.75" customHeight="1" x14ac:dyDescent="0.25">
      <c r="A104" s="26"/>
      <c r="B104" s="26"/>
      <c r="C104" s="26"/>
      <c r="D104" s="26"/>
      <c r="E104" s="26"/>
      <c r="F104" s="26"/>
      <c r="G104" s="26"/>
      <c r="H104" s="26"/>
      <c r="I104" s="26"/>
      <c r="J104" s="26"/>
      <c r="K104" s="26"/>
      <c r="L104" s="26"/>
      <c r="M104" s="26"/>
      <c r="N104" s="26"/>
      <c r="O104" s="26"/>
      <c r="P104" s="26"/>
      <c r="Q104" s="26"/>
      <c r="R104" s="26"/>
      <c r="S104" s="26"/>
    </row>
    <row r="105" spans="1:19" ht="15.75" customHeight="1" x14ac:dyDescent="0.25">
      <c r="A105" s="26"/>
      <c r="B105" s="26"/>
      <c r="C105" s="26"/>
      <c r="D105" s="26"/>
      <c r="E105" s="26"/>
      <c r="F105" s="26"/>
      <c r="G105" s="26"/>
      <c r="H105" s="26"/>
      <c r="I105" s="26"/>
      <c r="J105" s="26"/>
      <c r="K105" s="26"/>
      <c r="L105" s="26"/>
      <c r="M105" s="26"/>
      <c r="N105" s="26"/>
      <c r="O105" s="26"/>
      <c r="P105" s="26"/>
      <c r="Q105" s="26"/>
      <c r="R105" s="26"/>
      <c r="S105" s="26"/>
    </row>
    <row r="106" spans="1:19" ht="15.75" customHeight="1" x14ac:dyDescent="0.25">
      <c r="A106" s="26"/>
      <c r="B106" s="26"/>
      <c r="C106" s="26"/>
      <c r="D106" s="26"/>
      <c r="E106" s="26"/>
      <c r="F106" s="26"/>
      <c r="G106" s="26"/>
      <c r="H106" s="26"/>
      <c r="I106" s="26"/>
      <c r="J106" s="26"/>
      <c r="K106" s="26"/>
      <c r="L106" s="26"/>
      <c r="M106" s="26"/>
      <c r="N106" s="26"/>
      <c r="O106" s="26"/>
      <c r="P106" s="26"/>
      <c r="Q106" s="26"/>
      <c r="R106" s="26"/>
      <c r="S106" s="26"/>
    </row>
    <row r="107" spans="1:19" ht="15.75" customHeight="1" x14ac:dyDescent="0.25">
      <c r="A107" s="26"/>
      <c r="B107" s="26"/>
      <c r="C107" s="26"/>
      <c r="D107" s="26"/>
      <c r="E107" s="26"/>
      <c r="F107" s="26"/>
      <c r="G107" s="26"/>
      <c r="H107" s="26"/>
      <c r="I107" s="26"/>
      <c r="J107" s="26"/>
      <c r="K107" s="26"/>
      <c r="L107" s="26"/>
      <c r="M107" s="26"/>
      <c r="N107" s="26"/>
      <c r="O107" s="26"/>
      <c r="P107" s="26"/>
      <c r="Q107" s="26"/>
      <c r="R107" s="26"/>
      <c r="S107" s="26"/>
    </row>
    <row r="108" spans="1:19" ht="15.75" customHeight="1" x14ac:dyDescent="0.25">
      <c r="A108" s="26"/>
      <c r="B108" s="26"/>
      <c r="C108" s="26"/>
      <c r="D108" s="26"/>
      <c r="E108" s="26"/>
      <c r="F108" s="26"/>
      <c r="G108" s="26"/>
      <c r="H108" s="26"/>
      <c r="I108" s="26"/>
      <c r="J108" s="26"/>
      <c r="K108" s="26"/>
      <c r="L108" s="26"/>
      <c r="M108" s="26"/>
      <c r="N108" s="26"/>
      <c r="O108" s="26"/>
      <c r="P108" s="26"/>
      <c r="Q108" s="26"/>
      <c r="R108" s="26"/>
      <c r="S108" s="26"/>
    </row>
    <row r="109" spans="1:19" ht="15.75" customHeight="1" x14ac:dyDescent="0.25">
      <c r="A109" s="26"/>
      <c r="B109" s="26"/>
      <c r="C109" s="26"/>
      <c r="D109" s="26"/>
      <c r="E109" s="26"/>
      <c r="F109" s="26"/>
      <c r="G109" s="26"/>
      <c r="H109" s="26"/>
      <c r="I109" s="26"/>
      <c r="J109" s="26"/>
      <c r="K109" s="26"/>
      <c r="L109" s="26"/>
      <c r="M109" s="26"/>
      <c r="N109" s="26"/>
      <c r="O109" s="26"/>
      <c r="P109" s="26"/>
      <c r="Q109" s="26"/>
      <c r="R109" s="26"/>
      <c r="S109" s="26"/>
    </row>
    <row r="110" spans="1:19" ht="15.75" customHeight="1" x14ac:dyDescent="0.25">
      <c r="A110" s="26"/>
      <c r="B110" s="26"/>
      <c r="C110" s="26"/>
      <c r="D110" s="26"/>
      <c r="E110" s="26"/>
      <c r="F110" s="26"/>
      <c r="G110" s="26"/>
      <c r="H110" s="26"/>
      <c r="I110" s="26"/>
      <c r="J110" s="26"/>
      <c r="K110" s="26"/>
      <c r="L110" s="26"/>
      <c r="M110" s="26"/>
      <c r="N110" s="26"/>
      <c r="O110" s="26"/>
      <c r="P110" s="26"/>
      <c r="Q110" s="26"/>
      <c r="R110" s="26"/>
      <c r="S110" s="26"/>
    </row>
    <row r="111" spans="1:19" ht="15.75" customHeight="1" x14ac:dyDescent="0.25">
      <c r="A111" s="26"/>
      <c r="B111" s="26"/>
      <c r="C111" s="26"/>
      <c r="D111" s="26"/>
      <c r="E111" s="26"/>
      <c r="F111" s="26"/>
      <c r="G111" s="26"/>
      <c r="H111" s="26"/>
      <c r="I111" s="26"/>
      <c r="J111" s="26"/>
      <c r="K111" s="26"/>
      <c r="L111" s="26"/>
      <c r="M111" s="26"/>
      <c r="N111" s="26"/>
      <c r="O111" s="26"/>
      <c r="P111" s="26"/>
      <c r="Q111" s="26"/>
      <c r="R111" s="26"/>
      <c r="S111" s="26"/>
    </row>
    <row r="112" spans="1:19" ht="15.75" customHeight="1" x14ac:dyDescent="0.25">
      <c r="A112" s="26"/>
      <c r="B112" s="26"/>
      <c r="C112" s="26"/>
      <c r="D112" s="26"/>
      <c r="E112" s="26"/>
      <c r="F112" s="26"/>
      <c r="G112" s="26"/>
      <c r="H112" s="26"/>
      <c r="I112" s="26"/>
      <c r="J112" s="26"/>
      <c r="K112" s="26"/>
      <c r="L112" s="26"/>
      <c r="M112" s="26"/>
      <c r="N112" s="26"/>
      <c r="O112" s="26"/>
      <c r="P112" s="26"/>
      <c r="Q112" s="26"/>
      <c r="R112" s="26"/>
      <c r="S112" s="26"/>
    </row>
    <row r="113" spans="1:19" ht="15.75" customHeight="1" x14ac:dyDescent="0.25">
      <c r="A113" s="26"/>
      <c r="B113" s="26"/>
      <c r="C113" s="26"/>
      <c r="D113" s="26"/>
      <c r="E113" s="26"/>
      <c r="F113" s="26"/>
      <c r="G113" s="26"/>
      <c r="H113" s="26"/>
      <c r="I113" s="26"/>
      <c r="J113" s="26"/>
      <c r="K113" s="26"/>
      <c r="L113" s="26"/>
      <c r="M113" s="26"/>
      <c r="N113" s="26"/>
      <c r="O113" s="26"/>
      <c r="P113" s="26"/>
      <c r="Q113" s="26"/>
      <c r="R113" s="26"/>
      <c r="S113" s="26"/>
    </row>
    <row r="114" spans="1:19" ht="15.75" customHeight="1" x14ac:dyDescent="0.25">
      <c r="A114" s="26"/>
      <c r="B114" s="26"/>
      <c r="C114" s="26"/>
      <c r="D114" s="26"/>
      <c r="E114" s="26"/>
      <c r="F114" s="26"/>
      <c r="G114" s="26"/>
      <c r="H114" s="26"/>
      <c r="I114" s="26"/>
      <c r="J114" s="26"/>
      <c r="K114" s="26"/>
      <c r="L114" s="26"/>
      <c r="M114" s="26"/>
      <c r="N114" s="26"/>
      <c r="O114" s="26"/>
      <c r="P114" s="26"/>
      <c r="Q114" s="26"/>
      <c r="R114" s="26"/>
      <c r="S114" s="26"/>
    </row>
    <row r="115" spans="1:19" ht="15.75" customHeight="1" x14ac:dyDescent="0.25">
      <c r="A115" s="26"/>
      <c r="B115" s="26"/>
      <c r="C115" s="26"/>
      <c r="D115" s="26"/>
      <c r="E115" s="26"/>
      <c r="F115" s="26"/>
      <c r="G115" s="26"/>
      <c r="H115" s="26"/>
      <c r="I115" s="26"/>
      <c r="J115" s="26"/>
      <c r="K115" s="26"/>
      <c r="L115" s="26"/>
      <c r="M115" s="26"/>
      <c r="N115" s="26"/>
      <c r="O115" s="26"/>
      <c r="P115" s="26"/>
      <c r="Q115" s="26"/>
      <c r="R115" s="26"/>
      <c r="S115" s="26"/>
    </row>
    <row r="116" spans="1:19" ht="15.75" customHeight="1" x14ac:dyDescent="0.25">
      <c r="A116" s="26"/>
      <c r="B116" s="26"/>
      <c r="C116" s="26"/>
      <c r="D116" s="26"/>
      <c r="E116" s="26"/>
      <c r="F116" s="26"/>
      <c r="G116" s="26"/>
      <c r="H116" s="26"/>
      <c r="I116" s="26"/>
      <c r="J116" s="26"/>
      <c r="K116" s="26"/>
      <c r="L116" s="26"/>
      <c r="M116" s="26"/>
      <c r="N116" s="26"/>
      <c r="O116" s="26"/>
      <c r="P116" s="26"/>
      <c r="Q116" s="26"/>
      <c r="R116" s="26"/>
      <c r="S116" s="26"/>
    </row>
    <row r="117" spans="1:19" ht="15.75" customHeight="1" x14ac:dyDescent="0.25">
      <c r="A117" s="26"/>
      <c r="B117" s="26"/>
      <c r="C117" s="26"/>
      <c r="D117" s="26"/>
      <c r="E117" s="26"/>
      <c r="F117" s="26"/>
      <c r="G117" s="26"/>
      <c r="H117" s="26"/>
      <c r="I117" s="26"/>
      <c r="J117" s="26"/>
      <c r="K117" s="26"/>
      <c r="L117" s="26"/>
      <c r="M117" s="26"/>
      <c r="N117" s="26"/>
      <c r="O117" s="26"/>
      <c r="P117" s="26"/>
      <c r="Q117" s="26"/>
      <c r="R117" s="26"/>
      <c r="S117" s="26"/>
    </row>
    <row r="118" spans="1:19" ht="15.75" customHeight="1" x14ac:dyDescent="0.25">
      <c r="A118" s="26"/>
      <c r="B118" s="26"/>
      <c r="C118" s="26"/>
      <c r="D118" s="26"/>
      <c r="E118" s="26"/>
      <c r="F118" s="26"/>
      <c r="G118" s="26"/>
      <c r="H118" s="26"/>
      <c r="I118" s="26"/>
      <c r="J118" s="26"/>
      <c r="K118" s="26"/>
      <c r="L118" s="26"/>
      <c r="M118" s="26"/>
      <c r="N118" s="26"/>
      <c r="O118" s="26"/>
      <c r="P118" s="26"/>
      <c r="Q118" s="26"/>
      <c r="R118" s="26"/>
      <c r="S118" s="26"/>
    </row>
    <row r="119" spans="1:19" ht="15.75" customHeight="1" x14ac:dyDescent="0.25">
      <c r="A119" s="26"/>
      <c r="B119" s="26"/>
      <c r="C119" s="26"/>
      <c r="D119" s="26"/>
      <c r="E119" s="26"/>
      <c r="F119" s="26"/>
      <c r="G119" s="26"/>
      <c r="H119" s="26"/>
      <c r="I119" s="26"/>
      <c r="J119" s="26"/>
      <c r="K119" s="26"/>
      <c r="L119" s="26"/>
      <c r="M119" s="26"/>
      <c r="N119" s="26"/>
      <c r="O119" s="26"/>
      <c r="P119" s="26"/>
      <c r="Q119" s="26"/>
      <c r="R119" s="26"/>
      <c r="S119" s="26"/>
    </row>
    <row r="120" spans="1:19" ht="15.75" customHeight="1" x14ac:dyDescent="0.25">
      <c r="A120" s="26"/>
      <c r="B120" s="26"/>
      <c r="C120" s="26"/>
      <c r="D120" s="26"/>
      <c r="E120" s="26"/>
      <c r="F120" s="26"/>
      <c r="G120" s="26"/>
      <c r="H120" s="26"/>
      <c r="I120" s="26"/>
      <c r="J120" s="26"/>
      <c r="K120" s="26"/>
      <c r="L120" s="26"/>
      <c r="M120" s="26"/>
      <c r="N120" s="26"/>
      <c r="O120" s="26"/>
      <c r="P120" s="26"/>
      <c r="Q120" s="26"/>
      <c r="R120" s="26"/>
      <c r="S120" s="26"/>
    </row>
    <row r="121" spans="1:19" ht="15.75" customHeight="1" x14ac:dyDescent="0.25">
      <c r="A121" s="26"/>
      <c r="B121" s="26"/>
      <c r="C121" s="26"/>
      <c r="D121" s="26"/>
      <c r="E121" s="26"/>
      <c r="F121" s="26"/>
      <c r="G121" s="26"/>
      <c r="H121" s="26"/>
      <c r="I121" s="26"/>
      <c r="J121" s="26"/>
      <c r="K121" s="26"/>
      <c r="L121" s="26"/>
      <c r="M121" s="26"/>
      <c r="N121" s="26"/>
      <c r="O121" s="26"/>
      <c r="P121" s="26"/>
      <c r="Q121" s="26"/>
      <c r="R121" s="26"/>
      <c r="S121" s="26"/>
    </row>
    <row r="122" spans="1:19" ht="15.75" customHeight="1" x14ac:dyDescent="0.25">
      <c r="A122" s="26"/>
      <c r="B122" s="26"/>
      <c r="C122" s="26"/>
      <c r="D122" s="26"/>
      <c r="E122" s="26"/>
      <c r="F122" s="26"/>
      <c r="G122" s="26"/>
      <c r="H122" s="26"/>
      <c r="I122" s="26"/>
      <c r="J122" s="26"/>
      <c r="K122" s="26"/>
      <c r="L122" s="26"/>
      <c r="M122" s="26"/>
      <c r="N122" s="26"/>
      <c r="O122" s="26"/>
      <c r="P122" s="26"/>
      <c r="Q122" s="26"/>
      <c r="R122" s="26"/>
      <c r="S122" s="26"/>
    </row>
    <row r="123" spans="1:19" ht="15.75" customHeight="1" x14ac:dyDescent="0.25">
      <c r="A123" s="26"/>
      <c r="B123" s="26"/>
      <c r="C123" s="26"/>
      <c r="D123" s="26"/>
      <c r="E123" s="26"/>
      <c r="F123" s="26"/>
      <c r="G123" s="26"/>
      <c r="H123" s="26"/>
      <c r="I123" s="26"/>
      <c r="J123" s="26"/>
      <c r="K123" s="26"/>
      <c r="L123" s="26"/>
      <c r="M123" s="26"/>
      <c r="N123" s="26"/>
      <c r="O123" s="26"/>
      <c r="P123" s="26"/>
      <c r="Q123" s="26"/>
      <c r="R123" s="26"/>
      <c r="S123" s="26"/>
    </row>
    <row r="124" spans="1:19" ht="15.75" customHeight="1" x14ac:dyDescent="0.25">
      <c r="A124" s="26"/>
      <c r="B124" s="26"/>
      <c r="C124" s="26"/>
      <c r="D124" s="26"/>
      <c r="E124" s="26"/>
      <c r="F124" s="26"/>
      <c r="G124" s="26"/>
      <c r="H124" s="26"/>
      <c r="I124" s="26"/>
      <c r="J124" s="26"/>
      <c r="K124" s="26"/>
      <c r="L124" s="26"/>
      <c r="M124" s="26"/>
      <c r="N124" s="26"/>
      <c r="O124" s="26"/>
      <c r="P124" s="26"/>
      <c r="Q124" s="26"/>
      <c r="R124" s="26"/>
      <c r="S124" s="26"/>
    </row>
    <row r="125" spans="1:19" ht="15.75" customHeight="1" x14ac:dyDescent="0.25">
      <c r="A125" s="26"/>
      <c r="B125" s="26"/>
      <c r="C125" s="26"/>
      <c r="D125" s="26"/>
      <c r="E125" s="26"/>
      <c r="F125" s="26"/>
      <c r="G125" s="26"/>
      <c r="H125" s="26"/>
      <c r="I125" s="26"/>
      <c r="J125" s="26"/>
      <c r="K125" s="26"/>
      <c r="L125" s="26"/>
      <c r="M125" s="26"/>
      <c r="N125" s="26"/>
      <c r="O125" s="26"/>
      <c r="P125" s="26"/>
      <c r="Q125" s="26"/>
      <c r="R125" s="26"/>
      <c r="S125" s="26"/>
    </row>
    <row r="126" spans="1:19" ht="15.75" customHeight="1" x14ac:dyDescent="0.25">
      <c r="A126" s="26"/>
      <c r="B126" s="26"/>
      <c r="C126" s="26"/>
      <c r="D126" s="26"/>
      <c r="E126" s="26"/>
      <c r="F126" s="26"/>
      <c r="G126" s="26"/>
      <c r="H126" s="26"/>
      <c r="I126" s="26"/>
      <c r="J126" s="26"/>
      <c r="K126" s="26"/>
      <c r="L126" s="26"/>
      <c r="M126" s="26"/>
      <c r="N126" s="26"/>
      <c r="O126" s="26"/>
      <c r="P126" s="26"/>
      <c r="Q126" s="26"/>
      <c r="R126" s="26"/>
      <c r="S126" s="26"/>
    </row>
    <row r="127" spans="1:19" ht="15.75" customHeight="1" x14ac:dyDescent="0.25">
      <c r="A127" s="26"/>
      <c r="B127" s="26"/>
      <c r="C127" s="26"/>
      <c r="D127" s="26"/>
      <c r="E127" s="26"/>
      <c r="F127" s="26"/>
      <c r="G127" s="26"/>
      <c r="H127" s="26"/>
      <c r="I127" s="26"/>
      <c r="J127" s="26"/>
      <c r="K127" s="26"/>
      <c r="L127" s="26"/>
      <c r="M127" s="26"/>
      <c r="N127" s="26"/>
      <c r="O127" s="26"/>
      <c r="P127" s="26"/>
      <c r="Q127" s="26"/>
      <c r="R127" s="26"/>
      <c r="S127" s="26"/>
    </row>
    <row r="128" spans="1:19" ht="15.75" customHeight="1" x14ac:dyDescent="0.25">
      <c r="A128" s="26"/>
      <c r="B128" s="26"/>
      <c r="C128" s="26"/>
      <c r="D128" s="26"/>
      <c r="E128" s="26"/>
      <c r="F128" s="26"/>
      <c r="G128" s="26"/>
      <c r="H128" s="26"/>
      <c r="I128" s="26"/>
      <c r="J128" s="26"/>
      <c r="K128" s="26"/>
      <c r="L128" s="26"/>
      <c r="M128" s="26"/>
      <c r="N128" s="26"/>
      <c r="O128" s="26"/>
      <c r="P128" s="26"/>
      <c r="Q128" s="26"/>
      <c r="R128" s="26"/>
      <c r="S128" s="26"/>
    </row>
    <row r="129" spans="1:19" ht="15.75" customHeight="1" x14ac:dyDescent="0.25">
      <c r="A129" s="26"/>
      <c r="B129" s="26"/>
      <c r="C129" s="26"/>
      <c r="D129" s="26"/>
      <c r="E129" s="26"/>
      <c r="F129" s="26"/>
      <c r="G129" s="26"/>
      <c r="H129" s="26"/>
      <c r="I129" s="26"/>
      <c r="J129" s="26"/>
      <c r="K129" s="26"/>
      <c r="L129" s="26"/>
      <c r="M129" s="26"/>
      <c r="N129" s="26"/>
      <c r="O129" s="26"/>
      <c r="P129" s="26"/>
      <c r="Q129" s="26"/>
      <c r="R129" s="26"/>
      <c r="S129" s="26"/>
    </row>
    <row r="130" spans="1:19" ht="15.75" customHeight="1" x14ac:dyDescent="0.25">
      <c r="A130" s="26"/>
      <c r="B130" s="26"/>
      <c r="C130" s="26"/>
      <c r="D130" s="26"/>
      <c r="E130" s="26"/>
      <c r="F130" s="26"/>
      <c r="G130" s="26"/>
      <c r="H130" s="26"/>
      <c r="I130" s="26"/>
      <c r="J130" s="26"/>
      <c r="K130" s="26"/>
      <c r="L130" s="26"/>
      <c r="M130" s="26"/>
      <c r="N130" s="26"/>
      <c r="O130" s="26"/>
      <c r="P130" s="26"/>
      <c r="Q130" s="26"/>
      <c r="R130" s="26"/>
      <c r="S130" s="26"/>
    </row>
    <row r="131" spans="1:19" ht="15.75" customHeight="1" x14ac:dyDescent="0.25">
      <c r="A131" s="26"/>
      <c r="B131" s="26"/>
      <c r="C131" s="26"/>
      <c r="D131" s="26"/>
      <c r="E131" s="26"/>
      <c r="F131" s="26"/>
      <c r="G131" s="26"/>
      <c r="H131" s="26"/>
      <c r="I131" s="26"/>
      <c r="J131" s="26"/>
      <c r="K131" s="26"/>
      <c r="L131" s="26"/>
      <c r="M131" s="26"/>
      <c r="N131" s="26"/>
      <c r="O131" s="26"/>
      <c r="P131" s="26"/>
      <c r="Q131" s="26"/>
      <c r="R131" s="26"/>
      <c r="S131" s="26"/>
    </row>
    <row r="132" spans="1:19" ht="15.75" customHeight="1" x14ac:dyDescent="0.25">
      <c r="A132" s="26"/>
      <c r="B132" s="26"/>
      <c r="C132" s="26"/>
      <c r="D132" s="26"/>
      <c r="E132" s="26"/>
      <c r="F132" s="26"/>
      <c r="G132" s="26"/>
      <c r="H132" s="26"/>
      <c r="I132" s="26"/>
      <c r="J132" s="26"/>
      <c r="K132" s="26"/>
      <c r="L132" s="26"/>
      <c r="M132" s="26"/>
      <c r="N132" s="26"/>
      <c r="O132" s="26"/>
      <c r="P132" s="26"/>
      <c r="Q132" s="26"/>
      <c r="R132" s="26"/>
      <c r="S132" s="26"/>
    </row>
    <row r="133" spans="1:19" ht="15.75" customHeight="1" x14ac:dyDescent="0.25">
      <c r="A133" s="26"/>
      <c r="B133" s="26"/>
      <c r="C133" s="26"/>
      <c r="D133" s="26"/>
      <c r="E133" s="26"/>
      <c r="F133" s="26"/>
      <c r="G133" s="26"/>
      <c r="H133" s="26"/>
      <c r="I133" s="26"/>
      <c r="J133" s="26"/>
      <c r="K133" s="26"/>
      <c r="L133" s="26"/>
      <c r="M133" s="26"/>
      <c r="N133" s="26"/>
      <c r="O133" s="26"/>
      <c r="P133" s="26"/>
      <c r="Q133" s="26"/>
      <c r="R133" s="26"/>
      <c r="S133" s="26"/>
    </row>
    <row r="134" spans="1:19" ht="15.75" customHeight="1" x14ac:dyDescent="0.25">
      <c r="A134" s="26"/>
      <c r="B134" s="26"/>
      <c r="C134" s="26"/>
      <c r="D134" s="26"/>
      <c r="E134" s="26"/>
      <c r="F134" s="26"/>
      <c r="G134" s="26"/>
      <c r="H134" s="26"/>
      <c r="I134" s="26"/>
      <c r="J134" s="26"/>
      <c r="K134" s="26"/>
      <c r="L134" s="26"/>
      <c r="M134" s="26"/>
      <c r="N134" s="26"/>
      <c r="O134" s="26"/>
      <c r="P134" s="26"/>
      <c r="Q134" s="26"/>
      <c r="R134" s="26"/>
      <c r="S134" s="26"/>
    </row>
    <row r="135" spans="1:19" ht="15.75" customHeight="1" x14ac:dyDescent="0.25">
      <c r="A135" s="26"/>
      <c r="B135" s="26"/>
      <c r="C135" s="26"/>
      <c r="D135" s="26"/>
      <c r="E135" s="26"/>
      <c r="F135" s="26"/>
      <c r="G135" s="26"/>
      <c r="H135" s="26"/>
      <c r="I135" s="26"/>
      <c r="J135" s="26"/>
      <c r="K135" s="26"/>
      <c r="L135" s="26"/>
      <c r="M135" s="26"/>
      <c r="N135" s="26"/>
      <c r="O135" s="26"/>
      <c r="P135" s="26"/>
      <c r="Q135" s="26"/>
      <c r="R135" s="26"/>
      <c r="S135" s="26"/>
    </row>
    <row r="136" spans="1:19" ht="15.75" customHeight="1" x14ac:dyDescent="0.25">
      <c r="A136" s="26"/>
      <c r="B136" s="26"/>
      <c r="C136" s="26"/>
      <c r="D136" s="26"/>
      <c r="E136" s="26"/>
      <c r="F136" s="26"/>
      <c r="G136" s="26"/>
      <c r="H136" s="26"/>
      <c r="I136" s="26"/>
      <c r="J136" s="26"/>
      <c r="K136" s="26"/>
      <c r="L136" s="26"/>
      <c r="M136" s="26"/>
      <c r="N136" s="26"/>
      <c r="O136" s="26"/>
      <c r="P136" s="26"/>
      <c r="Q136" s="26"/>
      <c r="R136" s="26"/>
      <c r="S136" s="26"/>
    </row>
    <row r="137" spans="1:19" ht="15.75" customHeight="1" x14ac:dyDescent="0.25">
      <c r="A137" s="26"/>
      <c r="B137" s="26"/>
      <c r="C137" s="26"/>
      <c r="D137" s="26"/>
      <c r="E137" s="26"/>
      <c r="F137" s="26"/>
      <c r="G137" s="26"/>
      <c r="H137" s="26"/>
      <c r="I137" s="26"/>
      <c r="J137" s="26"/>
      <c r="K137" s="26"/>
      <c r="L137" s="26"/>
      <c r="M137" s="26"/>
      <c r="N137" s="26"/>
      <c r="O137" s="26"/>
      <c r="P137" s="26"/>
      <c r="Q137" s="26"/>
      <c r="R137" s="26"/>
      <c r="S137" s="26"/>
    </row>
    <row r="138" spans="1:19" ht="15.75" customHeight="1" x14ac:dyDescent="0.25">
      <c r="A138" s="26"/>
      <c r="B138" s="26"/>
      <c r="C138" s="26"/>
      <c r="D138" s="26"/>
      <c r="E138" s="26"/>
      <c r="F138" s="26"/>
      <c r="G138" s="26"/>
      <c r="H138" s="26"/>
      <c r="I138" s="26"/>
      <c r="J138" s="26"/>
      <c r="K138" s="26"/>
      <c r="L138" s="26"/>
      <c r="M138" s="26"/>
      <c r="N138" s="26"/>
      <c r="O138" s="26"/>
      <c r="P138" s="26"/>
      <c r="Q138" s="26"/>
      <c r="R138" s="26"/>
      <c r="S138" s="26"/>
    </row>
    <row r="139" spans="1:19" ht="15.75" customHeight="1" x14ac:dyDescent="0.25">
      <c r="A139" s="26"/>
      <c r="B139" s="26"/>
      <c r="C139" s="26"/>
      <c r="D139" s="26"/>
      <c r="E139" s="26"/>
      <c r="F139" s="26"/>
      <c r="G139" s="26"/>
      <c r="H139" s="26"/>
      <c r="I139" s="26"/>
      <c r="J139" s="26"/>
      <c r="K139" s="26"/>
      <c r="L139" s="26"/>
      <c r="M139" s="26"/>
      <c r="N139" s="26"/>
      <c r="O139" s="26"/>
      <c r="P139" s="26"/>
      <c r="Q139" s="26"/>
      <c r="R139" s="26"/>
      <c r="S139" s="26"/>
    </row>
    <row r="140" spans="1:19" ht="15.75" customHeight="1" x14ac:dyDescent="0.25">
      <c r="A140" s="26"/>
      <c r="B140" s="26"/>
      <c r="C140" s="26"/>
      <c r="D140" s="26"/>
      <c r="E140" s="26"/>
      <c r="F140" s="26"/>
      <c r="G140" s="26"/>
      <c r="H140" s="26"/>
      <c r="I140" s="26"/>
      <c r="J140" s="26"/>
      <c r="K140" s="26"/>
      <c r="L140" s="26"/>
      <c r="M140" s="26"/>
      <c r="N140" s="26"/>
      <c r="O140" s="26"/>
      <c r="P140" s="26"/>
      <c r="Q140" s="26"/>
      <c r="R140" s="26"/>
      <c r="S140" s="26"/>
    </row>
    <row r="141" spans="1:19" ht="15.75" customHeight="1" x14ac:dyDescent="0.25">
      <c r="A141" s="26"/>
      <c r="B141" s="26"/>
      <c r="C141" s="26"/>
      <c r="D141" s="26"/>
      <c r="E141" s="26"/>
      <c r="F141" s="26"/>
      <c r="G141" s="26"/>
      <c r="H141" s="26"/>
      <c r="I141" s="26"/>
      <c r="J141" s="26"/>
      <c r="K141" s="26"/>
      <c r="L141" s="26"/>
      <c r="M141" s="26"/>
      <c r="N141" s="26"/>
      <c r="O141" s="26"/>
      <c r="P141" s="26"/>
      <c r="Q141" s="26"/>
      <c r="R141" s="26"/>
      <c r="S141" s="26"/>
    </row>
    <row r="142" spans="1:19" ht="15.75" customHeight="1" x14ac:dyDescent="0.25">
      <c r="A142" s="26"/>
      <c r="B142" s="26"/>
      <c r="C142" s="26"/>
      <c r="D142" s="26"/>
      <c r="E142" s="26"/>
      <c r="F142" s="26"/>
      <c r="G142" s="26"/>
      <c r="H142" s="26"/>
      <c r="I142" s="26"/>
      <c r="J142" s="26"/>
      <c r="K142" s="26"/>
      <c r="L142" s="26"/>
      <c r="M142" s="26"/>
      <c r="N142" s="26"/>
      <c r="O142" s="26"/>
      <c r="P142" s="26"/>
      <c r="Q142" s="26"/>
      <c r="R142" s="26"/>
      <c r="S142" s="26"/>
    </row>
    <row r="143" spans="1:19" ht="15.75" customHeight="1" x14ac:dyDescent="0.25">
      <c r="A143" s="26"/>
      <c r="B143" s="26"/>
      <c r="C143" s="26"/>
      <c r="D143" s="26"/>
      <c r="E143" s="26"/>
      <c r="F143" s="26"/>
      <c r="G143" s="26"/>
      <c r="H143" s="26"/>
      <c r="I143" s="26"/>
      <c r="J143" s="26"/>
      <c r="K143" s="26"/>
      <c r="L143" s="26"/>
      <c r="M143" s="26"/>
      <c r="N143" s="26"/>
      <c r="O143" s="26"/>
      <c r="P143" s="26"/>
      <c r="Q143" s="26"/>
      <c r="R143" s="26"/>
      <c r="S143" s="26"/>
    </row>
    <row r="144" spans="1:19" ht="15.75" customHeight="1" x14ac:dyDescent="0.25">
      <c r="A144" s="26"/>
      <c r="B144" s="26"/>
      <c r="C144" s="26"/>
      <c r="D144" s="26"/>
      <c r="E144" s="26"/>
      <c r="F144" s="26"/>
      <c r="G144" s="26"/>
      <c r="H144" s="26"/>
      <c r="I144" s="26"/>
      <c r="J144" s="26"/>
      <c r="K144" s="26"/>
      <c r="L144" s="26"/>
      <c r="M144" s="26"/>
      <c r="N144" s="26"/>
      <c r="O144" s="26"/>
      <c r="P144" s="26"/>
      <c r="Q144" s="26"/>
      <c r="R144" s="26"/>
      <c r="S144" s="26"/>
    </row>
    <row r="145" spans="1:19" ht="15.75" customHeight="1" x14ac:dyDescent="0.25">
      <c r="A145" s="26"/>
      <c r="B145" s="26"/>
      <c r="C145" s="26"/>
      <c r="D145" s="26"/>
      <c r="E145" s="26"/>
      <c r="F145" s="26"/>
      <c r="G145" s="26"/>
      <c r="H145" s="26"/>
      <c r="I145" s="26"/>
      <c r="J145" s="26"/>
      <c r="K145" s="26"/>
      <c r="L145" s="26"/>
      <c r="M145" s="26"/>
      <c r="N145" s="26"/>
      <c r="O145" s="26"/>
      <c r="P145" s="26"/>
      <c r="Q145" s="26"/>
      <c r="R145" s="26"/>
      <c r="S145" s="26"/>
    </row>
    <row r="146" spans="1:19" ht="15.75" customHeight="1" x14ac:dyDescent="0.25">
      <c r="A146" s="26"/>
      <c r="B146" s="26"/>
      <c r="C146" s="26"/>
      <c r="D146" s="26"/>
      <c r="E146" s="26"/>
      <c r="F146" s="26"/>
      <c r="G146" s="26"/>
      <c r="H146" s="26"/>
      <c r="I146" s="26"/>
      <c r="J146" s="26"/>
      <c r="K146" s="26"/>
      <c r="L146" s="26"/>
      <c r="M146" s="26"/>
      <c r="N146" s="26"/>
      <c r="O146" s="26"/>
      <c r="P146" s="26"/>
      <c r="Q146" s="26"/>
      <c r="R146" s="26"/>
      <c r="S146" s="26"/>
    </row>
    <row r="147" spans="1:19" ht="15.75" customHeight="1" x14ac:dyDescent="0.25">
      <c r="A147" s="26"/>
      <c r="B147" s="26"/>
      <c r="C147" s="26"/>
      <c r="D147" s="26"/>
      <c r="E147" s="26"/>
      <c r="F147" s="26"/>
      <c r="G147" s="26"/>
      <c r="H147" s="26"/>
      <c r="I147" s="26"/>
      <c r="J147" s="26"/>
      <c r="K147" s="26"/>
      <c r="L147" s="26"/>
      <c r="M147" s="26"/>
      <c r="N147" s="26"/>
      <c r="O147" s="26"/>
      <c r="P147" s="26"/>
      <c r="Q147" s="26"/>
      <c r="R147" s="26"/>
      <c r="S147" s="26"/>
    </row>
    <row r="148" spans="1:19" ht="15.75" customHeight="1" x14ac:dyDescent="0.25">
      <c r="A148" s="26"/>
      <c r="B148" s="26"/>
      <c r="C148" s="26"/>
      <c r="D148" s="26"/>
      <c r="E148" s="26"/>
      <c r="F148" s="26"/>
      <c r="G148" s="26"/>
      <c r="H148" s="26"/>
      <c r="I148" s="26"/>
      <c r="J148" s="26"/>
      <c r="K148" s="26"/>
      <c r="L148" s="26"/>
      <c r="M148" s="26"/>
      <c r="N148" s="26"/>
      <c r="O148" s="26"/>
      <c r="P148" s="26"/>
      <c r="Q148" s="26"/>
      <c r="R148" s="26"/>
      <c r="S148" s="26"/>
    </row>
    <row r="149" spans="1:19" ht="15.75" customHeight="1" x14ac:dyDescent="0.25">
      <c r="A149" s="26"/>
      <c r="B149" s="26"/>
      <c r="C149" s="26"/>
      <c r="D149" s="26"/>
      <c r="E149" s="26"/>
      <c r="F149" s="26"/>
      <c r="G149" s="26"/>
      <c r="H149" s="26"/>
      <c r="I149" s="26"/>
      <c r="J149" s="26"/>
      <c r="K149" s="26"/>
      <c r="L149" s="26"/>
      <c r="M149" s="26"/>
      <c r="N149" s="26"/>
      <c r="O149" s="26"/>
      <c r="P149" s="26"/>
      <c r="Q149" s="26"/>
      <c r="R149" s="26"/>
      <c r="S149" s="26"/>
    </row>
    <row r="150" spans="1:19" ht="15.75" customHeight="1" x14ac:dyDescent="0.25">
      <c r="A150" s="26"/>
      <c r="B150" s="26"/>
      <c r="C150" s="26"/>
      <c r="D150" s="26"/>
      <c r="E150" s="26"/>
      <c r="F150" s="26"/>
      <c r="G150" s="26"/>
      <c r="H150" s="26"/>
      <c r="I150" s="26"/>
      <c r="J150" s="26"/>
      <c r="K150" s="26"/>
      <c r="L150" s="26"/>
      <c r="M150" s="26"/>
      <c r="N150" s="26"/>
      <c r="O150" s="26"/>
      <c r="P150" s="26"/>
      <c r="Q150" s="26"/>
      <c r="R150" s="26"/>
      <c r="S150" s="26"/>
    </row>
    <row r="151" spans="1:19" ht="15.75" customHeight="1" x14ac:dyDescent="0.25">
      <c r="A151" s="26"/>
      <c r="B151" s="26"/>
      <c r="C151" s="26"/>
      <c r="D151" s="26"/>
      <c r="E151" s="26"/>
      <c r="F151" s="26"/>
      <c r="G151" s="26"/>
      <c r="H151" s="26"/>
      <c r="I151" s="26"/>
      <c r="J151" s="26"/>
      <c r="K151" s="26"/>
      <c r="L151" s="26"/>
      <c r="M151" s="26"/>
      <c r="N151" s="26"/>
      <c r="O151" s="26"/>
      <c r="P151" s="26"/>
      <c r="Q151" s="26"/>
      <c r="R151" s="26"/>
      <c r="S151" s="26"/>
    </row>
    <row r="152" spans="1:19" ht="15.75" customHeight="1" x14ac:dyDescent="0.25">
      <c r="A152" s="26"/>
      <c r="B152" s="26"/>
      <c r="C152" s="26"/>
      <c r="D152" s="26"/>
      <c r="E152" s="26"/>
      <c r="F152" s="26"/>
      <c r="G152" s="26"/>
      <c r="H152" s="26"/>
      <c r="I152" s="26"/>
      <c r="J152" s="26"/>
      <c r="K152" s="26"/>
      <c r="L152" s="26"/>
      <c r="M152" s="26"/>
      <c r="N152" s="26"/>
      <c r="O152" s="26"/>
      <c r="P152" s="26"/>
      <c r="Q152" s="26"/>
      <c r="R152" s="26"/>
      <c r="S152" s="26"/>
    </row>
    <row r="153" spans="1:19" ht="15.75" customHeight="1" x14ac:dyDescent="0.25">
      <c r="A153" s="26"/>
      <c r="B153" s="26"/>
      <c r="C153" s="26"/>
      <c r="D153" s="26"/>
      <c r="E153" s="26"/>
      <c r="F153" s="26"/>
      <c r="G153" s="26"/>
      <c r="H153" s="26"/>
      <c r="I153" s="26"/>
      <c r="J153" s="26"/>
      <c r="K153" s="26"/>
      <c r="L153" s="26"/>
      <c r="M153" s="26"/>
      <c r="N153" s="26"/>
      <c r="O153" s="26"/>
      <c r="P153" s="26"/>
      <c r="Q153" s="26"/>
      <c r="R153" s="26"/>
      <c r="S153" s="26"/>
    </row>
    <row r="154" spans="1:19" ht="15.75" customHeight="1" x14ac:dyDescent="0.25">
      <c r="A154" s="26"/>
      <c r="B154" s="26"/>
      <c r="C154" s="26"/>
      <c r="D154" s="26"/>
      <c r="E154" s="26"/>
      <c r="F154" s="26"/>
      <c r="G154" s="26"/>
      <c r="H154" s="26"/>
      <c r="I154" s="26"/>
      <c r="J154" s="26"/>
      <c r="K154" s="26"/>
      <c r="L154" s="26"/>
      <c r="M154" s="26"/>
      <c r="N154" s="26"/>
      <c r="O154" s="26"/>
      <c r="P154" s="26"/>
      <c r="Q154" s="26"/>
      <c r="R154" s="26"/>
      <c r="S154" s="26"/>
    </row>
    <row r="155" spans="1:19" ht="15.75" customHeight="1" x14ac:dyDescent="0.25">
      <c r="A155" s="26"/>
      <c r="B155" s="26"/>
      <c r="C155" s="26"/>
      <c r="D155" s="26"/>
      <c r="E155" s="26"/>
      <c r="F155" s="26"/>
      <c r="G155" s="26"/>
      <c r="H155" s="26"/>
      <c r="I155" s="26"/>
      <c r="J155" s="26"/>
      <c r="K155" s="26"/>
      <c r="L155" s="26"/>
      <c r="M155" s="26"/>
      <c r="N155" s="26"/>
      <c r="O155" s="26"/>
      <c r="P155" s="26"/>
      <c r="Q155" s="26"/>
      <c r="R155" s="26"/>
      <c r="S155" s="26"/>
    </row>
    <row r="156" spans="1:19" ht="15.75" customHeight="1" x14ac:dyDescent="0.25">
      <c r="A156" s="26"/>
      <c r="B156" s="26"/>
      <c r="C156" s="26"/>
      <c r="D156" s="26"/>
      <c r="E156" s="26"/>
      <c r="F156" s="26"/>
      <c r="G156" s="26"/>
      <c r="H156" s="26"/>
      <c r="I156" s="26"/>
      <c r="J156" s="26"/>
      <c r="K156" s="26"/>
      <c r="L156" s="26"/>
      <c r="M156" s="26"/>
      <c r="N156" s="26"/>
      <c r="O156" s="26"/>
      <c r="P156" s="26"/>
      <c r="Q156" s="26"/>
      <c r="R156" s="26"/>
      <c r="S156" s="26"/>
    </row>
    <row r="157" spans="1:19" ht="15.75" customHeight="1" x14ac:dyDescent="0.25">
      <c r="A157" s="26"/>
      <c r="B157" s="26"/>
      <c r="C157" s="26"/>
      <c r="D157" s="26"/>
      <c r="E157" s="26"/>
      <c r="F157" s="26"/>
      <c r="G157" s="26"/>
      <c r="H157" s="26"/>
      <c r="I157" s="26"/>
      <c r="J157" s="26"/>
      <c r="K157" s="26"/>
      <c r="L157" s="26"/>
      <c r="M157" s="26"/>
      <c r="N157" s="26"/>
      <c r="O157" s="26"/>
      <c r="P157" s="26"/>
      <c r="Q157" s="26"/>
      <c r="R157" s="26"/>
      <c r="S157" s="26"/>
    </row>
    <row r="158" spans="1:19" ht="15.75" customHeight="1" x14ac:dyDescent="0.25">
      <c r="A158" s="26"/>
      <c r="B158" s="26"/>
      <c r="C158" s="26"/>
      <c r="D158" s="26"/>
      <c r="E158" s="26"/>
      <c r="F158" s="26"/>
      <c r="G158" s="26"/>
      <c r="H158" s="26"/>
      <c r="I158" s="26"/>
      <c r="J158" s="26"/>
      <c r="K158" s="26"/>
      <c r="L158" s="26"/>
      <c r="M158" s="26"/>
      <c r="N158" s="26"/>
      <c r="O158" s="26"/>
      <c r="P158" s="26"/>
      <c r="Q158" s="26"/>
      <c r="R158" s="26"/>
      <c r="S158" s="26"/>
    </row>
    <row r="159" spans="1:19" ht="15.75" customHeight="1" x14ac:dyDescent="0.25">
      <c r="A159" s="26"/>
      <c r="B159" s="26"/>
      <c r="C159" s="26"/>
      <c r="D159" s="26"/>
      <c r="E159" s="26"/>
      <c r="F159" s="26"/>
      <c r="G159" s="26"/>
      <c r="H159" s="26"/>
      <c r="I159" s="26"/>
      <c r="J159" s="26"/>
      <c r="K159" s="26"/>
      <c r="L159" s="26"/>
      <c r="M159" s="26"/>
      <c r="N159" s="26"/>
      <c r="O159" s="26"/>
      <c r="P159" s="26"/>
      <c r="Q159" s="26"/>
      <c r="R159" s="26"/>
      <c r="S159" s="26"/>
    </row>
    <row r="160" spans="1:19" ht="15.75" customHeight="1" x14ac:dyDescent="0.25">
      <c r="A160" s="26"/>
      <c r="B160" s="26"/>
      <c r="C160" s="26"/>
      <c r="D160" s="26"/>
      <c r="E160" s="26"/>
      <c r="F160" s="26"/>
      <c r="G160" s="26"/>
      <c r="H160" s="26"/>
      <c r="I160" s="26"/>
      <c r="J160" s="26"/>
      <c r="K160" s="26"/>
      <c r="L160" s="26"/>
      <c r="M160" s="26"/>
      <c r="N160" s="26"/>
      <c r="O160" s="26"/>
      <c r="P160" s="26"/>
      <c r="Q160" s="26"/>
      <c r="R160" s="26"/>
      <c r="S160" s="26"/>
    </row>
    <row r="161" spans="1:19" ht="15.75" customHeight="1" x14ac:dyDescent="0.25">
      <c r="A161" s="26"/>
      <c r="B161" s="26"/>
      <c r="C161" s="26"/>
      <c r="D161" s="26"/>
      <c r="E161" s="26"/>
      <c r="F161" s="26"/>
      <c r="G161" s="26"/>
      <c r="H161" s="26"/>
      <c r="I161" s="26"/>
      <c r="J161" s="26"/>
      <c r="K161" s="26"/>
      <c r="L161" s="26"/>
      <c r="M161" s="26"/>
      <c r="N161" s="26"/>
      <c r="O161" s="26"/>
      <c r="P161" s="26"/>
      <c r="Q161" s="26"/>
      <c r="R161" s="26"/>
      <c r="S161" s="26"/>
    </row>
    <row r="162" spans="1:19" ht="15.75" customHeight="1" x14ac:dyDescent="0.25">
      <c r="A162" s="26"/>
      <c r="B162" s="26"/>
      <c r="C162" s="26"/>
      <c r="D162" s="26"/>
      <c r="E162" s="26"/>
      <c r="F162" s="26"/>
      <c r="G162" s="26"/>
      <c r="H162" s="26"/>
      <c r="I162" s="26"/>
      <c r="J162" s="26"/>
      <c r="K162" s="26"/>
      <c r="L162" s="26"/>
      <c r="M162" s="26"/>
      <c r="N162" s="26"/>
      <c r="O162" s="26"/>
      <c r="P162" s="26"/>
      <c r="Q162" s="26"/>
      <c r="R162" s="26"/>
      <c r="S162" s="26"/>
    </row>
    <row r="163" spans="1:19" ht="15.75" customHeight="1" x14ac:dyDescent="0.25">
      <c r="A163" s="26"/>
      <c r="B163" s="26"/>
      <c r="C163" s="26"/>
      <c r="D163" s="26"/>
      <c r="E163" s="26"/>
      <c r="F163" s="26"/>
      <c r="G163" s="26"/>
      <c r="H163" s="26"/>
      <c r="I163" s="26"/>
      <c r="J163" s="26"/>
      <c r="K163" s="26"/>
      <c r="L163" s="26"/>
      <c r="M163" s="26"/>
      <c r="N163" s="26"/>
      <c r="O163" s="26"/>
      <c r="P163" s="26"/>
      <c r="Q163" s="26"/>
      <c r="R163" s="26"/>
      <c r="S163" s="26"/>
    </row>
    <row r="164" spans="1:19" ht="15.75" customHeight="1" x14ac:dyDescent="0.25">
      <c r="A164" s="26"/>
      <c r="B164" s="26"/>
      <c r="C164" s="26"/>
      <c r="D164" s="26"/>
      <c r="E164" s="26"/>
      <c r="F164" s="26"/>
      <c r="G164" s="26"/>
      <c r="H164" s="26"/>
      <c r="I164" s="26"/>
      <c r="J164" s="26"/>
      <c r="K164" s="26"/>
      <c r="L164" s="26"/>
      <c r="M164" s="26"/>
      <c r="N164" s="26"/>
      <c r="O164" s="26"/>
      <c r="P164" s="26"/>
      <c r="Q164" s="26"/>
      <c r="R164" s="26"/>
      <c r="S164" s="26"/>
    </row>
    <row r="165" spans="1:19" ht="15.75" customHeight="1" x14ac:dyDescent="0.25">
      <c r="A165" s="26"/>
      <c r="B165" s="26"/>
      <c r="C165" s="26"/>
      <c r="D165" s="26"/>
      <c r="E165" s="26"/>
      <c r="F165" s="26"/>
      <c r="G165" s="26"/>
      <c r="H165" s="26"/>
      <c r="I165" s="26"/>
      <c r="J165" s="26"/>
      <c r="K165" s="26"/>
      <c r="L165" s="26"/>
      <c r="M165" s="26"/>
      <c r="N165" s="26"/>
      <c r="O165" s="26"/>
      <c r="P165" s="26"/>
      <c r="Q165" s="26"/>
      <c r="R165" s="26"/>
      <c r="S165" s="26"/>
    </row>
    <row r="166" spans="1:19" ht="15.75" customHeight="1" x14ac:dyDescent="0.25">
      <c r="A166" s="26"/>
      <c r="B166" s="26"/>
      <c r="C166" s="26"/>
      <c r="D166" s="26"/>
      <c r="E166" s="26"/>
      <c r="F166" s="26"/>
      <c r="G166" s="26"/>
      <c r="H166" s="26"/>
      <c r="I166" s="26"/>
      <c r="J166" s="26"/>
      <c r="K166" s="26"/>
      <c r="L166" s="26"/>
      <c r="M166" s="26"/>
      <c r="N166" s="26"/>
      <c r="O166" s="26"/>
      <c r="P166" s="26"/>
      <c r="Q166" s="26"/>
      <c r="R166" s="26"/>
      <c r="S166" s="26"/>
    </row>
    <row r="167" spans="1:19" ht="15.75" customHeight="1" x14ac:dyDescent="0.25">
      <c r="A167" s="26"/>
      <c r="B167" s="26"/>
      <c r="C167" s="26"/>
      <c r="D167" s="26"/>
      <c r="E167" s="26"/>
      <c r="F167" s="26"/>
      <c r="G167" s="26"/>
      <c r="H167" s="26"/>
      <c r="I167" s="26"/>
      <c r="J167" s="26"/>
      <c r="K167" s="26"/>
      <c r="L167" s="26"/>
      <c r="M167" s="26"/>
      <c r="N167" s="26"/>
      <c r="O167" s="26"/>
      <c r="P167" s="26"/>
      <c r="Q167" s="26"/>
      <c r="R167" s="26"/>
      <c r="S167" s="26"/>
    </row>
    <row r="168" spans="1:19" ht="15.75" customHeight="1" x14ac:dyDescent="0.25">
      <c r="A168" s="26"/>
      <c r="B168" s="26"/>
      <c r="C168" s="26"/>
      <c r="D168" s="26"/>
      <c r="E168" s="26"/>
      <c r="F168" s="26"/>
      <c r="G168" s="26"/>
      <c r="H168" s="26"/>
      <c r="I168" s="26"/>
      <c r="J168" s="26"/>
      <c r="K168" s="26"/>
      <c r="L168" s="26"/>
      <c r="M168" s="26"/>
      <c r="N168" s="26"/>
      <c r="O168" s="26"/>
      <c r="P168" s="26"/>
      <c r="Q168" s="26"/>
      <c r="R168" s="26"/>
      <c r="S168" s="26"/>
    </row>
    <row r="169" spans="1:19" ht="15.75" customHeight="1" x14ac:dyDescent="0.25">
      <c r="A169" s="26"/>
      <c r="B169" s="26"/>
      <c r="C169" s="26"/>
      <c r="D169" s="26"/>
      <c r="E169" s="26"/>
      <c r="F169" s="26"/>
      <c r="G169" s="26"/>
      <c r="H169" s="26"/>
      <c r="I169" s="26"/>
      <c r="J169" s="26"/>
      <c r="K169" s="26"/>
      <c r="L169" s="26"/>
      <c r="M169" s="26"/>
      <c r="N169" s="26"/>
      <c r="O169" s="26"/>
      <c r="P169" s="26"/>
      <c r="Q169" s="26"/>
      <c r="R169" s="26"/>
      <c r="S169" s="26"/>
    </row>
    <row r="170" spans="1:19" ht="15.75" customHeight="1" x14ac:dyDescent="0.25">
      <c r="A170" s="26"/>
      <c r="B170" s="26"/>
      <c r="C170" s="26"/>
      <c r="D170" s="26"/>
      <c r="E170" s="26"/>
      <c r="F170" s="26"/>
      <c r="G170" s="26"/>
      <c r="H170" s="26"/>
      <c r="I170" s="26"/>
      <c r="J170" s="26"/>
      <c r="K170" s="26"/>
      <c r="L170" s="26"/>
      <c r="M170" s="26"/>
      <c r="N170" s="26"/>
      <c r="O170" s="26"/>
      <c r="P170" s="26"/>
      <c r="Q170" s="26"/>
      <c r="R170" s="26"/>
      <c r="S170" s="26"/>
    </row>
    <row r="171" spans="1:19" ht="15.75" customHeight="1" x14ac:dyDescent="0.25">
      <c r="A171" s="26"/>
      <c r="B171" s="26"/>
      <c r="C171" s="26"/>
      <c r="D171" s="26"/>
      <c r="E171" s="26"/>
      <c r="F171" s="26"/>
      <c r="G171" s="26"/>
      <c r="H171" s="26"/>
      <c r="I171" s="26"/>
      <c r="J171" s="26"/>
      <c r="K171" s="26"/>
      <c r="L171" s="26"/>
      <c r="M171" s="26"/>
      <c r="N171" s="26"/>
      <c r="O171" s="26"/>
      <c r="P171" s="26"/>
      <c r="Q171" s="26"/>
      <c r="R171" s="26"/>
      <c r="S171" s="26"/>
    </row>
    <row r="172" spans="1:19" ht="15.75" customHeight="1" x14ac:dyDescent="0.25">
      <c r="A172" s="26"/>
      <c r="B172" s="26"/>
      <c r="C172" s="26"/>
      <c r="D172" s="26"/>
      <c r="E172" s="26"/>
      <c r="F172" s="26"/>
      <c r="G172" s="26"/>
      <c r="H172" s="26"/>
      <c r="I172" s="26"/>
      <c r="J172" s="26"/>
      <c r="K172" s="26"/>
      <c r="L172" s="26"/>
      <c r="M172" s="26"/>
      <c r="N172" s="26"/>
      <c r="O172" s="26"/>
      <c r="P172" s="26"/>
      <c r="Q172" s="26"/>
      <c r="R172" s="26"/>
      <c r="S172" s="26"/>
    </row>
    <row r="173" spans="1:19" ht="15.75" customHeight="1" x14ac:dyDescent="0.25">
      <c r="A173" s="26"/>
      <c r="B173" s="26"/>
      <c r="C173" s="26"/>
      <c r="D173" s="26"/>
      <c r="E173" s="26"/>
      <c r="F173" s="26"/>
      <c r="G173" s="26"/>
      <c r="H173" s="26"/>
      <c r="I173" s="26"/>
      <c r="J173" s="26"/>
      <c r="K173" s="26"/>
      <c r="L173" s="26"/>
      <c r="M173" s="26"/>
      <c r="N173" s="26"/>
      <c r="O173" s="26"/>
      <c r="P173" s="26"/>
      <c r="Q173" s="26"/>
      <c r="R173" s="26"/>
      <c r="S173" s="26"/>
    </row>
    <row r="174" spans="1:19" ht="15.75" customHeight="1" x14ac:dyDescent="0.25">
      <c r="A174" s="26"/>
      <c r="B174" s="26"/>
      <c r="C174" s="26"/>
      <c r="D174" s="26"/>
      <c r="E174" s="26"/>
      <c r="F174" s="26"/>
      <c r="G174" s="26"/>
      <c r="H174" s="26"/>
      <c r="I174" s="26"/>
      <c r="J174" s="26"/>
      <c r="K174" s="26"/>
      <c r="L174" s="26"/>
      <c r="M174" s="26"/>
      <c r="N174" s="26"/>
      <c r="O174" s="26"/>
      <c r="P174" s="26"/>
      <c r="Q174" s="26"/>
      <c r="R174" s="26"/>
      <c r="S174" s="26"/>
    </row>
    <row r="175" spans="1:19" ht="15.75" customHeight="1" x14ac:dyDescent="0.25">
      <c r="A175" s="26"/>
      <c r="B175" s="26"/>
      <c r="C175" s="26"/>
      <c r="D175" s="26"/>
      <c r="E175" s="26"/>
      <c r="F175" s="26"/>
      <c r="G175" s="26"/>
      <c r="H175" s="26"/>
      <c r="I175" s="26"/>
      <c r="J175" s="26"/>
      <c r="K175" s="26"/>
      <c r="L175" s="26"/>
      <c r="M175" s="26"/>
      <c r="N175" s="26"/>
      <c r="O175" s="26"/>
      <c r="P175" s="26"/>
      <c r="Q175" s="26"/>
      <c r="R175" s="26"/>
      <c r="S175" s="26"/>
    </row>
    <row r="176" spans="1:19" ht="15.75" customHeight="1" x14ac:dyDescent="0.25">
      <c r="A176" s="26"/>
      <c r="B176" s="26"/>
      <c r="C176" s="26"/>
      <c r="D176" s="26"/>
      <c r="E176" s="26"/>
      <c r="F176" s="26"/>
      <c r="G176" s="26"/>
      <c r="H176" s="26"/>
      <c r="I176" s="26"/>
      <c r="J176" s="26"/>
      <c r="K176" s="26"/>
      <c r="L176" s="26"/>
      <c r="M176" s="26"/>
      <c r="N176" s="26"/>
      <c r="O176" s="26"/>
      <c r="P176" s="26"/>
      <c r="Q176" s="26"/>
      <c r="R176" s="26"/>
      <c r="S176" s="26"/>
    </row>
    <row r="177" spans="1:19" ht="15.75" customHeight="1" x14ac:dyDescent="0.25">
      <c r="A177" s="26"/>
      <c r="B177" s="26"/>
      <c r="C177" s="26"/>
      <c r="D177" s="26"/>
      <c r="E177" s="26"/>
      <c r="F177" s="26"/>
      <c r="G177" s="26"/>
      <c r="H177" s="26"/>
      <c r="I177" s="26"/>
      <c r="J177" s="26"/>
      <c r="K177" s="26"/>
      <c r="L177" s="26"/>
      <c r="M177" s="26"/>
      <c r="N177" s="26"/>
      <c r="O177" s="26"/>
      <c r="P177" s="26"/>
      <c r="Q177" s="26"/>
      <c r="R177" s="26"/>
      <c r="S177" s="26"/>
    </row>
    <row r="178" spans="1:19" ht="15.75" customHeight="1" x14ac:dyDescent="0.25">
      <c r="A178" s="26"/>
      <c r="B178" s="26"/>
      <c r="C178" s="26"/>
      <c r="D178" s="26"/>
      <c r="E178" s="26"/>
      <c r="F178" s="26"/>
      <c r="G178" s="26"/>
      <c r="H178" s="26"/>
      <c r="I178" s="26"/>
      <c r="J178" s="26"/>
      <c r="K178" s="26"/>
      <c r="L178" s="26"/>
      <c r="M178" s="26"/>
      <c r="N178" s="26"/>
      <c r="O178" s="26"/>
      <c r="P178" s="26"/>
      <c r="Q178" s="26"/>
      <c r="R178" s="26"/>
      <c r="S178" s="26"/>
    </row>
    <row r="179" spans="1:19" ht="15.75" customHeight="1" x14ac:dyDescent="0.25">
      <c r="A179" s="26"/>
      <c r="B179" s="26"/>
      <c r="C179" s="26"/>
      <c r="D179" s="26"/>
      <c r="E179" s="26"/>
      <c r="F179" s="26"/>
      <c r="G179" s="26"/>
      <c r="H179" s="26"/>
      <c r="I179" s="26"/>
      <c r="J179" s="26"/>
      <c r="K179" s="26"/>
      <c r="L179" s="26"/>
      <c r="M179" s="26"/>
      <c r="N179" s="26"/>
      <c r="O179" s="26"/>
      <c r="P179" s="26"/>
      <c r="Q179" s="26"/>
      <c r="R179" s="26"/>
      <c r="S179" s="26"/>
    </row>
    <row r="180" spans="1:19" ht="15.75" customHeight="1" x14ac:dyDescent="0.25">
      <c r="A180" s="26"/>
      <c r="B180" s="26"/>
      <c r="C180" s="26"/>
      <c r="D180" s="26"/>
      <c r="E180" s="26"/>
      <c r="F180" s="26"/>
      <c r="G180" s="26"/>
      <c r="H180" s="26"/>
      <c r="I180" s="26"/>
      <c r="J180" s="26"/>
      <c r="K180" s="26"/>
      <c r="L180" s="26"/>
      <c r="M180" s="26"/>
      <c r="N180" s="26"/>
      <c r="O180" s="26"/>
      <c r="P180" s="26"/>
      <c r="Q180" s="26"/>
      <c r="R180" s="26"/>
      <c r="S180" s="26"/>
    </row>
    <row r="181" spans="1:19" ht="15.75" customHeight="1" x14ac:dyDescent="0.25">
      <c r="A181" s="26"/>
      <c r="B181" s="26"/>
      <c r="C181" s="26"/>
      <c r="D181" s="26"/>
      <c r="E181" s="26"/>
      <c r="F181" s="26"/>
      <c r="G181" s="26"/>
      <c r="H181" s="26"/>
      <c r="I181" s="26"/>
      <c r="J181" s="26"/>
      <c r="K181" s="26"/>
      <c r="L181" s="26"/>
      <c r="M181" s="26"/>
      <c r="N181" s="26"/>
      <c r="O181" s="26"/>
      <c r="P181" s="26"/>
      <c r="Q181" s="26"/>
      <c r="R181" s="26"/>
      <c r="S181" s="26"/>
    </row>
    <row r="182" spans="1:19" ht="15.75" customHeight="1" x14ac:dyDescent="0.25">
      <c r="A182" s="26"/>
      <c r="B182" s="26"/>
      <c r="C182" s="26"/>
      <c r="D182" s="26"/>
      <c r="E182" s="26"/>
      <c r="F182" s="26"/>
      <c r="G182" s="26"/>
      <c r="H182" s="26"/>
      <c r="I182" s="26"/>
      <c r="J182" s="26"/>
      <c r="K182" s="26"/>
      <c r="L182" s="26"/>
      <c r="M182" s="26"/>
      <c r="N182" s="26"/>
      <c r="O182" s="26"/>
      <c r="P182" s="26"/>
      <c r="Q182" s="26"/>
      <c r="R182" s="26"/>
      <c r="S182" s="26"/>
    </row>
    <row r="183" spans="1:19" ht="15.75" customHeight="1" x14ac:dyDescent="0.25">
      <c r="A183" s="26"/>
      <c r="B183" s="26"/>
      <c r="C183" s="26"/>
      <c r="D183" s="26"/>
      <c r="E183" s="26"/>
      <c r="F183" s="26"/>
      <c r="G183" s="26"/>
      <c r="H183" s="26"/>
      <c r="I183" s="26"/>
      <c r="J183" s="26"/>
      <c r="K183" s="26"/>
      <c r="L183" s="26"/>
      <c r="M183" s="26"/>
      <c r="N183" s="26"/>
      <c r="O183" s="26"/>
      <c r="P183" s="26"/>
      <c r="Q183" s="26"/>
      <c r="R183" s="26"/>
      <c r="S183" s="26"/>
    </row>
    <row r="184" spans="1:19" ht="15.75" customHeight="1" x14ac:dyDescent="0.25">
      <c r="A184" s="26"/>
      <c r="B184" s="26"/>
      <c r="C184" s="26"/>
      <c r="D184" s="26"/>
      <c r="E184" s="26"/>
      <c r="F184" s="26"/>
      <c r="G184" s="26"/>
      <c r="H184" s="26"/>
      <c r="I184" s="26"/>
      <c r="J184" s="26"/>
      <c r="K184" s="26"/>
      <c r="L184" s="26"/>
      <c r="M184" s="26"/>
      <c r="N184" s="26"/>
      <c r="O184" s="26"/>
      <c r="P184" s="26"/>
      <c r="Q184" s="26"/>
      <c r="R184" s="26"/>
      <c r="S184" s="26"/>
    </row>
    <row r="185" spans="1:19" ht="15.75" customHeight="1" x14ac:dyDescent="0.25">
      <c r="A185" s="26"/>
      <c r="B185" s="26"/>
      <c r="C185" s="26"/>
      <c r="D185" s="26"/>
      <c r="E185" s="26"/>
      <c r="F185" s="26"/>
      <c r="G185" s="26"/>
      <c r="H185" s="26"/>
      <c r="I185" s="26"/>
      <c r="J185" s="26"/>
      <c r="K185" s="26"/>
      <c r="L185" s="26"/>
      <c r="M185" s="26"/>
      <c r="N185" s="26"/>
      <c r="O185" s="26"/>
      <c r="P185" s="26"/>
      <c r="Q185" s="26"/>
      <c r="R185" s="26"/>
      <c r="S185" s="26"/>
    </row>
    <row r="186" spans="1:19" ht="15.75" customHeight="1" x14ac:dyDescent="0.25">
      <c r="A186" s="26"/>
      <c r="B186" s="26"/>
      <c r="C186" s="26"/>
      <c r="D186" s="26"/>
      <c r="E186" s="26"/>
      <c r="F186" s="26"/>
      <c r="G186" s="26"/>
      <c r="H186" s="26"/>
      <c r="I186" s="26"/>
      <c r="J186" s="26"/>
      <c r="K186" s="26"/>
      <c r="L186" s="26"/>
      <c r="M186" s="26"/>
      <c r="N186" s="26"/>
      <c r="O186" s="26"/>
      <c r="P186" s="26"/>
      <c r="Q186" s="26"/>
      <c r="R186" s="26"/>
      <c r="S186" s="26"/>
    </row>
    <row r="187" spans="1:19" ht="15.75" customHeight="1" x14ac:dyDescent="0.25">
      <c r="A187" s="26"/>
      <c r="B187" s="26"/>
      <c r="C187" s="26"/>
      <c r="D187" s="26"/>
      <c r="E187" s="26"/>
      <c r="F187" s="26"/>
      <c r="G187" s="26"/>
      <c r="H187" s="26"/>
      <c r="I187" s="26"/>
      <c r="J187" s="26"/>
      <c r="K187" s="26"/>
      <c r="L187" s="26"/>
      <c r="M187" s="26"/>
      <c r="N187" s="26"/>
      <c r="O187" s="26"/>
      <c r="P187" s="26"/>
      <c r="Q187" s="26"/>
      <c r="R187" s="26"/>
      <c r="S187" s="26"/>
    </row>
    <row r="188" spans="1:19" ht="15.75" customHeight="1" x14ac:dyDescent="0.25">
      <c r="A188" s="26"/>
      <c r="B188" s="26"/>
      <c r="C188" s="26"/>
      <c r="D188" s="26"/>
      <c r="E188" s="26"/>
      <c r="F188" s="26"/>
      <c r="G188" s="26"/>
      <c r="H188" s="26"/>
      <c r="I188" s="26"/>
      <c r="J188" s="26"/>
      <c r="K188" s="26"/>
      <c r="L188" s="26"/>
      <c r="M188" s="26"/>
      <c r="N188" s="26"/>
      <c r="O188" s="26"/>
      <c r="P188" s="26"/>
      <c r="Q188" s="26"/>
      <c r="R188" s="26"/>
      <c r="S188" s="26"/>
    </row>
    <row r="189" spans="1:19" ht="15.75" customHeight="1" x14ac:dyDescent="0.25">
      <c r="A189" s="26"/>
      <c r="B189" s="26"/>
      <c r="C189" s="26"/>
      <c r="D189" s="26"/>
      <c r="E189" s="26"/>
      <c r="F189" s="26"/>
      <c r="G189" s="26"/>
      <c r="H189" s="26"/>
      <c r="I189" s="26"/>
      <c r="J189" s="26"/>
      <c r="K189" s="26"/>
      <c r="L189" s="26"/>
      <c r="M189" s="26"/>
      <c r="N189" s="26"/>
      <c r="O189" s="26"/>
      <c r="P189" s="26"/>
      <c r="Q189" s="26"/>
      <c r="R189" s="26"/>
      <c r="S189" s="26"/>
    </row>
    <row r="190" spans="1:19" ht="15.75" customHeight="1" x14ac:dyDescent="0.25">
      <c r="A190" s="26"/>
      <c r="B190" s="26"/>
      <c r="C190" s="26"/>
      <c r="D190" s="26"/>
      <c r="E190" s="26"/>
      <c r="F190" s="26"/>
      <c r="G190" s="26"/>
      <c r="H190" s="26"/>
      <c r="I190" s="26"/>
      <c r="J190" s="26"/>
      <c r="K190" s="26"/>
      <c r="L190" s="26"/>
      <c r="M190" s="26"/>
      <c r="N190" s="26"/>
      <c r="O190" s="26"/>
      <c r="P190" s="26"/>
      <c r="Q190" s="26"/>
      <c r="R190" s="26"/>
      <c r="S190" s="26"/>
    </row>
    <row r="191" spans="1:19" ht="15.75" customHeight="1" x14ac:dyDescent="0.25">
      <c r="A191" s="26"/>
      <c r="B191" s="26"/>
      <c r="C191" s="26"/>
      <c r="D191" s="26"/>
      <c r="E191" s="26"/>
      <c r="F191" s="26"/>
      <c r="G191" s="26"/>
      <c r="H191" s="26"/>
      <c r="I191" s="26"/>
      <c r="J191" s="26"/>
      <c r="K191" s="26"/>
      <c r="L191" s="26"/>
      <c r="M191" s="26"/>
      <c r="N191" s="26"/>
      <c r="O191" s="26"/>
      <c r="P191" s="26"/>
      <c r="Q191" s="26"/>
      <c r="R191" s="26"/>
      <c r="S191" s="26"/>
    </row>
    <row r="192" spans="1:19" ht="15.75" customHeight="1" x14ac:dyDescent="0.25">
      <c r="A192" s="26"/>
      <c r="B192" s="26"/>
      <c r="C192" s="26"/>
      <c r="D192" s="26"/>
      <c r="E192" s="26"/>
      <c r="F192" s="26"/>
      <c r="G192" s="26"/>
      <c r="H192" s="26"/>
      <c r="I192" s="26"/>
      <c r="J192" s="26"/>
      <c r="K192" s="26"/>
      <c r="L192" s="26"/>
      <c r="M192" s="26"/>
      <c r="N192" s="26"/>
      <c r="O192" s="26"/>
      <c r="P192" s="26"/>
      <c r="Q192" s="26"/>
      <c r="R192" s="26"/>
      <c r="S192" s="26"/>
    </row>
    <row r="193" spans="1:19" ht="15.75" customHeight="1" x14ac:dyDescent="0.25">
      <c r="A193" s="26"/>
      <c r="B193" s="26"/>
      <c r="C193" s="26"/>
      <c r="D193" s="26"/>
      <c r="E193" s="26"/>
      <c r="F193" s="26"/>
      <c r="G193" s="26"/>
      <c r="H193" s="26"/>
      <c r="I193" s="26"/>
      <c r="J193" s="26"/>
      <c r="K193" s="26"/>
      <c r="L193" s="26"/>
      <c r="M193" s="26"/>
      <c r="N193" s="26"/>
      <c r="O193" s="26"/>
      <c r="P193" s="26"/>
      <c r="Q193" s="26"/>
      <c r="R193" s="26"/>
      <c r="S193" s="26"/>
    </row>
    <row r="194" spans="1:19" ht="15.75" customHeight="1" x14ac:dyDescent="0.25">
      <c r="A194" s="26"/>
      <c r="B194" s="26"/>
      <c r="C194" s="26"/>
      <c r="D194" s="26"/>
      <c r="E194" s="26"/>
      <c r="F194" s="26"/>
      <c r="G194" s="26"/>
      <c r="H194" s="26"/>
      <c r="I194" s="26"/>
      <c r="J194" s="26"/>
      <c r="K194" s="26"/>
      <c r="L194" s="26"/>
      <c r="M194" s="26"/>
      <c r="N194" s="26"/>
      <c r="O194" s="26"/>
      <c r="P194" s="26"/>
      <c r="Q194" s="26"/>
      <c r="R194" s="26"/>
      <c r="S194" s="26"/>
    </row>
    <row r="195" spans="1:19" ht="15.75" customHeight="1" x14ac:dyDescent="0.25">
      <c r="A195" s="26"/>
      <c r="B195" s="26"/>
      <c r="C195" s="26"/>
      <c r="D195" s="26"/>
      <c r="E195" s="26"/>
      <c r="F195" s="26"/>
      <c r="G195" s="26"/>
      <c r="H195" s="26"/>
      <c r="I195" s="26"/>
      <c r="J195" s="26"/>
      <c r="K195" s="26"/>
      <c r="L195" s="26"/>
      <c r="M195" s="26"/>
      <c r="N195" s="26"/>
      <c r="O195" s="26"/>
      <c r="P195" s="26"/>
      <c r="Q195" s="26"/>
      <c r="R195" s="26"/>
      <c r="S195" s="26"/>
    </row>
    <row r="196" spans="1:19" ht="15.75" customHeight="1" x14ac:dyDescent="0.25">
      <c r="A196" s="26"/>
      <c r="B196" s="26"/>
      <c r="C196" s="26"/>
      <c r="D196" s="26"/>
      <c r="E196" s="26"/>
      <c r="F196" s="26"/>
      <c r="G196" s="26"/>
      <c r="H196" s="26"/>
      <c r="I196" s="26"/>
      <c r="J196" s="26"/>
      <c r="K196" s="26"/>
      <c r="L196" s="26"/>
      <c r="M196" s="26"/>
      <c r="N196" s="26"/>
      <c r="O196" s="26"/>
      <c r="P196" s="26"/>
      <c r="Q196" s="26"/>
      <c r="R196" s="26"/>
      <c r="S196" s="26"/>
    </row>
    <row r="197" spans="1:19" ht="15.75" customHeight="1" x14ac:dyDescent="0.25">
      <c r="A197" s="26"/>
      <c r="B197" s="26"/>
      <c r="C197" s="26"/>
      <c r="D197" s="26"/>
      <c r="E197" s="26"/>
      <c r="F197" s="26"/>
      <c r="G197" s="26"/>
      <c r="H197" s="26"/>
      <c r="I197" s="26"/>
      <c r="J197" s="26"/>
      <c r="K197" s="26"/>
      <c r="L197" s="26"/>
      <c r="M197" s="26"/>
      <c r="N197" s="26"/>
      <c r="O197" s="26"/>
      <c r="P197" s="26"/>
      <c r="Q197" s="26"/>
      <c r="R197" s="26"/>
      <c r="S197" s="26"/>
    </row>
    <row r="198" spans="1:19" ht="15.75" customHeight="1" x14ac:dyDescent="0.25">
      <c r="A198" s="26"/>
      <c r="B198" s="26"/>
      <c r="C198" s="26"/>
      <c r="D198" s="26"/>
      <c r="E198" s="26"/>
      <c r="F198" s="26"/>
      <c r="G198" s="26"/>
      <c r="H198" s="26"/>
      <c r="I198" s="26"/>
      <c r="J198" s="26"/>
      <c r="K198" s="26"/>
      <c r="L198" s="26"/>
      <c r="M198" s="26"/>
      <c r="N198" s="26"/>
      <c r="O198" s="26"/>
      <c r="P198" s="26"/>
      <c r="Q198" s="26"/>
      <c r="R198" s="26"/>
      <c r="S198" s="26"/>
    </row>
    <row r="199" spans="1:19" ht="15.75" customHeight="1" x14ac:dyDescent="0.25">
      <c r="A199" s="26"/>
      <c r="B199" s="26"/>
      <c r="C199" s="26"/>
      <c r="D199" s="26"/>
      <c r="E199" s="26"/>
      <c r="F199" s="26"/>
      <c r="G199" s="26"/>
      <c r="H199" s="26"/>
      <c r="I199" s="26"/>
      <c r="J199" s="26"/>
      <c r="K199" s="26"/>
      <c r="L199" s="26"/>
      <c r="M199" s="26"/>
      <c r="N199" s="26"/>
      <c r="O199" s="26"/>
      <c r="P199" s="26"/>
      <c r="Q199" s="26"/>
      <c r="R199" s="26"/>
      <c r="S199" s="26"/>
    </row>
    <row r="200" spans="1:19" ht="15.75" customHeight="1" x14ac:dyDescent="0.25">
      <c r="A200" s="26"/>
      <c r="B200" s="26"/>
      <c r="C200" s="26"/>
      <c r="D200" s="26"/>
      <c r="E200" s="26"/>
      <c r="F200" s="26"/>
      <c r="G200" s="26"/>
      <c r="H200" s="26"/>
      <c r="I200" s="26"/>
      <c r="J200" s="26"/>
      <c r="K200" s="26"/>
      <c r="L200" s="26"/>
      <c r="M200" s="26"/>
      <c r="N200" s="26"/>
      <c r="O200" s="26"/>
      <c r="P200" s="26"/>
      <c r="Q200" s="26"/>
      <c r="R200" s="26"/>
      <c r="S200" s="26"/>
    </row>
    <row r="201" spans="1:19" ht="15.75" customHeight="1" x14ac:dyDescent="0.25">
      <c r="A201" s="26"/>
      <c r="B201" s="26"/>
      <c r="C201" s="26"/>
      <c r="D201" s="26"/>
      <c r="E201" s="26"/>
      <c r="F201" s="26"/>
      <c r="G201" s="26"/>
      <c r="H201" s="26"/>
      <c r="I201" s="26"/>
      <c r="J201" s="26"/>
      <c r="K201" s="26"/>
      <c r="L201" s="26"/>
      <c r="M201" s="26"/>
      <c r="N201" s="26"/>
      <c r="O201" s="26"/>
      <c r="P201" s="26"/>
      <c r="Q201" s="26"/>
      <c r="R201" s="26"/>
      <c r="S201" s="26"/>
    </row>
    <row r="202" spans="1:19" ht="15.75" customHeight="1" x14ac:dyDescent="0.25">
      <c r="A202" s="26"/>
      <c r="B202" s="26"/>
      <c r="C202" s="26"/>
      <c r="D202" s="26"/>
      <c r="E202" s="26"/>
      <c r="F202" s="26"/>
      <c r="G202" s="26"/>
      <c r="H202" s="26"/>
      <c r="I202" s="26"/>
      <c r="J202" s="26"/>
      <c r="K202" s="26"/>
      <c r="L202" s="26"/>
      <c r="M202" s="26"/>
      <c r="N202" s="26"/>
      <c r="O202" s="26"/>
      <c r="P202" s="26"/>
      <c r="Q202" s="26"/>
      <c r="R202" s="26"/>
      <c r="S202" s="26"/>
    </row>
    <row r="203" spans="1:19" ht="15.75" customHeight="1" x14ac:dyDescent="0.25">
      <c r="A203" s="26"/>
      <c r="B203" s="26"/>
      <c r="C203" s="26"/>
      <c r="D203" s="26"/>
      <c r="E203" s="26"/>
      <c r="F203" s="26"/>
      <c r="G203" s="26"/>
      <c r="H203" s="26"/>
      <c r="I203" s="26"/>
      <c r="J203" s="26"/>
      <c r="K203" s="26"/>
      <c r="L203" s="26"/>
      <c r="M203" s="26"/>
      <c r="N203" s="26"/>
      <c r="O203" s="26"/>
      <c r="P203" s="26"/>
      <c r="Q203" s="26"/>
      <c r="R203" s="26"/>
      <c r="S203" s="26"/>
    </row>
    <row r="204" spans="1:19" ht="15.75" customHeight="1" x14ac:dyDescent="0.25">
      <c r="A204" s="26"/>
      <c r="B204" s="26"/>
      <c r="C204" s="26"/>
      <c r="D204" s="26"/>
      <c r="E204" s="26"/>
      <c r="F204" s="26"/>
      <c r="G204" s="26"/>
      <c r="H204" s="26"/>
      <c r="I204" s="26"/>
      <c r="J204" s="26"/>
      <c r="K204" s="26"/>
      <c r="L204" s="26"/>
      <c r="M204" s="26"/>
      <c r="N204" s="26"/>
      <c r="O204" s="26"/>
      <c r="P204" s="26"/>
      <c r="Q204" s="26"/>
      <c r="R204" s="26"/>
      <c r="S204" s="26"/>
    </row>
    <row r="205" spans="1:19" ht="15.75" customHeight="1" x14ac:dyDescent="0.25">
      <c r="A205" s="26"/>
      <c r="B205" s="26"/>
      <c r="C205" s="26"/>
      <c r="D205" s="26"/>
      <c r="E205" s="26"/>
      <c r="F205" s="26"/>
      <c r="G205" s="26"/>
      <c r="H205" s="26"/>
      <c r="I205" s="26"/>
      <c r="J205" s="26"/>
      <c r="K205" s="26"/>
      <c r="L205" s="26"/>
      <c r="M205" s="26"/>
      <c r="N205" s="26"/>
      <c r="O205" s="26"/>
      <c r="P205" s="26"/>
      <c r="Q205" s="26"/>
      <c r="R205" s="26"/>
      <c r="S205" s="26"/>
    </row>
    <row r="206" spans="1:19" ht="15.75" customHeight="1" x14ac:dyDescent="0.25">
      <c r="A206" s="26"/>
      <c r="B206" s="26"/>
      <c r="C206" s="26"/>
      <c r="D206" s="26"/>
      <c r="E206" s="26"/>
      <c r="F206" s="26"/>
      <c r="G206" s="26"/>
      <c r="H206" s="26"/>
      <c r="I206" s="26"/>
      <c r="J206" s="26"/>
      <c r="K206" s="26"/>
      <c r="L206" s="26"/>
      <c r="M206" s="26"/>
      <c r="N206" s="26"/>
      <c r="O206" s="26"/>
      <c r="P206" s="26"/>
      <c r="Q206" s="26"/>
      <c r="R206" s="26"/>
      <c r="S206" s="26"/>
    </row>
    <row r="207" spans="1:19" ht="15.75" customHeight="1" x14ac:dyDescent="0.25">
      <c r="A207" s="26"/>
      <c r="B207" s="26"/>
      <c r="C207" s="26"/>
      <c r="D207" s="26"/>
      <c r="E207" s="26"/>
      <c r="F207" s="26"/>
      <c r="G207" s="26"/>
      <c r="H207" s="26"/>
      <c r="I207" s="26"/>
      <c r="J207" s="26"/>
      <c r="K207" s="26"/>
      <c r="L207" s="26"/>
      <c r="M207" s="26"/>
      <c r="N207" s="26"/>
      <c r="O207" s="26"/>
      <c r="P207" s="26"/>
      <c r="Q207" s="26"/>
      <c r="R207" s="26"/>
      <c r="S207" s="26"/>
    </row>
    <row r="208" spans="1:19" ht="15.75" customHeight="1" x14ac:dyDescent="0.25">
      <c r="A208" s="26"/>
      <c r="B208" s="26"/>
      <c r="C208" s="26"/>
      <c r="D208" s="26"/>
      <c r="E208" s="26"/>
      <c r="F208" s="26"/>
      <c r="G208" s="26"/>
      <c r="H208" s="26"/>
      <c r="I208" s="26"/>
      <c r="J208" s="26"/>
      <c r="K208" s="26"/>
      <c r="L208" s="26"/>
      <c r="M208" s="26"/>
      <c r="N208" s="26"/>
      <c r="O208" s="26"/>
      <c r="P208" s="26"/>
      <c r="Q208" s="26"/>
      <c r="R208" s="26"/>
      <c r="S208" s="26"/>
    </row>
    <row r="209" spans="1:19" ht="15.75" customHeight="1" x14ac:dyDescent="0.25">
      <c r="A209" s="26"/>
      <c r="B209" s="26"/>
      <c r="C209" s="26"/>
      <c r="D209" s="26"/>
      <c r="E209" s="26"/>
      <c r="F209" s="26"/>
      <c r="G209" s="26"/>
      <c r="H209" s="26"/>
      <c r="I209" s="26"/>
      <c r="J209" s="26"/>
      <c r="K209" s="26"/>
      <c r="L209" s="26"/>
      <c r="M209" s="26"/>
      <c r="N209" s="26"/>
      <c r="O209" s="26"/>
      <c r="P209" s="26"/>
      <c r="Q209" s="26"/>
      <c r="R209" s="26"/>
      <c r="S209" s="26"/>
    </row>
    <row r="210" spans="1:19" ht="15.75" customHeight="1" x14ac:dyDescent="0.25">
      <c r="A210" s="26"/>
      <c r="B210" s="26"/>
      <c r="C210" s="26"/>
      <c r="D210" s="26"/>
      <c r="E210" s="26"/>
      <c r="F210" s="26"/>
      <c r="G210" s="26"/>
      <c r="H210" s="26"/>
      <c r="I210" s="26"/>
      <c r="J210" s="26"/>
      <c r="K210" s="26"/>
      <c r="L210" s="26"/>
      <c r="M210" s="26"/>
      <c r="N210" s="26"/>
      <c r="O210" s="26"/>
      <c r="P210" s="26"/>
      <c r="Q210" s="26"/>
      <c r="R210" s="26"/>
      <c r="S210" s="26"/>
    </row>
    <row r="211" spans="1:19" ht="15.75" customHeight="1" x14ac:dyDescent="0.25">
      <c r="A211" s="26"/>
      <c r="B211" s="26"/>
      <c r="C211" s="26"/>
      <c r="D211" s="26"/>
      <c r="E211" s="26"/>
      <c r="F211" s="26"/>
      <c r="G211" s="26"/>
      <c r="H211" s="26"/>
      <c r="I211" s="26"/>
      <c r="J211" s="26"/>
      <c r="K211" s="26"/>
      <c r="L211" s="26"/>
      <c r="M211" s="26"/>
      <c r="N211" s="26"/>
      <c r="O211" s="26"/>
      <c r="P211" s="26"/>
      <c r="Q211" s="26"/>
      <c r="R211" s="26"/>
      <c r="S211" s="26"/>
    </row>
    <row r="212" spans="1:19" ht="15.75" customHeight="1" x14ac:dyDescent="0.25">
      <c r="A212" s="26"/>
      <c r="B212" s="26"/>
      <c r="C212" s="26"/>
      <c r="D212" s="26"/>
      <c r="E212" s="26"/>
      <c r="F212" s="26"/>
      <c r="G212" s="26"/>
      <c r="H212" s="26"/>
      <c r="I212" s="26"/>
      <c r="J212" s="26"/>
      <c r="K212" s="26"/>
      <c r="L212" s="26"/>
      <c r="M212" s="26"/>
      <c r="N212" s="26"/>
      <c r="O212" s="26"/>
      <c r="P212" s="26"/>
      <c r="Q212" s="26"/>
      <c r="R212" s="26"/>
      <c r="S212" s="26"/>
    </row>
    <row r="213" spans="1:19" ht="15.75" customHeight="1" x14ac:dyDescent="0.25">
      <c r="A213" s="26"/>
      <c r="B213" s="26"/>
      <c r="C213" s="26"/>
      <c r="D213" s="26"/>
      <c r="E213" s="26"/>
      <c r="F213" s="26"/>
      <c r="G213" s="26"/>
      <c r="H213" s="26"/>
      <c r="I213" s="26"/>
      <c r="J213" s="26"/>
      <c r="K213" s="26"/>
      <c r="L213" s="26"/>
      <c r="M213" s="26"/>
      <c r="N213" s="26"/>
      <c r="O213" s="26"/>
      <c r="P213" s="26"/>
      <c r="Q213" s="26"/>
      <c r="R213" s="26"/>
      <c r="S213" s="26"/>
    </row>
    <row r="214" spans="1:19" ht="15.75" customHeight="1" x14ac:dyDescent="0.25">
      <c r="A214" s="26"/>
      <c r="B214" s="26"/>
      <c r="C214" s="26"/>
      <c r="D214" s="26"/>
      <c r="E214" s="26"/>
      <c r="F214" s="26"/>
      <c r="G214" s="26"/>
      <c r="H214" s="26"/>
      <c r="I214" s="26"/>
      <c r="J214" s="26"/>
      <c r="K214" s="26"/>
      <c r="L214" s="26"/>
      <c r="M214" s="26"/>
      <c r="N214" s="26"/>
      <c r="O214" s="26"/>
      <c r="P214" s="26"/>
      <c r="Q214" s="26"/>
      <c r="R214" s="26"/>
      <c r="S214" s="26"/>
    </row>
    <row r="215" spans="1:19" ht="15.75" customHeight="1" x14ac:dyDescent="0.25">
      <c r="A215" s="26"/>
      <c r="B215" s="26"/>
      <c r="C215" s="26"/>
      <c r="D215" s="26"/>
      <c r="E215" s="26"/>
      <c r="F215" s="26"/>
      <c r="G215" s="26"/>
      <c r="H215" s="26"/>
      <c r="I215" s="26"/>
      <c r="J215" s="26"/>
      <c r="K215" s="26"/>
      <c r="L215" s="26"/>
      <c r="M215" s="26"/>
      <c r="N215" s="26"/>
      <c r="O215" s="26"/>
      <c r="P215" s="26"/>
      <c r="Q215" s="26"/>
      <c r="R215" s="26"/>
      <c r="S215" s="26"/>
    </row>
    <row r="216" spans="1:19" ht="15.75" customHeight="1" x14ac:dyDescent="0.25">
      <c r="A216" s="26"/>
      <c r="B216" s="26"/>
      <c r="C216" s="26"/>
      <c r="D216" s="26"/>
      <c r="E216" s="26"/>
      <c r="F216" s="26"/>
      <c r="G216" s="26"/>
      <c r="H216" s="26"/>
      <c r="I216" s="26"/>
      <c r="J216" s="26"/>
      <c r="K216" s="26"/>
      <c r="L216" s="26"/>
      <c r="M216" s="26"/>
      <c r="N216" s="26"/>
      <c r="O216" s="26"/>
      <c r="P216" s="26"/>
      <c r="Q216" s="26"/>
      <c r="R216" s="26"/>
      <c r="S216" s="26"/>
    </row>
    <row r="217" spans="1:19" ht="15.75" customHeight="1" x14ac:dyDescent="0.25">
      <c r="A217" s="26"/>
      <c r="B217" s="26"/>
      <c r="C217" s="26"/>
      <c r="D217" s="26"/>
      <c r="E217" s="26"/>
      <c r="F217" s="26"/>
      <c r="G217" s="26"/>
      <c r="H217" s="26"/>
      <c r="I217" s="26"/>
      <c r="J217" s="26"/>
      <c r="K217" s="26"/>
      <c r="L217" s="26"/>
      <c r="M217" s="26"/>
      <c r="N217" s="26"/>
      <c r="O217" s="26"/>
      <c r="P217" s="26"/>
      <c r="Q217" s="26"/>
      <c r="R217" s="26"/>
      <c r="S217" s="26"/>
    </row>
    <row r="218" spans="1:19" ht="15.75" customHeight="1" x14ac:dyDescent="0.25">
      <c r="A218" s="26"/>
      <c r="B218" s="26"/>
      <c r="C218" s="26"/>
      <c r="D218" s="26"/>
      <c r="E218" s="26"/>
      <c r="F218" s="26"/>
      <c r="G218" s="26"/>
      <c r="H218" s="26"/>
      <c r="I218" s="26"/>
      <c r="J218" s="26"/>
      <c r="K218" s="26"/>
      <c r="L218" s="26"/>
      <c r="M218" s="26"/>
      <c r="N218" s="26"/>
      <c r="O218" s="26"/>
      <c r="P218" s="26"/>
      <c r="Q218" s="26"/>
      <c r="R218" s="26"/>
      <c r="S218" s="26"/>
    </row>
    <row r="219" spans="1:19" ht="15.75" customHeight="1" x14ac:dyDescent="0.25">
      <c r="A219" s="26"/>
      <c r="B219" s="26"/>
      <c r="C219" s="26"/>
      <c r="D219" s="26"/>
      <c r="E219" s="26"/>
      <c r="F219" s="26"/>
      <c r="G219" s="26"/>
      <c r="H219" s="26"/>
      <c r="I219" s="26"/>
      <c r="J219" s="26"/>
      <c r="K219" s="26"/>
      <c r="L219" s="26"/>
      <c r="M219" s="26"/>
      <c r="N219" s="26"/>
      <c r="O219" s="26"/>
      <c r="P219" s="26"/>
      <c r="Q219" s="26"/>
      <c r="R219" s="26"/>
      <c r="S219" s="26"/>
    </row>
    <row r="220" spans="1:19" ht="15.75" customHeight="1" x14ac:dyDescent="0.25">
      <c r="A220" s="26"/>
      <c r="B220" s="26"/>
      <c r="C220" s="26"/>
      <c r="D220" s="26"/>
      <c r="E220" s="26"/>
      <c r="F220" s="26"/>
      <c r="G220" s="26"/>
      <c r="H220" s="26"/>
      <c r="I220" s="26"/>
      <c r="J220" s="26"/>
      <c r="K220" s="26"/>
      <c r="L220" s="26"/>
      <c r="M220" s="26"/>
      <c r="N220" s="26"/>
      <c r="O220" s="26"/>
      <c r="P220" s="26"/>
      <c r="Q220" s="26"/>
      <c r="R220" s="26"/>
      <c r="S220" s="26"/>
    </row>
    <row r="221" spans="1:19" ht="15.75" customHeight="1" x14ac:dyDescent="0.25">
      <c r="A221" s="26"/>
      <c r="B221" s="26"/>
      <c r="C221" s="26"/>
      <c r="D221" s="26"/>
      <c r="E221" s="26"/>
      <c r="F221" s="26"/>
      <c r="G221" s="26"/>
      <c r="H221" s="26"/>
      <c r="I221" s="26"/>
      <c r="J221" s="26"/>
      <c r="K221" s="26"/>
      <c r="L221" s="26"/>
      <c r="M221" s="26"/>
      <c r="N221" s="26"/>
      <c r="O221" s="26"/>
      <c r="P221" s="26"/>
      <c r="Q221" s="26"/>
      <c r="R221" s="26"/>
      <c r="S221" s="26"/>
    </row>
    <row r="222" spans="1:19" ht="15.75" customHeight="1" x14ac:dyDescent="0.25">
      <c r="A222" s="26"/>
      <c r="B222" s="26"/>
      <c r="C222" s="26"/>
      <c r="D222" s="26"/>
      <c r="E222" s="26"/>
      <c r="F222" s="26"/>
      <c r="G222" s="26"/>
      <c r="H222" s="26"/>
      <c r="I222" s="26"/>
      <c r="J222" s="26"/>
      <c r="K222" s="26"/>
      <c r="L222" s="26"/>
      <c r="M222" s="26"/>
      <c r="N222" s="26"/>
      <c r="O222" s="26"/>
      <c r="P222" s="26"/>
      <c r="Q222" s="26"/>
      <c r="R222" s="26"/>
      <c r="S222" s="26"/>
    </row>
    <row r="223" spans="1:19" ht="15.75" customHeight="1" x14ac:dyDescent="0.25">
      <c r="A223" s="26"/>
      <c r="B223" s="26"/>
      <c r="C223" s="26"/>
      <c r="D223" s="26"/>
      <c r="E223" s="26"/>
      <c r="F223" s="26"/>
      <c r="G223" s="26"/>
      <c r="H223" s="26"/>
      <c r="I223" s="26"/>
      <c r="J223" s="26"/>
      <c r="K223" s="26"/>
      <c r="L223" s="26"/>
      <c r="M223" s="26"/>
      <c r="N223" s="26"/>
      <c r="O223" s="26"/>
      <c r="P223" s="26"/>
      <c r="Q223" s="26"/>
      <c r="R223" s="26"/>
      <c r="S223" s="26"/>
    </row>
    <row r="224" spans="1:19" ht="15.75" customHeight="1" x14ac:dyDescent="0.25">
      <c r="A224" s="26"/>
      <c r="B224" s="26"/>
      <c r="C224" s="26"/>
      <c r="D224" s="26"/>
      <c r="E224" s="26"/>
      <c r="F224" s="26"/>
      <c r="G224" s="26"/>
      <c r="H224" s="26"/>
      <c r="I224" s="26"/>
      <c r="J224" s="26"/>
      <c r="K224" s="26"/>
      <c r="L224" s="26"/>
      <c r="M224" s="26"/>
      <c r="N224" s="26"/>
      <c r="O224" s="26"/>
      <c r="P224" s="26"/>
      <c r="Q224" s="26"/>
      <c r="R224" s="26"/>
      <c r="S224" s="26"/>
    </row>
    <row r="225" spans="1:19" ht="15.75" customHeight="1" x14ac:dyDescent="0.25">
      <c r="A225" s="26"/>
      <c r="B225" s="26"/>
      <c r="C225" s="26"/>
      <c r="D225" s="26"/>
      <c r="E225" s="26"/>
      <c r="F225" s="26"/>
      <c r="G225" s="26"/>
      <c r="H225" s="26"/>
      <c r="I225" s="26"/>
      <c r="J225" s="26"/>
      <c r="K225" s="26"/>
      <c r="L225" s="26"/>
      <c r="M225" s="26"/>
      <c r="N225" s="26"/>
      <c r="O225" s="26"/>
      <c r="P225" s="26"/>
      <c r="Q225" s="26"/>
      <c r="R225" s="26"/>
      <c r="S225" s="26"/>
    </row>
    <row r="226" spans="1:19" ht="15.75" customHeight="1" x14ac:dyDescent="0.25">
      <c r="A226" s="26"/>
      <c r="B226" s="26"/>
      <c r="C226" s="26"/>
      <c r="D226" s="26"/>
      <c r="E226" s="26"/>
      <c r="F226" s="26"/>
      <c r="G226" s="26"/>
      <c r="H226" s="26"/>
      <c r="I226" s="26"/>
      <c r="J226" s="26"/>
      <c r="K226" s="26"/>
      <c r="L226" s="26"/>
      <c r="M226" s="26"/>
      <c r="N226" s="26"/>
      <c r="O226" s="26"/>
      <c r="P226" s="26"/>
      <c r="Q226" s="26"/>
      <c r="R226" s="26"/>
      <c r="S226" s="26"/>
    </row>
    <row r="227" spans="1:19" ht="15.75" customHeight="1" x14ac:dyDescent="0.25">
      <c r="A227" s="26"/>
      <c r="B227" s="26"/>
      <c r="C227" s="26"/>
      <c r="D227" s="26"/>
      <c r="E227" s="26"/>
      <c r="F227" s="26"/>
      <c r="G227" s="26"/>
      <c r="H227" s="26"/>
      <c r="I227" s="26"/>
      <c r="J227" s="26"/>
      <c r="K227" s="26"/>
      <c r="L227" s="26"/>
      <c r="M227" s="26"/>
      <c r="N227" s="26"/>
      <c r="O227" s="26"/>
      <c r="P227" s="26"/>
      <c r="Q227" s="26"/>
      <c r="R227" s="26"/>
      <c r="S227" s="26"/>
    </row>
    <row r="228" spans="1:19" ht="15.75" customHeight="1" x14ac:dyDescent="0.25">
      <c r="A228" s="26"/>
      <c r="B228" s="26"/>
      <c r="C228" s="26"/>
      <c r="D228" s="26"/>
      <c r="E228" s="26"/>
      <c r="F228" s="26"/>
      <c r="G228" s="26"/>
      <c r="H228" s="26"/>
      <c r="I228" s="26"/>
      <c r="J228" s="26"/>
      <c r="K228" s="26"/>
      <c r="L228" s="26"/>
      <c r="M228" s="26"/>
      <c r="N228" s="26"/>
      <c r="O228" s="26"/>
      <c r="P228" s="26"/>
      <c r="Q228" s="26"/>
      <c r="R228" s="26"/>
      <c r="S228" s="26"/>
    </row>
    <row r="229" spans="1:19" ht="15.75" customHeight="1" x14ac:dyDescent="0.25">
      <c r="A229" s="26"/>
      <c r="B229" s="26"/>
      <c r="C229" s="26"/>
      <c r="D229" s="26"/>
      <c r="E229" s="26"/>
      <c r="F229" s="26"/>
      <c r="G229" s="26"/>
      <c r="H229" s="26"/>
      <c r="I229" s="26"/>
      <c r="J229" s="26"/>
      <c r="K229" s="26"/>
      <c r="L229" s="26"/>
      <c r="M229" s="26"/>
      <c r="N229" s="26"/>
      <c r="O229" s="26"/>
      <c r="P229" s="26"/>
      <c r="Q229" s="26"/>
      <c r="R229" s="26"/>
      <c r="S229" s="26"/>
    </row>
    <row r="230" spans="1:19" ht="15.75" customHeight="1" x14ac:dyDescent="0.25">
      <c r="A230" s="26"/>
      <c r="B230" s="26"/>
      <c r="C230" s="26"/>
      <c r="D230" s="26"/>
      <c r="E230" s="26"/>
      <c r="F230" s="26"/>
      <c r="G230" s="26"/>
      <c r="H230" s="26"/>
      <c r="I230" s="26"/>
      <c r="J230" s="26"/>
      <c r="K230" s="26"/>
      <c r="L230" s="26"/>
      <c r="M230" s="26"/>
      <c r="N230" s="26"/>
      <c r="O230" s="26"/>
      <c r="P230" s="26"/>
      <c r="Q230" s="26"/>
      <c r="R230" s="26"/>
      <c r="S230" s="26"/>
    </row>
    <row r="231" spans="1:19" ht="15.75" customHeight="1" x14ac:dyDescent="0.25">
      <c r="A231" s="26"/>
      <c r="B231" s="26"/>
      <c r="C231" s="26"/>
      <c r="D231" s="26"/>
      <c r="E231" s="26"/>
      <c r="F231" s="26"/>
      <c r="G231" s="26"/>
      <c r="H231" s="26"/>
      <c r="I231" s="26"/>
      <c r="J231" s="26"/>
      <c r="K231" s="26"/>
      <c r="L231" s="26"/>
      <c r="M231" s="26"/>
      <c r="N231" s="26"/>
      <c r="O231" s="26"/>
      <c r="P231" s="26"/>
      <c r="Q231" s="26"/>
      <c r="R231" s="26"/>
      <c r="S231" s="26"/>
    </row>
    <row r="232" spans="1:19" ht="15.75" customHeight="1" x14ac:dyDescent="0.25">
      <c r="A232" s="26"/>
      <c r="B232" s="26"/>
      <c r="C232" s="26"/>
      <c r="D232" s="26"/>
      <c r="E232" s="26"/>
      <c r="F232" s="26"/>
      <c r="G232" s="26"/>
      <c r="H232" s="26"/>
      <c r="I232" s="26"/>
      <c r="J232" s="26"/>
      <c r="K232" s="26"/>
      <c r="L232" s="26"/>
      <c r="M232" s="26"/>
      <c r="N232" s="26"/>
      <c r="O232" s="26"/>
      <c r="P232" s="26"/>
      <c r="Q232" s="26"/>
      <c r="R232" s="26"/>
      <c r="S232" s="26"/>
    </row>
    <row r="233" spans="1:19" ht="15.75" customHeight="1" x14ac:dyDescent="0.25">
      <c r="A233" s="26"/>
      <c r="B233" s="26"/>
      <c r="C233" s="26"/>
      <c r="D233" s="26"/>
      <c r="E233" s="26"/>
      <c r="F233" s="26"/>
      <c r="G233" s="26"/>
      <c r="H233" s="26"/>
      <c r="I233" s="26"/>
      <c r="J233" s="26"/>
      <c r="K233" s="26"/>
      <c r="L233" s="26"/>
      <c r="M233" s="26"/>
      <c r="N233" s="26"/>
      <c r="O233" s="26"/>
      <c r="P233" s="26"/>
      <c r="Q233" s="26"/>
      <c r="R233" s="26"/>
      <c r="S233" s="26"/>
    </row>
    <row r="234" spans="1:19" ht="15.75" customHeight="1" x14ac:dyDescent="0.25">
      <c r="A234" s="26"/>
      <c r="B234" s="26"/>
      <c r="C234" s="26"/>
      <c r="D234" s="26"/>
      <c r="E234" s="26"/>
      <c r="F234" s="26"/>
      <c r="G234" s="26"/>
      <c r="H234" s="26"/>
      <c r="I234" s="26"/>
      <c r="J234" s="26"/>
      <c r="K234" s="26"/>
      <c r="L234" s="26"/>
      <c r="M234" s="26"/>
      <c r="N234" s="26"/>
      <c r="O234" s="26"/>
      <c r="P234" s="26"/>
      <c r="Q234" s="26"/>
      <c r="R234" s="26"/>
      <c r="S234" s="26"/>
    </row>
    <row r="235" spans="1:19" ht="15.75" customHeight="1" x14ac:dyDescent="0.25">
      <c r="A235" s="26"/>
      <c r="B235" s="26"/>
      <c r="C235" s="26"/>
      <c r="D235" s="26"/>
      <c r="E235" s="26"/>
      <c r="F235" s="26"/>
      <c r="G235" s="26"/>
      <c r="H235" s="26"/>
      <c r="I235" s="26"/>
      <c r="J235" s="26"/>
      <c r="K235" s="26"/>
      <c r="L235" s="26"/>
      <c r="M235" s="26"/>
      <c r="N235" s="26"/>
      <c r="O235" s="26"/>
      <c r="P235" s="26"/>
      <c r="Q235" s="26"/>
      <c r="R235" s="26"/>
      <c r="S235" s="26"/>
    </row>
    <row r="236" spans="1:19" ht="15.75" customHeight="1" x14ac:dyDescent="0.25">
      <c r="A236" s="26"/>
      <c r="B236" s="26"/>
      <c r="C236" s="26"/>
      <c r="D236" s="26"/>
      <c r="E236" s="26"/>
      <c r="F236" s="26"/>
      <c r="G236" s="26"/>
      <c r="H236" s="26"/>
      <c r="I236" s="26"/>
      <c r="J236" s="26"/>
      <c r="K236" s="26"/>
      <c r="L236" s="26"/>
      <c r="M236" s="26"/>
      <c r="N236" s="26"/>
      <c r="O236" s="26"/>
      <c r="P236" s="26"/>
      <c r="Q236" s="26"/>
      <c r="R236" s="26"/>
      <c r="S236" s="26"/>
    </row>
    <row r="237" spans="1:19" ht="15.75" customHeight="1" x14ac:dyDescent="0.25">
      <c r="A237" s="26"/>
      <c r="B237" s="26"/>
      <c r="C237" s="26"/>
      <c r="D237" s="26"/>
      <c r="E237" s="26"/>
      <c r="F237" s="26"/>
      <c r="G237" s="26"/>
      <c r="H237" s="26"/>
      <c r="I237" s="26"/>
      <c r="J237" s="26"/>
      <c r="K237" s="26"/>
      <c r="L237" s="26"/>
      <c r="M237" s="26"/>
      <c r="N237" s="26"/>
      <c r="O237" s="26"/>
      <c r="P237" s="26"/>
      <c r="Q237" s="26"/>
      <c r="R237" s="26"/>
      <c r="S237" s="26"/>
    </row>
    <row r="238" spans="1:19" ht="15.75" customHeight="1" x14ac:dyDescent="0.25">
      <c r="A238" s="26"/>
      <c r="B238" s="26"/>
      <c r="C238" s="26"/>
      <c r="D238" s="26"/>
      <c r="E238" s="26"/>
      <c r="F238" s="26"/>
      <c r="G238" s="26"/>
      <c r="H238" s="26"/>
      <c r="I238" s="26"/>
      <c r="J238" s="26"/>
      <c r="K238" s="26"/>
      <c r="L238" s="26"/>
      <c r="M238" s="26"/>
      <c r="N238" s="26"/>
      <c r="O238" s="26"/>
      <c r="P238" s="26"/>
      <c r="Q238" s="26"/>
      <c r="R238" s="26"/>
      <c r="S238" s="26"/>
    </row>
    <row r="239" spans="1:19" ht="15.75" customHeight="1" x14ac:dyDescent="0.25">
      <c r="A239" s="26"/>
      <c r="B239" s="26"/>
      <c r="C239" s="26"/>
      <c r="D239" s="26"/>
      <c r="E239" s="26"/>
      <c r="F239" s="26"/>
      <c r="G239" s="26"/>
      <c r="H239" s="26"/>
      <c r="I239" s="26"/>
      <c r="J239" s="26"/>
      <c r="K239" s="26"/>
      <c r="L239" s="26"/>
      <c r="M239" s="26"/>
      <c r="N239" s="26"/>
      <c r="O239" s="26"/>
      <c r="P239" s="26"/>
      <c r="Q239" s="26"/>
      <c r="R239" s="26"/>
      <c r="S239" s="26"/>
    </row>
    <row r="240" spans="1:19" ht="15.75" customHeight="1" x14ac:dyDescent="0.25">
      <c r="A240" s="26"/>
      <c r="B240" s="26"/>
      <c r="C240" s="26"/>
      <c r="D240" s="26"/>
      <c r="E240" s="26"/>
      <c r="F240" s="26"/>
      <c r="G240" s="26"/>
      <c r="H240" s="26"/>
      <c r="I240" s="26"/>
      <c r="J240" s="26"/>
      <c r="K240" s="26"/>
      <c r="L240" s="26"/>
      <c r="M240" s="26"/>
      <c r="N240" s="26"/>
      <c r="O240" s="26"/>
      <c r="P240" s="26"/>
      <c r="Q240" s="26"/>
      <c r="R240" s="26"/>
      <c r="S240" s="26"/>
    </row>
    <row r="241" spans="1:19" ht="15.75" customHeight="1" x14ac:dyDescent="0.25">
      <c r="A241" s="26"/>
      <c r="B241" s="26"/>
      <c r="C241" s="26"/>
      <c r="D241" s="26"/>
      <c r="E241" s="26"/>
      <c r="F241" s="26"/>
      <c r="G241" s="26"/>
      <c r="H241" s="26"/>
      <c r="I241" s="26"/>
      <c r="J241" s="26"/>
      <c r="K241" s="26"/>
      <c r="L241" s="26"/>
      <c r="M241" s="26"/>
      <c r="N241" s="26"/>
      <c r="O241" s="26"/>
      <c r="P241" s="26"/>
      <c r="Q241" s="26"/>
      <c r="R241" s="26"/>
      <c r="S241" s="26"/>
    </row>
    <row r="242" spans="1:19" ht="15.75" customHeight="1" x14ac:dyDescent="0.25">
      <c r="A242" s="26"/>
      <c r="B242" s="26"/>
      <c r="C242" s="26"/>
      <c r="D242" s="26"/>
      <c r="E242" s="26"/>
      <c r="F242" s="26"/>
      <c r="G242" s="26"/>
      <c r="H242" s="26"/>
      <c r="I242" s="26"/>
      <c r="J242" s="26"/>
      <c r="K242" s="26"/>
      <c r="L242" s="26"/>
      <c r="M242" s="26"/>
      <c r="N242" s="26"/>
      <c r="O242" s="26"/>
      <c r="P242" s="26"/>
      <c r="Q242" s="26"/>
      <c r="R242" s="26"/>
      <c r="S242" s="26"/>
    </row>
    <row r="243" spans="1:19" ht="15.75" customHeight="1" x14ac:dyDescent="0.25">
      <c r="A243" s="26"/>
      <c r="B243" s="26"/>
      <c r="C243" s="26"/>
      <c r="D243" s="26"/>
      <c r="E243" s="26"/>
      <c r="F243" s="26"/>
      <c r="G243" s="26"/>
      <c r="H243" s="26"/>
      <c r="I243" s="26"/>
      <c r="J243" s="26"/>
      <c r="K243" s="26"/>
      <c r="L243" s="26"/>
      <c r="M243" s="26"/>
      <c r="N243" s="26"/>
      <c r="O243" s="26"/>
      <c r="P243" s="26"/>
      <c r="Q243" s="26"/>
      <c r="R243" s="26"/>
      <c r="S243" s="26"/>
    </row>
    <row r="244" spans="1:19" ht="15.75" customHeight="1" x14ac:dyDescent="0.25">
      <c r="A244" s="26"/>
      <c r="B244" s="26"/>
      <c r="C244" s="26"/>
      <c r="D244" s="26"/>
      <c r="E244" s="26"/>
      <c r="F244" s="26"/>
      <c r="G244" s="26"/>
      <c r="H244" s="26"/>
      <c r="I244" s="26"/>
      <c r="J244" s="26"/>
      <c r="K244" s="26"/>
      <c r="L244" s="26"/>
      <c r="M244" s="26"/>
      <c r="N244" s="26"/>
      <c r="O244" s="26"/>
      <c r="P244" s="26"/>
      <c r="Q244" s="26"/>
      <c r="R244" s="26"/>
      <c r="S244" s="26"/>
    </row>
    <row r="245" spans="1:19" ht="15.75" customHeight="1" x14ac:dyDescent="0.25">
      <c r="A245" s="26"/>
      <c r="B245" s="26"/>
      <c r="C245" s="26"/>
      <c r="D245" s="26"/>
      <c r="E245" s="26"/>
      <c r="F245" s="26"/>
      <c r="G245" s="26"/>
      <c r="H245" s="26"/>
      <c r="I245" s="26"/>
      <c r="J245" s="26"/>
      <c r="K245" s="26"/>
      <c r="L245" s="26"/>
      <c r="M245" s="26"/>
      <c r="N245" s="26"/>
      <c r="O245" s="26"/>
      <c r="P245" s="26"/>
      <c r="Q245" s="26"/>
      <c r="R245" s="26"/>
      <c r="S245" s="26"/>
    </row>
    <row r="246" spans="1:19" ht="15.75" customHeight="1" x14ac:dyDescent="0.25">
      <c r="A246" s="26"/>
      <c r="B246" s="26"/>
      <c r="C246" s="26"/>
      <c r="D246" s="26"/>
      <c r="E246" s="26"/>
      <c r="F246" s="26"/>
      <c r="G246" s="26"/>
      <c r="H246" s="26"/>
      <c r="I246" s="26"/>
      <c r="J246" s="26"/>
      <c r="K246" s="26"/>
      <c r="L246" s="26"/>
      <c r="M246" s="26"/>
      <c r="N246" s="26"/>
      <c r="O246" s="26"/>
      <c r="P246" s="26"/>
      <c r="Q246" s="26"/>
      <c r="R246" s="26"/>
      <c r="S246" s="26"/>
    </row>
    <row r="247" spans="1:19" ht="15.75" customHeight="1" x14ac:dyDescent="0.25">
      <c r="A247" s="26"/>
      <c r="B247" s="26"/>
      <c r="C247" s="26"/>
      <c r="D247" s="26"/>
      <c r="E247" s="26"/>
      <c r="F247" s="26"/>
      <c r="G247" s="26"/>
      <c r="H247" s="26"/>
      <c r="I247" s="26"/>
      <c r="J247" s="26"/>
      <c r="K247" s="26"/>
      <c r="L247" s="26"/>
      <c r="M247" s="26"/>
      <c r="N247" s="26"/>
      <c r="O247" s="26"/>
      <c r="P247" s="26"/>
      <c r="Q247" s="26"/>
      <c r="R247" s="26"/>
      <c r="S247" s="26"/>
    </row>
    <row r="248" spans="1:19" ht="15.75" customHeight="1" x14ac:dyDescent="0.25">
      <c r="A248" s="26"/>
      <c r="B248" s="26"/>
      <c r="C248" s="26"/>
      <c r="D248" s="26"/>
      <c r="E248" s="26"/>
      <c r="F248" s="26"/>
      <c r="G248" s="26"/>
      <c r="H248" s="26"/>
      <c r="I248" s="26"/>
      <c r="J248" s="26"/>
      <c r="K248" s="26"/>
      <c r="L248" s="26"/>
      <c r="M248" s="26"/>
      <c r="N248" s="26"/>
      <c r="O248" s="26"/>
      <c r="P248" s="26"/>
      <c r="Q248" s="26"/>
      <c r="R248" s="26"/>
      <c r="S248" s="26"/>
    </row>
    <row r="249" spans="1:19" ht="15.75" customHeight="1" x14ac:dyDescent="0.25">
      <c r="A249" s="26"/>
      <c r="B249" s="26"/>
      <c r="C249" s="26"/>
      <c r="D249" s="26"/>
      <c r="E249" s="26"/>
      <c r="F249" s="26"/>
      <c r="G249" s="26"/>
      <c r="H249" s="26"/>
      <c r="I249" s="26"/>
      <c r="J249" s="26"/>
      <c r="K249" s="26"/>
      <c r="L249" s="26"/>
      <c r="M249" s="26"/>
      <c r="N249" s="26"/>
      <c r="O249" s="26"/>
      <c r="P249" s="26"/>
      <c r="Q249" s="26"/>
      <c r="R249" s="26"/>
      <c r="S249" s="26"/>
    </row>
    <row r="250" spans="1:19" ht="15.75" customHeight="1" x14ac:dyDescent="0.25">
      <c r="A250" s="26"/>
      <c r="B250" s="26"/>
      <c r="C250" s="26"/>
      <c r="D250" s="26"/>
      <c r="E250" s="26"/>
      <c r="F250" s="26"/>
      <c r="G250" s="26"/>
      <c r="H250" s="26"/>
      <c r="I250" s="26"/>
      <c r="J250" s="26"/>
      <c r="K250" s="26"/>
      <c r="L250" s="26"/>
      <c r="M250" s="26"/>
      <c r="N250" s="26"/>
      <c r="O250" s="26"/>
      <c r="P250" s="26"/>
      <c r="Q250" s="26"/>
      <c r="R250" s="26"/>
      <c r="S250" s="26"/>
    </row>
    <row r="251" spans="1:19" ht="15.75" customHeight="1" x14ac:dyDescent="0.25">
      <c r="A251" s="26"/>
      <c r="B251" s="26"/>
      <c r="C251" s="26"/>
      <c r="D251" s="26"/>
      <c r="E251" s="26"/>
      <c r="F251" s="26"/>
      <c r="G251" s="26"/>
      <c r="H251" s="26"/>
      <c r="I251" s="26"/>
      <c r="J251" s="26"/>
      <c r="K251" s="26"/>
      <c r="L251" s="26"/>
      <c r="M251" s="26"/>
      <c r="N251" s="26"/>
      <c r="O251" s="26"/>
      <c r="P251" s="26"/>
      <c r="Q251" s="26"/>
      <c r="R251" s="26"/>
      <c r="S251" s="26"/>
    </row>
    <row r="252" spans="1:19" ht="15.75" customHeight="1" x14ac:dyDescent="0.25">
      <c r="A252" s="26"/>
      <c r="B252" s="26"/>
      <c r="C252" s="26"/>
      <c r="D252" s="26"/>
      <c r="E252" s="26"/>
      <c r="F252" s="26"/>
      <c r="G252" s="26"/>
      <c r="H252" s="26"/>
      <c r="I252" s="26"/>
      <c r="J252" s="26"/>
      <c r="K252" s="26"/>
      <c r="L252" s="26"/>
      <c r="M252" s="26"/>
      <c r="N252" s="26"/>
      <c r="O252" s="26"/>
      <c r="P252" s="26"/>
      <c r="Q252" s="26"/>
      <c r="R252" s="26"/>
      <c r="S252" s="26"/>
    </row>
    <row r="253" spans="1:19" ht="15.75" customHeight="1" x14ac:dyDescent="0.25">
      <c r="A253" s="26"/>
      <c r="B253" s="26"/>
      <c r="C253" s="26"/>
      <c r="D253" s="26"/>
      <c r="E253" s="26"/>
      <c r="F253" s="26"/>
      <c r="G253" s="26"/>
      <c r="H253" s="26"/>
      <c r="I253" s="26"/>
      <c r="J253" s="26"/>
      <c r="K253" s="26"/>
      <c r="L253" s="26"/>
      <c r="M253" s="26"/>
      <c r="N253" s="26"/>
      <c r="O253" s="26"/>
      <c r="P253" s="26"/>
      <c r="Q253" s="26"/>
      <c r="R253" s="26"/>
      <c r="S253" s="26"/>
    </row>
    <row r="254" spans="1:19" ht="15.75" customHeight="1" x14ac:dyDescent="0.25">
      <c r="A254" s="26"/>
      <c r="B254" s="26"/>
      <c r="C254" s="26"/>
      <c r="D254" s="26"/>
      <c r="E254" s="26"/>
      <c r="F254" s="26"/>
      <c r="G254" s="26"/>
      <c r="H254" s="26"/>
      <c r="I254" s="26"/>
      <c r="J254" s="26"/>
      <c r="K254" s="26"/>
      <c r="L254" s="26"/>
      <c r="M254" s="26"/>
      <c r="N254" s="26"/>
      <c r="O254" s="26"/>
      <c r="P254" s="26"/>
      <c r="Q254" s="26"/>
      <c r="R254" s="26"/>
      <c r="S254" s="26"/>
    </row>
    <row r="255" spans="1:19" ht="15.75" customHeight="1" x14ac:dyDescent="0.25">
      <c r="A255" s="26"/>
      <c r="B255" s="26"/>
      <c r="C255" s="26"/>
      <c r="D255" s="26"/>
      <c r="E255" s="26"/>
      <c r="F255" s="26"/>
      <c r="G255" s="26"/>
      <c r="H255" s="26"/>
      <c r="I255" s="26"/>
      <c r="J255" s="26"/>
      <c r="K255" s="26"/>
      <c r="L255" s="26"/>
      <c r="M255" s="26"/>
      <c r="N255" s="26"/>
      <c r="O255" s="26"/>
      <c r="P255" s="26"/>
      <c r="Q255" s="26"/>
      <c r="R255" s="26"/>
      <c r="S255" s="26"/>
    </row>
    <row r="256" spans="1:19" ht="15.75" customHeight="1" x14ac:dyDescent="0.25">
      <c r="A256" s="26"/>
      <c r="B256" s="26"/>
      <c r="C256" s="26"/>
      <c r="D256" s="26"/>
      <c r="E256" s="26"/>
      <c r="F256" s="26"/>
      <c r="G256" s="26"/>
      <c r="H256" s="26"/>
      <c r="I256" s="26"/>
      <c r="J256" s="26"/>
      <c r="K256" s="26"/>
      <c r="L256" s="26"/>
      <c r="M256" s="26"/>
      <c r="N256" s="26"/>
      <c r="O256" s="26"/>
      <c r="P256" s="26"/>
      <c r="Q256" s="26"/>
      <c r="R256" s="26"/>
      <c r="S256" s="26"/>
    </row>
    <row r="257" spans="1:19" ht="15.75" customHeight="1" x14ac:dyDescent="0.25">
      <c r="A257" s="26"/>
      <c r="B257" s="26"/>
      <c r="C257" s="26"/>
      <c r="D257" s="26"/>
      <c r="E257" s="26"/>
      <c r="F257" s="26"/>
      <c r="G257" s="26"/>
      <c r="H257" s="26"/>
      <c r="I257" s="26"/>
      <c r="J257" s="26"/>
      <c r="K257" s="26"/>
      <c r="L257" s="26"/>
      <c r="M257" s="26"/>
      <c r="N257" s="26"/>
      <c r="O257" s="26"/>
      <c r="P257" s="26"/>
      <c r="Q257" s="26"/>
      <c r="R257" s="26"/>
      <c r="S257" s="26"/>
    </row>
    <row r="258" spans="1:19" ht="15.75" customHeight="1" x14ac:dyDescent="0.25">
      <c r="A258" s="26"/>
      <c r="B258" s="26"/>
      <c r="C258" s="26"/>
      <c r="D258" s="26"/>
      <c r="E258" s="26"/>
      <c r="F258" s="26"/>
      <c r="G258" s="26"/>
      <c r="H258" s="26"/>
      <c r="I258" s="26"/>
      <c r="J258" s="26"/>
      <c r="K258" s="26"/>
      <c r="L258" s="26"/>
      <c r="M258" s="26"/>
      <c r="N258" s="26"/>
      <c r="O258" s="26"/>
      <c r="P258" s="26"/>
      <c r="Q258" s="26"/>
      <c r="R258" s="26"/>
      <c r="S258" s="26"/>
    </row>
    <row r="259" spans="1:19" ht="15.75" customHeight="1" x14ac:dyDescent="0.25">
      <c r="A259" s="26"/>
      <c r="B259" s="26"/>
      <c r="C259" s="26"/>
      <c r="D259" s="26"/>
      <c r="E259" s="26"/>
      <c r="F259" s="26"/>
      <c r="G259" s="26"/>
      <c r="H259" s="26"/>
      <c r="I259" s="26"/>
      <c r="J259" s="26"/>
      <c r="K259" s="26"/>
      <c r="L259" s="26"/>
      <c r="M259" s="26"/>
      <c r="N259" s="26"/>
      <c r="O259" s="26"/>
      <c r="P259" s="26"/>
      <c r="Q259" s="26"/>
      <c r="R259" s="26"/>
      <c r="S259" s="26"/>
    </row>
    <row r="260" spans="1:19" ht="15.75" customHeight="1" x14ac:dyDescent="0.25">
      <c r="A260" s="26"/>
      <c r="B260" s="26"/>
      <c r="C260" s="26"/>
      <c r="D260" s="26"/>
      <c r="E260" s="26"/>
      <c r="F260" s="26"/>
      <c r="G260" s="26"/>
      <c r="H260" s="26"/>
      <c r="I260" s="26"/>
      <c r="J260" s="26"/>
      <c r="K260" s="26"/>
      <c r="L260" s="26"/>
      <c r="M260" s="26"/>
      <c r="N260" s="26"/>
      <c r="O260" s="26"/>
      <c r="P260" s="26"/>
      <c r="Q260" s="26"/>
      <c r="R260" s="26"/>
      <c r="S260" s="26"/>
    </row>
    <row r="261" spans="1:19" ht="15.75" customHeight="1" x14ac:dyDescent="0.25">
      <c r="A261" s="26"/>
      <c r="B261" s="26"/>
      <c r="C261" s="26"/>
      <c r="D261" s="26"/>
      <c r="E261" s="26"/>
      <c r="F261" s="26"/>
      <c r="G261" s="26"/>
      <c r="H261" s="26"/>
      <c r="I261" s="26"/>
      <c r="J261" s="26"/>
      <c r="K261" s="26"/>
      <c r="L261" s="26"/>
      <c r="M261" s="26"/>
      <c r="N261" s="26"/>
      <c r="O261" s="26"/>
      <c r="P261" s="26"/>
      <c r="Q261" s="26"/>
      <c r="R261" s="26"/>
      <c r="S261" s="26"/>
    </row>
    <row r="262" spans="1:19" ht="15.75" customHeight="1" x14ac:dyDescent="0.25">
      <c r="A262" s="26"/>
      <c r="B262" s="26"/>
      <c r="C262" s="26"/>
      <c r="D262" s="26"/>
      <c r="E262" s="26"/>
      <c r="F262" s="26"/>
      <c r="G262" s="26"/>
      <c r="H262" s="26"/>
      <c r="I262" s="26"/>
      <c r="J262" s="26"/>
      <c r="K262" s="26"/>
      <c r="L262" s="26"/>
      <c r="M262" s="26"/>
      <c r="N262" s="26"/>
      <c r="O262" s="26"/>
      <c r="P262" s="26"/>
      <c r="Q262" s="26"/>
      <c r="R262" s="26"/>
      <c r="S262" s="26"/>
    </row>
    <row r="263" spans="1:19" ht="15.75" customHeight="1" x14ac:dyDescent="0.25">
      <c r="A263" s="26"/>
      <c r="B263" s="26"/>
      <c r="C263" s="26"/>
      <c r="D263" s="26"/>
      <c r="E263" s="26"/>
      <c r="F263" s="26"/>
      <c r="G263" s="26"/>
      <c r="H263" s="26"/>
      <c r="I263" s="26"/>
      <c r="J263" s="26"/>
      <c r="K263" s="26"/>
      <c r="L263" s="26"/>
      <c r="M263" s="26"/>
      <c r="N263" s="26"/>
      <c r="O263" s="26"/>
      <c r="P263" s="26"/>
      <c r="Q263" s="26"/>
      <c r="R263" s="26"/>
      <c r="S263" s="26"/>
    </row>
    <row r="264" spans="1:19" ht="15.75" customHeight="1" x14ac:dyDescent="0.25">
      <c r="A264" s="26"/>
      <c r="B264" s="26"/>
      <c r="C264" s="26"/>
      <c r="D264" s="26"/>
      <c r="E264" s="26"/>
      <c r="F264" s="26"/>
      <c r="G264" s="26"/>
      <c r="H264" s="26"/>
      <c r="I264" s="26"/>
      <c r="J264" s="26"/>
      <c r="K264" s="26"/>
      <c r="L264" s="26"/>
      <c r="M264" s="26"/>
      <c r="N264" s="26"/>
      <c r="O264" s="26"/>
      <c r="P264" s="26"/>
      <c r="Q264" s="26"/>
      <c r="R264" s="26"/>
      <c r="S264" s="26"/>
    </row>
    <row r="265" spans="1:19" ht="15.75" customHeight="1" x14ac:dyDescent="0.25">
      <c r="A265" s="26"/>
      <c r="B265" s="26"/>
      <c r="C265" s="26"/>
      <c r="D265" s="26"/>
      <c r="E265" s="26"/>
      <c r="F265" s="26"/>
      <c r="G265" s="26"/>
      <c r="H265" s="26"/>
      <c r="I265" s="26"/>
      <c r="J265" s="26"/>
      <c r="K265" s="26"/>
      <c r="L265" s="26"/>
      <c r="M265" s="26"/>
      <c r="N265" s="26"/>
      <c r="O265" s="26"/>
      <c r="P265" s="26"/>
      <c r="Q265" s="26"/>
      <c r="R265" s="26"/>
      <c r="S265" s="26"/>
    </row>
    <row r="266" spans="1:19" ht="15.75" customHeight="1" x14ac:dyDescent="0.25">
      <c r="A266" s="26"/>
      <c r="B266" s="26"/>
      <c r="C266" s="26"/>
      <c r="D266" s="26"/>
      <c r="E266" s="26"/>
      <c r="F266" s="26"/>
      <c r="G266" s="26"/>
      <c r="H266" s="26"/>
      <c r="I266" s="26"/>
      <c r="J266" s="26"/>
      <c r="K266" s="26"/>
      <c r="L266" s="26"/>
      <c r="M266" s="26"/>
      <c r="N266" s="26"/>
      <c r="O266" s="26"/>
      <c r="P266" s="26"/>
      <c r="Q266" s="26"/>
      <c r="R266" s="26"/>
      <c r="S266" s="26"/>
    </row>
    <row r="267" spans="1:19" ht="15.75" customHeight="1" x14ac:dyDescent="0.25">
      <c r="A267" s="26"/>
      <c r="B267" s="26"/>
      <c r="C267" s="26"/>
      <c r="D267" s="26"/>
      <c r="E267" s="26"/>
      <c r="F267" s="26"/>
      <c r="G267" s="26"/>
      <c r="H267" s="26"/>
      <c r="I267" s="26"/>
      <c r="J267" s="26"/>
      <c r="K267" s="26"/>
      <c r="L267" s="26"/>
      <c r="M267" s="26"/>
      <c r="N267" s="26"/>
      <c r="O267" s="26"/>
      <c r="P267" s="26"/>
      <c r="Q267" s="26"/>
      <c r="R267" s="26"/>
      <c r="S267" s="26"/>
    </row>
    <row r="268" spans="1:19" ht="15.75" customHeight="1" x14ac:dyDescent="0.25">
      <c r="A268" s="26"/>
      <c r="B268" s="26"/>
      <c r="C268" s="26"/>
      <c r="D268" s="26"/>
      <c r="E268" s="26"/>
      <c r="F268" s="26"/>
      <c r="G268" s="26"/>
      <c r="H268" s="26"/>
      <c r="I268" s="26"/>
      <c r="J268" s="26"/>
      <c r="K268" s="26"/>
      <c r="L268" s="26"/>
      <c r="M268" s="26"/>
      <c r="N268" s="26"/>
      <c r="O268" s="26"/>
      <c r="P268" s="26"/>
      <c r="Q268" s="26"/>
      <c r="R268" s="26"/>
      <c r="S268" s="26"/>
    </row>
    <row r="269" spans="1:19" ht="15.75" customHeight="1" x14ac:dyDescent="0.25">
      <c r="A269" s="26"/>
      <c r="B269" s="26"/>
      <c r="C269" s="26"/>
      <c r="D269" s="26"/>
      <c r="E269" s="26"/>
      <c r="F269" s="26"/>
      <c r="G269" s="26"/>
      <c r="H269" s="26"/>
      <c r="I269" s="26"/>
      <c r="J269" s="26"/>
      <c r="K269" s="26"/>
      <c r="L269" s="26"/>
      <c r="M269" s="26"/>
      <c r="N269" s="26"/>
      <c r="O269" s="26"/>
      <c r="P269" s="26"/>
      <c r="Q269" s="26"/>
      <c r="R269" s="26"/>
      <c r="S269" s="26"/>
    </row>
    <row r="270" spans="1:19" ht="15.75" customHeight="1" x14ac:dyDescent="0.25">
      <c r="A270" s="26"/>
      <c r="B270" s="26"/>
      <c r="C270" s="26"/>
      <c r="D270" s="26"/>
      <c r="E270" s="26"/>
      <c r="F270" s="26"/>
      <c r="G270" s="26"/>
      <c r="H270" s="26"/>
      <c r="I270" s="26"/>
      <c r="J270" s="26"/>
      <c r="K270" s="26"/>
      <c r="L270" s="26"/>
      <c r="M270" s="26"/>
      <c r="N270" s="26"/>
      <c r="O270" s="26"/>
      <c r="P270" s="26"/>
      <c r="Q270" s="26"/>
      <c r="R270" s="26"/>
      <c r="S270" s="26"/>
    </row>
    <row r="271" spans="1:19" ht="15.75" customHeight="1" x14ac:dyDescent="0.25">
      <c r="A271" s="26"/>
      <c r="B271" s="26"/>
      <c r="C271" s="26"/>
      <c r="D271" s="26"/>
      <c r="E271" s="26"/>
      <c r="F271" s="26"/>
      <c r="G271" s="26"/>
      <c r="H271" s="26"/>
      <c r="I271" s="26"/>
      <c r="J271" s="26"/>
      <c r="K271" s="26"/>
      <c r="L271" s="26"/>
      <c r="M271" s="26"/>
      <c r="N271" s="26"/>
      <c r="O271" s="26"/>
      <c r="P271" s="26"/>
      <c r="Q271" s="26"/>
      <c r="R271" s="26"/>
      <c r="S271" s="26"/>
    </row>
    <row r="272" spans="1:19" ht="15.75" customHeight="1" x14ac:dyDescent="0.25">
      <c r="A272" s="26"/>
      <c r="B272" s="26"/>
      <c r="C272" s="26"/>
      <c r="D272" s="26"/>
      <c r="E272" s="26"/>
      <c r="F272" s="26"/>
      <c r="G272" s="26"/>
      <c r="H272" s="26"/>
      <c r="I272" s="26"/>
      <c r="J272" s="26"/>
      <c r="K272" s="26"/>
      <c r="L272" s="26"/>
      <c r="M272" s="26"/>
      <c r="N272" s="26"/>
      <c r="O272" s="26"/>
      <c r="P272" s="26"/>
      <c r="Q272" s="26"/>
      <c r="R272" s="26"/>
      <c r="S272" s="26"/>
    </row>
    <row r="273" spans="1:19" ht="15.75" customHeight="1" x14ac:dyDescent="0.25">
      <c r="A273" s="26"/>
      <c r="B273" s="26"/>
      <c r="C273" s="26"/>
      <c r="D273" s="26"/>
      <c r="E273" s="26"/>
      <c r="F273" s="26"/>
      <c r="G273" s="26"/>
      <c r="H273" s="26"/>
      <c r="I273" s="26"/>
      <c r="J273" s="26"/>
      <c r="K273" s="26"/>
      <c r="L273" s="26"/>
      <c r="M273" s="26"/>
      <c r="N273" s="26"/>
      <c r="O273" s="26"/>
      <c r="P273" s="26"/>
      <c r="Q273" s="26"/>
      <c r="R273" s="26"/>
      <c r="S273" s="26"/>
    </row>
    <row r="274" spans="1:19" ht="15.75" customHeight="1" x14ac:dyDescent="0.25">
      <c r="A274" s="26"/>
      <c r="B274" s="26"/>
      <c r="C274" s="26"/>
      <c r="D274" s="26"/>
      <c r="E274" s="26"/>
      <c r="F274" s="26"/>
      <c r="G274" s="26"/>
      <c r="H274" s="26"/>
      <c r="I274" s="26"/>
      <c r="J274" s="26"/>
      <c r="K274" s="26"/>
      <c r="L274" s="26"/>
      <c r="M274" s="26"/>
      <c r="N274" s="26"/>
      <c r="O274" s="26"/>
      <c r="P274" s="26"/>
      <c r="Q274" s="26"/>
      <c r="R274" s="26"/>
      <c r="S274" s="26"/>
    </row>
    <row r="275" spans="1:19" ht="15.75" customHeight="1" x14ac:dyDescent="0.25">
      <c r="A275" s="26"/>
      <c r="B275" s="26"/>
      <c r="C275" s="26"/>
      <c r="D275" s="26"/>
      <c r="E275" s="26"/>
      <c r="F275" s="26"/>
      <c r="G275" s="26"/>
      <c r="H275" s="26"/>
      <c r="I275" s="26"/>
      <c r="J275" s="26"/>
      <c r="K275" s="26"/>
      <c r="L275" s="26"/>
      <c r="M275" s="26"/>
      <c r="N275" s="26"/>
      <c r="O275" s="26"/>
      <c r="P275" s="26"/>
      <c r="Q275" s="26"/>
      <c r="R275" s="26"/>
      <c r="S275" s="26"/>
    </row>
    <row r="276" spans="1:19" ht="15.75" customHeight="1" x14ac:dyDescent="0.25">
      <c r="A276" s="26"/>
      <c r="B276" s="26"/>
      <c r="C276" s="26"/>
      <c r="D276" s="26"/>
      <c r="E276" s="26"/>
      <c r="F276" s="26"/>
      <c r="G276" s="26"/>
      <c r="H276" s="26"/>
      <c r="I276" s="26"/>
      <c r="J276" s="26"/>
      <c r="K276" s="26"/>
      <c r="L276" s="26"/>
      <c r="M276" s="26"/>
      <c r="N276" s="26"/>
      <c r="O276" s="26"/>
      <c r="P276" s="26"/>
      <c r="Q276" s="26"/>
      <c r="R276" s="26"/>
      <c r="S276" s="26"/>
    </row>
    <row r="277" spans="1:19" ht="15.75" customHeight="1" x14ac:dyDescent="0.25">
      <c r="A277" s="26"/>
      <c r="B277" s="26"/>
      <c r="C277" s="26"/>
      <c r="D277" s="26"/>
      <c r="E277" s="26"/>
      <c r="F277" s="26"/>
      <c r="G277" s="26"/>
      <c r="H277" s="26"/>
      <c r="I277" s="26"/>
      <c r="J277" s="26"/>
      <c r="K277" s="26"/>
      <c r="L277" s="26"/>
      <c r="M277" s="26"/>
      <c r="N277" s="26"/>
      <c r="O277" s="26"/>
      <c r="P277" s="26"/>
      <c r="Q277" s="26"/>
      <c r="R277" s="26"/>
      <c r="S277" s="26"/>
    </row>
    <row r="278" spans="1:19" ht="15.75" customHeight="1" x14ac:dyDescent="0.25">
      <c r="A278" s="26"/>
      <c r="B278" s="26"/>
      <c r="C278" s="26"/>
      <c r="D278" s="26"/>
      <c r="E278" s="26"/>
      <c r="F278" s="26"/>
      <c r="G278" s="26"/>
      <c r="H278" s="26"/>
      <c r="I278" s="26"/>
      <c r="J278" s="26"/>
      <c r="K278" s="26"/>
      <c r="L278" s="26"/>
      <c r="M278" s="26"/>
      <c r="N278" s="26"/>
      <c r="O278" s="26"/>
      <c r="P278" s="26"/>
      <c r="Q278" s="26"/>
      <c r="R278" s="26"/>
      <c r="S278" s="26"/>
    </row>
    <row r="279" spans="1:19" ht="15.75" customHeight="1" x14ac:dyDescent="0.25">
      <c r="A279" s="26"/>
      <c r="B279" s="26"/>
      <c r="C279" s="26"/>
      <c r="D279" s="26"/>
      <c r="E279" s="26"/>
      <c r="F279" s="26"/>
      <c r="G279" s="26"/>
      <c r="H279" s="26"/>
      <c r="I279" s="26"/>
      <c r="J279" s="26"/>
      <c r="K279" s="26"/>
      <c r="L279" s="26"/>
      <c r="M279" s="26"/>
      <c r="N279" s="26"/>
      <c r="O279" s="26"/>
      <c r="P279" s="26"/>
      <c r="Q279" s="26"/>
      <c r="R279" s="26"/>
      <c r="S279" s="26"/>
    </row>
    <row r="280" spans="1:19" ht="15.75" customHeight="1" x14ac:dyDescent="0.25">
      <c r="A280" s="26"/>
      <c r="B280" s="26"/>
      <c r="C280" s="26"/>
      <c r="D280" s="26"/>
      <c r="E280" s="26"/>
      <c r="F280" s="26"/>
      <c r="G280" s="26"/>
      <c r="H280" s="26"/>
      <c r="I280" s="26"/>
      <c r="J280" s="26"/>
      <c r="K280" s="26"/>
      <c r="L280" s="26"/>
      <c r="M280" s="26"/>
      <c r="N280" s="26"/>
      <c r="O280" s="26"/>
      <c r="P280" s="26"/>
      <c r="Q280" s="26"/>
      <c r="R280" s="26"/>
      <c r="S280" s="26"/>
    </row>
    <row r="281" spans="1:19" ht="15.75" customHeight="1" x14ac:dyDescent="0.25">
      <c r="A281" s="26"/>
      <c r="B281" s="26"/>
      <c r="C281" s="26"/>
      <c r="D281" s="26"/>
      <c r="E281" s="26"/>
      <c r="F281" s="26"/>
      <c r="G281" s="26"/>
      <c r="H281" s="26"/>
      <c r="I281" s="26"/>
      <c r="J281" s="26"/>
      <c r="K281" s="26"/>
      <c r="L281" s="26"/>
      <c r="M281" s="26"/>
      <c r="N281" s="26"/>
      <c r="O281" s="26"/>
      <c r="P281" s="26"/>
      <c r="Q281" s="26"/>
      <c r="R281" s="26"/>
      <c r="S281" s="26"/>
    </row>
    <row r="282" spans="1:19" ht="15.75" customHeight="1" x14ac:dyDescent="0.25">
      <c r="A282" s="26"/>
      <c r="B282" s="26"/>
      <c r="C282" s="26"/>
      <c r="D282" s="26"/>
      <c r="E282" s="26"/>
      <c r="F282" s="26"/>
      <c r="G282" s="26"/>
      <c r="H282" s="26"/>
      <c r="I282" s="26"/>
      <c r="J282" s="26"/>
      <c r="K282" s="26"/>
      <c r="L282" s="26"/>
      <c r="M282" s="26"/>
      <c r="N282" s="26"/>
      <c r="O282" s="26"/>
      <c r="P282" s="26"/>
      <c r="Q282" s="26"/>
      <c r="R282" s="26"/>
      <c r="S282" s="26"/>
    </row>
    <row r="283" spans="1:19" ht="15.75" customHeight="1" x14ac:dyDescent="0.25">
      <c r="A283" s="26"/>
      <c r="B283" s="26"/>
      <c r="C283" s="26"/>
      <c r="D283" s="26"/>
      <c r="E283" s="26"/>
      <c r="F283" s="26"/>
      <c r="G283" s="26"/>
      <c r="H283" s="26"/>
      <c r="I283" s="26"/>
      <c r="J283" s="26"/>
      <c r="K283" s="26"/>
      <c r="L283" s="26"/>
      <c r="M283" s="26"/>
      <c r="N283" s="26"/>
      <c r="O283" s="26"/>
      <c r="P283" s="26"/>
      <c r="Q283" s="26"/>
      <c r="R283" s="26"/>
      <c r="S283" s="26"/>
    </row>
    <row r="284" spans="1:19" ht="15.75" customHeight="1" x14ac:dyDescent="0.25">
      <c r="A284" s="26"/>
      <c r="B284" s="26"/>
      <c r="C284" s="26"/>
      <c r="D284" s="26"/>
      <c r="E284" s="26"/>
      <c r="F284" s="26"/>
      <c r="G284" s="26"/>
      <c r="H284" s="26"/>
      <c r="I284" s="26"/>
      <c r="J284" s="26"/>
      <c r="K284" s="26"/>
      <c r="L284" s="26"/>
      <c r="M284" s="26"/>
      <c r="N284" s="26"/>
      <c r="O284" s="26"/>
      <c r="P284" s="26"/>
      <c r="Q284" s="26"/>
      <c r="R284" s="26"/>
      <c r="S284" s="26"/>
    </row>
    <row r="285" spans="1:19" ht="15.75" customHeight="1" x14ac:dyDescent="0.25">
      <c r="A285" s="26"/>
      <c r="B285" s="26"/>
      <c r="C285" s="26"/>
      <c r="D285" s="26"/>
      <c r="E285" s="26"/>
      <c r="F285" s="26"/>
      <c r="G285" s="26"/>
      <c r="H285" s="26"/>
      <c r="I285" s="26"/>
      <c r="J285" s="26"/>
      <c r="K285" s="26"/>
      <c r="L285" s="26"/>
      <c r="M285" s="26"/>
      <c r="N285" s="26"/>
      <c r="O285" s="26"/>
      <c r="P285" s="26"/>
      <c r="Q285" s="26"/>
      <c r="R285" s="26"/>
      <c r="S285" s="26"/>
    </row>
    <row r="286" spans="1:19" ht="15.75" customHeight="1" x14ac:dyDescent="0.25">
      <c r="A286" s="26"/>
      <c r="B286" s="26"/>
      <c r="C286" s="26"/>
      <c r="D286" s="26"/>
      <c r="E286" s="26"/>
      <c r="F286" s="26"/>
      <c r="G286" s="26"/>
      <c r="H286" s="26"/>
      <c r="I286" s="26"/>
      <c r="J286" s="26"/>
      <c r="K286" s="26"/>
      <c r="L286" s="26"/>
      <c r="M286" s="26"/>
      <c r="N286" s="26"/>
      <c r="O286" s="26"/>
      <c r="P286" s="26"/>
      <c r="Q286" s="26"/>
      <c r="R286" s="26"/>
      <c r="S286" s="26"/>
    </row>
    <row r="287" spans="1:19" ht="15.75" customHeight="1" x14ac:dyDescent="0.25">
      <c r="A287" s="26"/>
      <c r="B287" s="26"/>
      <c r="C287" s="26"/>
      <c r="D287" s="26"/>
      <c r="E287" s="26"/>
      <c r="F287" s="26"/>
      <c r="G287" s="26"/>
      <c r="H287" s="26"/>
      <c r="I287" s="26"/>
      <c r="J287" s="26"/>
      <c r="K287" s="26"/>
      <c r="L287" s="26"/>
      <c r="M287" s="26"/>
      <c r="N287" s="26"/>
      <c r="O287" s="26"/>
      <c r="P287" s="26"/>
      <c r="Q287" s="26"/>
      <c r="R287" s="26"/>
      <c r="S287" s="26"/>
    </row>
    <row r="288" spans="1:19" ht="15.75" customHeight="1" x14ac:dyDescent="0.25">
      <c r="A288" s="26"/>
      <c r="B288" s="26"/>
      <c r="C288" s="26"/>
      <c r="D288" s="26"/>
      <c r="E288" s="26"/>
      <c r="F288" s="26"/>
      <c r="G288" s="26"/>
      <c r="H288" s="26"/>
      <c r="I288" s="26"/>
      <c r="J288" s="26"/>
      <c r="K288" s="26"/>
      <c r="L288" s="26"/>
      <c r="M288" s="26"/>
      <c r="N288" s="26"/>
      <c r="O288" s="26"/>
      <c r="P288" s="26"/>
      <c r="Q288" s="26"/>
      <c r="R288" s="26"/>
      <c r="S288" s="26"/>
    </row>
    <row r="289" spans="1:19" ht="15.75" customHeight="1" x14ac:dyDescent="0.25">
      <c r="A289" s="26"/>
      <c r="B289" s="26"/>
      <c r="C289" s="26"/>
      <c r="D289" s="26"/>
      <c r="E289" s="26"/>
      <c r="F289" s="26"/>
      <c r="G289" s="26"/>
      <c r="H289" s="26"/>
      <c r="I289" s="26"/>
      <c r="J289" s="26"/>
      <c r="K289" s="26"/>
      <c r="L289" s="26"/>
      <c r="M289" s="26"/>
      <c r="N289" s="26"/>
      <c r="O289" s="26"/>
      <c r="P289" s="26"/>
      <c r="Q289" s="26"/>
      <c r="R289" s="26"/>
      <c r="S289" s="26"/>
    </row>
    <row r="290" spans="1:19" ht="15.75" customHeight="1" x14ac:dyDescent="0.25">
      <c r="A290" s="26"/>
      <c r="B290" s="26"/>
      <c r="C290" s="26"/>
      <c r="D290" s="26"/>
      <c r="E290" s="26"/>
      <c r="F290" s="26"/>
      <c r="G290" s="26"/>
      <c r="H290" s="26"/>
      <c r="I290" s="26"/>
      <c r="J290" s="26"/>
      <c r="K290" s="26"/>
      <c r="L290" s="26"/>
      <c r="M290" s="26"/>
      <c r="N290" s="26"/>
      <c r="O290" s="26"/>
      <c r="P290" s="26"/>
      <c r="Q290" s="26"/>
      <c r="R290" s="26"/>
      <c r="S290" s="26"/>
    </row>
    <row r="291" spans="1:19" ht="15.75" customHeight="1" x14ac:dyDescent="0.25">
      <c r="A291" s="26"/>
      <c r="B291" s="26"/>
      <c r="C291" s="26"/>
      <c r="D291" s="26"/>
      <c r="E291" s="26"/>
      <c r="F291" s="26"/>
      <c r="G291" s="26"/>
      <c r="H291" s="26"/>
      <c r="I291" s="26"/>
      <c r="J291" s="26"/>
      <c r="K291" s="26"/>
      <c r="L291" s="26"/>
      <c r="M291" s="26"/>
      <c r="N291" s="26"/>
      <c r="O291" s="26"/>
      <c r="P291" s="26"/>
      <c r="Q291" s="26"/>
      <c r="R291" s="26"/>
      <c r="S291" s="26"/>
    </row>
    <row r="292" spans="1:19" ht="15.75" customHeight="1" x14ac:dyDescent="0.25">
      <c r="A292" s="26"/>
      <c r="B292" s="26"/>
      <c r="C292" s="26"/>
      <c r="D292" s="26"/>
      <c r="E292" s="26"/>
      <c r="F292" s="26"/>
      <c r="G292" s="26"/>
      <c r="H292" s="26"/>
      <c r="I292" s="26"/>
      <c r="J292" s="26"/>
      <c r="K292" s="26"/>
      <c r="L292" s="26"/>
      <c r="M292" s="26"/>
      <c r="N292" s="26"/>
      <c r="O292" s="26"/>
      <c r="P292" s="26"/>
      <c r="Q292" s="26"/>
      <c r="R292" s="26"/>
      <c r="S292" s="26"/>
    </row>
    <row r="293" spans="1:19" ht="15.75" customHeight="1" x14ac:dyDescent="0.25">
      <c r="A293" s="26"/>
      <c r="B293" s="26"/>
      <c r="C293" s="26"/>
      <c r="D293" s="26"/>
      <c r="E293" s="26"/>
      <c r="F293" s="26"/>
      <c r="G293" s="26"/>
      <c r="H293" s="26"/>
      <c r="I293" s="26"/>
      <c r="J293" s="26"/>
      <c r="K293" s="26"/>
      <c r="L293" s="26"/>
      <c r="M293" s="26"/>
      <c r="N293" s="26"/>
      <c r="O293" s="26"/>
      <c r="P293" s="26"/>
      <c r="Q293" s="26"/>
      <c r="R293" s="26"/>
      <c r="S293" s="26"/>
    </row>
    <row r="294" spans="1:19" ht="15.75" customHeight="1" x14ac:dyDescent="0.25">
      <c r="A294" s="26"/>
      <c r="B294" s="26"/>
      <c r="C294" s="26"/>
      <c r="D294" s="26"/>
      <c r="E294" s="26"/>
      <c r="F294" s="26"/>
      <c r="G294" s="26"/>
      <c r="H294" s="26"/>
      <c r="I294" s="26"/>
      <c r="J294" s="26"/>
      <c r="K294" s="26"/>
      <c r="L294" s="26"/>
      <c r="M294" s="26"/>
      <c r="N294" s="26"/>
      <c r="O294" s="26"/>
      <c r="P294" s="26"/>
      <c r="Q294" s="26"/>
      <c r="R294" s="26"/>
      <c r="S294" s="26"/>
    </row>
    <row r="295" spans="1:19" ht="15.75" customHeight="1" x14ac:dyDescent="0.25">
      <c r="A295" s="26"/>
      <c r="B295" s="26"/>
      <c r="C295" s="26"/>
      <c r="D295" s="26"/>
      <c r="E295" s="26"/>
      <c r="F295" s="26"/>
      <c r="G295" s="26"/>
      <c r="H295" s="26"/>
      <c r="I295" s="26"/>
      <c r="J295" s="26"/>
      <c r="K295" s="26"/>
      <c r="L295" s="26"/>
      <c r="M295" s="26"/>
      <c r="N295" s="26"/>
      <c r="O295" s="26"/>
      <c r="P295" s="26"/>
      <c r="Q295" s="26"/>
      <c r="R295" s="26"/>
      <c r="S295" s="26"/>
    </row>
    <row r="296" spans="1:19" ht="15.75" customHeight="1" x14ac:dyDescent="0.25">
      <c r="A296" s="26"/>
      <c r="B296" s="26"/>
      <c r="C296" s="26"/>
      <c r="D296" s="26"/>
      <c r="E296" s="26"/>
      <c r="F296" s="26"/>
      <c r="G296" s="26"/>
      <c r="H296" s="26"/>
      <c r="I296" s="26"/>
      <c r="J296" s="26"/>
      <c r="K296" s="26"/>
      <c r="L296" s="26"/>
      <c r="M296" s="26"/>
      <c r="N296" s="26"/>
      <c r="O296" s="26"/>
      <c r="P296" s="26"/>
      <c r="Q296" s="26"/>
      <c r="R296" s="26"/>
      <c r="S296" s="26"/>
    </row>
    <row r="297" spans="1:19" ht="15.75" customHeight="1" x14ac:dyDescent="0.25">
      <c r="A297" s="26"/>
      <c r="B297" s="26"/>
      <c r="C297" s="26"/>
      <c r="D297" s="26"/>
      <c r="E297" s="26"/>
      <c r="F297" s="26"/>
      <c r="G297" s="26"/>
      <c r="H297" s="26"/>
      <c r="I297" s="26"/>
      <c r="J297" s="26"/>
      <c r="K297" s="26"/>
      <c r="L297" s="26"/>
      <c r="M297" s="26"/>
      <c r="N297" s="26"/>
      <c r="O297" s="26"/>
      <c r="P297" s="26"/>
      <c r="Q297" s="26"/>
      <c r="R297" s="26"/>
      <c r="S297" s="26"/>
    </row>
    <row r="298" spans="1:19" ht="15.75" customHeight="1" x14ac:dyDescent="0.25">
      <c r="A298" s="26"/>
      <c r="B298" s="26"/>
      <c r="C298" s="26"/>
      <c r="D298" s="26"/>
      <c r="E298" s="26"/>
      <c r="F298" s="26"/>
      <c r="G298" s="26"/>
      <c r="H298" s="26"/>
      <c r="I298" s="26"/>
      <c r="J298" s="26"/>
      <c r="K298" s="26"/>
      <c r="L298" s="26"/>
      <c r="M298" s="26"/>
      <c r="N298" s="26"/>
      <c r="O298" s="26"/>
      <c r="P298" s="26"/>
      <c r="Q298" s="26"/>
      <c r="R298" s="26"/>
      <c r="S298" s="26"/>
    </row>
    <row r="299" spans="1:19" ht="15.75" customHeight="1" x14ac:dyDescent="0.25">
      <c r="A299" s="26"/>
      <c r="B299" s="26"/>
      <c r="C299" s="26"/>
      <c r="D299" s="26"/>
      <c r="E299" s="26"/>
      <c r="F299" s="26"/>
      <c r="G299" s="26"/>
      <c r="H299" s="26"/>
      <c r="I299" s="26"/>
      <c r="J299" s="26"/>
      <c r="K299" s="26"/>
      <c r="L299" s="26"/>
      <c r="M299" s="26"/>
      <c r="N299" s="26"/>
      <c r="O299" s="26"/>
      <c r="P299" s="26"/>
      <c r="Q299" s="26"/>
      <c r="R299" s="26"/>
      <c r="S299" s="26"/>
    </row>
    <row r="300" spans="1:19" ht="15.75" customHeight="1" x14ac:dyDescent="0.25">
      <c r="A300" s="26"/>
      <c r="B300" s="26"/>
      <c r="C300" s="26"/>
      <c r="D300" s="26"/>
      <c r="E300" s="26"/>
      <c r="F300" s="26"/>
      <c r="G300" s="26"/>
      <c r="H300" s="26"/>
      <c r="I300" s="26"/>
      <c r="J300" s="26"/>
      <c r="K300" s="26"/>
      <c r="L300" s="26"/>
      <c r="M300" s="26"/>
      <c r="N300" s="26"/>
      <c r="O300" s="26"/>
      <c r="P300" s="26"/>
      <c r="Q300" s="26"/>
      <c r="R300" s="26"/>
      <c r="S300" s="26"/>
    </row>
    <row r="301" spans="1:19" ht="15.75" customHeight="1" x14ac:dyDescent="0.25">
      <c r="A301" s="26"/>
      <c r="B301" s="26"/>
      <c r="C301" s="26"/>
      <c r="D301" s="26"/>
      <c r="E301" s="26"/>
      <c r="F301" s="26"/>
      <c r="G301" s="26"/>
      <c r="H301" s="26"/>
      <c r="I301" s="26"/>
      <c r="J301" s="26"/>
      <c r="K301" s="26"/>
      <c r="L301" s="26"/>
      <c r="M301" s="26"/>
      <c r="N301" s="26"/>
      <c r="O301" s="26"/>
      <c r="P301" s="26"/>
      <c r="Q301" s="26"/>
      <c r="R301" s="26"/>
      <c r="S301" s="26"/>
    </row>
    <row r="302" spans="1:19" ht="15.75" customHeight="1" x14ac:dyDescent="0.25">
      <c r="A302" s="26"/>
      <c r="B302" s="26"/>
      <c r="C302" s="26"/>
      <c r="D302" s="26"/>
      <c r="E302" s="26"/>
      <c r="F302" s="26"/>
      <c r="G302" s="26"/>
      <c r="H302" s="26"/>
      <c r="I302" s="26"/>
      <c r="J302" s="26"/>
      <c r="K302" s="26"/>
      <c r="L302" s="26"/>
      <c r="M302" s="26"/>
      <c r="N302" s="26"/>
      <c r="O302" s="26"/>
      <c r="P302" s="26"/>
      <c r="Q302" s="26"/>
      <c r="R302" s="26"/>
      <c r="S302" s="26"/>
    </row>
    <row r="303" spans="1:19" ht="15.75" customHeight="1" x14ac:dyDescent="0.25">
      <c r="A303" s="26"/>
      <c r="B303" s="26"/>
      <c r="C303" s="26"/>
      <c r="D303" s="26"/>
      <c r="E303" s="26"/>
      <c r="F303" s="26"/>
      <c r="G303" s="26"/>
      <c r="H303" s="26"/>
      <c r="I303" s="26"/>
      <c r="J303" s="26"/>
      <c r="K303" s="26"/>
      <c r="L303" s="26"/>
      <c r="M303" s="26"/>
      <c r="N303" s="26"/>
      <c r="O303" s="26"/>
      <c r="P303" s="26"/>
      <c r="Q303" s="26"/>
      <c r="R303" s="26"/>
      <c r="S303" s="26"/>
    </row>
    <row r="304" spans="1:19" ht="15.75" customHeight="1" x14ac:dyDescent="0.25">
      <c r="A304" s="26"/>
      <c r="B304" s="26"/>
      <c r="C304" s="26"/>
      <c r="D304" s="26"/>
      <c r="E304" s="26"/>
      <c r="F304" s="26"/>
      <c r="G304" s="26"/>
      <c r="H304" s="26"/>
      <c r="I304" s="26"/>
      <c r="J304" s="26"/>
      <c r="K304" s="26"/>
      <c r="L304" s="26"/>
      <c r="M304" s="26"/>
      <c r="N304" s="26"/>
      <c r="O304" s="26"/>
      <c r="P304" s="26"/>
      <c r="Q304" s="26"/>
      <c r="R304" s="26"/>
      <c r="S304" s="26"/>
    </row>
    <row r="305" spans="1:19" ht="15.75" customHeight="1" x14ac:dyDescent="0.25">
      <c r="A305" s="26"/>
      <c r="B305" s="26"/>
      <c r="C305" s="26"/>
      <c r="D305" s="26"/>
      <c r="E305" s="26"/>
      <c r="F305" s="26"/>
      <c r="G305" s="26"/>
      <c r="H305" s="26"/>
      <c r="I305" s="26"/>
      <c r="J305" s="26"/>
      <c r="K305" s="26"/>
      <c r="L305" s="26"/>
      <c r="M305" s="26"/>
      <c r="N305" s="26"/>
      <c r="O305" s="26"/>
      <c r="P305" s="26"/>
      <c r="Q305" s="26"/>
      <c r="R305" s="26"/>
      <c r="S305" s="26"/>
    </row>
    <row r="306" spans="1:19" ht="15.75" customHeight="1" x14ac:dyDescent="0.25">
      <c r="A306" s="26"/>
      <c r="B306" s="26"/>
      <c r="C306" s="26"/>
      <c r="D306" s="26"/>
      <c r="E306" s="26"/>
      <c r="F306" s="26"/>
      <c r="G306" s="26"/>
      <c r="H306" s="26"/>
      <c r="I306" s="26"/>
      <c r="J306" s="26"/>
      <c r="K306" s="26"/>
      <c r="L306" s="26"/>
      <c r="M306" s="26"/>
      <c r="N306" s="26"/>
      <c r="O306" s="26"/>
      <c r="P306" s="26"/>
      <c r="Q306" s="26"/>
      <c r="R306" s="26"/>
      <c r="S306" s="26"/>
    </row>
    <row r="307" spans="1:19" ht="15.75" customHeight="1" x14ac:dyDescent="0.25">
      <c r="A307" s="26"/>
      <c r="B307" s="26"/>
      <c r="C307" s="26"/>
      <c r="D307" s="26"/>
      <c r="E307" s="26"/>
      <c r="F307" s="26"/>
      <c r="G307" s="26"/>
      <c r="H307" s="26"/>
      <c r="I307" s="26"/>
      <c r="J307" s="26"/>
      <c r="K307" s="26"/>
      <c r="L307" s="26"/>
      <c r="M307" s="26"/>
      <c r="N307" s="26"/>
      <c r="O307" s="26"/>
      <c r="P307" s="26"/>
      <c r="Q307" s="26"/>
      <c r="R307" s="26"/>
      <c r="S307" s="26"/>
    </row>
    <row r="308" spans="1:19" ht="15.75" customHeight="1" x14ac:dyDescent="0.25">
      <c r="A308" s="26"/>
      <c r="B308" s="26"/>
      <c r="C308" s="26"/>
      <c r="D308" s="26"/>
      <c r="E308" s="26"/>
      <c r="F308" s="26"/>
      <c r="G308" s="26"/>
      <c r="H308" s="26"/>
      <c r="I308" s="26"/>
      <c r="J308" s="26"/>
      <c r="K308" s="26"/>
      <c r="L308" s="26"/>
      <c r="M308" s="26"/>
      <c r="N308" s="26"/>
      <c r="O308" s="26"/>
      <c r="P308" s="26"/>
      <c r="Q308" s="26"/>
      <c r="R308" s="26"/>
      <c r="S308" s="26"/>
    </row>
    <row r="309" spans="1:19" ht="15.75" customHeight="1" x14ac:dyDescent="0.25">
      <c r="A309" s="26"/>
      <c r="B309" s="26"/>
      <c r="C309" s="26"/>
      <c r="D309" s="26"/>
      <c r="E309" s="26"/>
      <c r="F309" s="26"/>
      <c r="G309" s="26"/>
      <c r="H309" s="26"/>
      <c r="I309" s="26"/>
      <c r="J309" s="26"/>
      <c r="K309" s="26"/>
      <c r="L309" s="26"/>
      <c r="M309" s="26"/>
      <c r="N309" s="26"/>
      <c r="O309" s="26"/>
      <c r="P309" s="26"/>
      <c r="Q309" s="26"/>
      <c r="R309" s="26"/>
      <c r="S309" s="26"/>
    </row>
    <row r="310" spans="1:19" ht="15.75" customHeight="1" x14ac:dyDescent="0.25">
      <c r="A310" s="26"/>
      <c r="B310" s="26"/>
      <c r="C310" s="26"/>
      <c r="D310" s="26"/>
      <c r="E310" s="26"/>
      <c r="F310" s="26"/>
      <c r="G310" s="26"/>
      <c r="H310" s="26"/>
      <c r="I310" s="26"/>
      <c r="J310" s="26"/>
      <c r="K310" s="26"/>
      <c r="L310" s="26"/>
      <c r="M310" s="26"/>
      <c r="N310" s="26"/>
      <c r="O310" s="26"/>
      <c r="P310" s="26"/>
      <c r="Q310" s="26"/>
      <c r="R310" s="26"/>
      <c r="S310" s="26"/>
    </row>
    <row r="311" spans="1:19" ht="15.75" customHeight="1" x14ac:dyDescent="0.25">
      <c r="A311" s="26"/>
      <c r="B311" s="26"/>
      <c r="C311" s="26"/>
      <c r="D311" s="26"/>
      <c r="E311" s="26"/>
      <c r="F311" s="26"/>
      <c r="G311" s="26"/>
      <c r="H311" s="26"/>
      <c r="I311" s="26"/>
      <c r="J311" s="26"/>
      <c r="K311" s="26"/>
      <c r="L311" s="26"/>
      <c r="M311" s="26"/>
      <c r="N311" s="26"/>
      <c r="O311" s="26"/>
      <c r="P311" s="26"/>
      <c r="Q311" s="26"/>
      <c r="R311" s="26"/>
      <c r="S311" s="26"/>
    </row>
    <row r="312" spans="1:19" ht="15.75" customHeight="1" x14ac:dyDescent="0.25">
      <c r="A312" s="26"/>
      <c r="B312" s="26"/>
      <c r="C312" s="26"/>
      <c r="D312" s="26"/>
      <c r="E312" s="26"/>
      <c r="F312" s="26"/>
      <c r="G312" s="26"/>
      <c r="H312" s="26"/>
      <c r="I312" s="26"/>
      <c r="J312" s="26"/>
      <c r="K312" s="26"/>
      <c r="L312" s="26"/>
      <c r="M312" s="26"/>
      <c r="N312" s="26"/>
      <c r="O312" s="26"/>
      <c r="P312" s="26"/>
      <c r="Q312" s="26"/>
      <c r="R312" s="26"/>
      <c r="S312" s="26"/>
    </row>
    <row r="313" spans="1:19" ht="15.75" customHeight="1" x14ac:dyDescent="0.25">
      <c r="A313" s="26"/>
      <c r="B313" s="26"/>
      <c r="C313" s="26"/>
      <c r="D313" s="26"/>
      <c r="E313" s="26"/>
      <c r="F313" s="26"/>
      <c r="G313" s="26"/>
      <c r="H313" s="26"/>
      <c r="I313" s="26"/>
      <c r="J313" s="26"/>
      <c r="K313" s="26"/>
      <c r="L313" s="26"/>
      <c r="M313" s="26"/>
      <c r="N313" s="26"/>
      <c r="O313" s="26"/>
      <c r="P313" s="26"/>
      <c r="Q313" s="26"/>
      <c r="R313" s="26"/>
      <c r="S313" s="26"/>
    </row>
    <row r="314" spans="1:19" ht="15.75" customHeight="1" x14ac:dyDescent="0.25">
      <c r="A314" s="26"/>
      <c r="B314" s="26"/>
      <c r="C314" s="26"/>
      <c r="D314" s="26"/>
      <c r="E314" s="26"/>
      <c r="F314" s="26"/>
      <c r="G314" s="26"/>
      <c r="H314" s="26"/>
      <c r="I314" s="26"/>
      <c r="J314" s="26"/>
      <c r="K314" s="26"/>
      <c r="L314" s="26"/>
      <c r="M314" s="26"/>
      <c r="N314" s="26"/>
      <c r="O314" s="26"/>
      <c r="P314" s="26"/>
      <c r="Q314" s="26"/>
      <c r="R314" s="26"/>
      <c r="S314" s="26"/>
    </row>
    <row r="315" spans="1:19" ht="15.75" customHeight="1" x14ac:dyDescent="0.25">
      <c r="A315" s="26"/>
      <c r="B315" s="26"/>
      <c r="C315" s="26"/>
      <c r="D315" s="26"/>
      <c r="E315" s="26"/>
      <c r="F315" s="26"/>
      <c r="G315" s="26"/>
      <c r="H315" s="26"/>
      <c r="I315" s="26"/>
      <c r="J315" s="26"/>
      <c r="K315" s="26"/>
      <c r="L315" s="26"/>
      <c r="M315" s="26"/>
      <c r="N315" s="26"/>
      <c r="O315" s="26"/>
      <c r="P315" s="26"/>
      <c r="Q315" s="26"/>
      <c r="R315" s="26"/>
      <c r="S315" s="26"/>
    </row>
    <row r="316" spans="1:19" ht="15.75" customHeight="1" x14ac:dyDescent="0.25">
      <c r="A316" s="26"/>
      <c r="B316" s="26"/>
      <c r="C316" s="26"/>
      <c r="D316" s="26"/>
      <c r="E316" s="26"/>
      <c r="F316" s="26"/>
      <c r="G316" s="26"/>
      <c r="H316" s="26"/>
      <c r="I316" s="26"/>
      <c r="J316" s="26"/>
      <c r="K316" s="26"/>
      <c r="L316" s="26"/>
      <c r="M316" s="26"/>
      <c r="N316" s="26"/>
      <c r="O316" s="26"/>
      <c r="P316" s="26"/>
      <c r="Q316" s="26"/>
      <c r="R316" s="26"/>
      <c r="S316" s="26"/>
    </row>
    <row r="317" spans="1:19" ht="15.75" customHeight="1" x14ac:dyDescent="0.25">
      <c r="A317" s="26"/>
      <c r="B317" s="26"/>
      <c r="C317" s="26"/>
      <c r="D317" s="26"/>
      <c r="E317" s="26"/>
      <c r="F317" s="26"/>
      <c r="G317" s="26"/>
      <c r="H317" s="26"/>
      <c r="I317" s="26"/>
      <c r="J317" s="26"/>
      <c r="K317" s="26"/>
      <c r="L317" s="26"/>
      <c r="M317" s="26"/>
      <c r="N317" s="26"/>
      <c r="O317" s="26"/>
      <c r="P317" s="26"/>
      <c r="Q317" s="26"/>
      <c r="R317" s="26"/>
      <c r="S317" s="26"/>
    </row>
    <row r="318" spans="1:19" ht="15.75" customHeight="1" x14ac:dyDescent="0.25">
      <c r="A318" s="26"/>
      <c r="B318" s="26"/>
      <c r="C318" s="26"/>
      <c r="D318" s="26"/>
      <c r="E318" s="26"/>
      <c r="F318" s="26"/>
      <c r="G318" s="26"/>
      <c r="H318" s="26"/>
      <c r="I318" s="26"/>
      <c r="J318" s="26"/>
      <c r="K318" s="26"/>
      <c r="L318" s="26"/>
      <c r="M318" s="26"/>
      <c r="N318" s="26"/>
      <c r="O318" s="26"/>
      <c r="P318" s="26"/>
      <c r="Q318" s="26"/>
      <c r="R318" s="26"/>
      <c r="S318" s="26"/>
    </row>
    <row r="319" spans="1:19" ht="15.75" customHeight="1" x14ac:dyDescent="0.25">
      <c r="A319" s="26"/>
      <c r="B319" s="26"/>
      <c r="C319" s="26"/>
      <c r="D319" s="26"/>
      <c r="E319" s="26"/>
      <c r="F319" s="26"/>
      <c r="G319" s="26"/>
      <c r="H319" s="26"/>
      <c r="I319" s="26"/>
      <c r="J319" s="26"/>
      <c r="K319" s="26"/>
      <c r="L319" s="26"/>
      <c r="M319" s="26"/>
      <c r="N319" s="26"/>
      <c r="O319" s="26"/>
      <c r="P319" s="26"/>
      <c r="Q319" s="26"/>
      <c r="R319" s="26"/>
      <c r="S319" s="26"/>
    </row>
    <row r="320" spans="1:19" ht="15.75" customHeight="1" x14ac:dyDescent="0.25">
      <c r="A320" s="26"/>
      <c r="B320" s="26"/>
      <c r="C320" s="26"/>
      <c r="D320" s="26"/>
      <c r="E320" s="26"/>
      <c r="F320" s="26"/>
      <c r="G320" s="26"/>
      <c r="H320" s="26"/>
      <c r="I320" s="26"/>
      <c r="J320" s="26"/>
      <c r="K320" s="26"/>
      <c r="L320" s="26"/>
      <c r="M320" s="26"/>
      <c r="N320" s="26"/>
      <c r="O320" s="26"/>
      <c r="P320" s="26"/>
      <c r="Q320" s="26"/>
      <c r="R320" s="26"/>
      <c r="S320" s="26"/>
    </row>
    <row r="321" spans="1:19" ht="15.75" customHeight="1" x14ac:dyDescent="0.25">
      <c r="A321" s="26"/>
      <c r="B321" s="26"/>
      <c r="C321" s="26"/>
      <c r="D321" s="26"/>
      <c r="E321" s="26"/>
      <c r="F321" s="26"/>
      <c r="G321" s="26"/>
      <c r="H321" s="26"/>
      <c r="I321" s="26"/>
      <c r="J321" s="26"/>
      <c r="K321" s="26"/>
      <c r="L321" s="26"/>
      <c r="M321" s="26"/>
      <c r="N321" s="26"/>
      <c r="O321" s="26"/>
      <c r="P321" s="26"/>
      <c r="Q321" s="26"/>
      <c r="R321" s="26"/>
      <c r="S321" s="26"/>
    </row>
    <row r="322" spans="1:19" ht="15.75" customHeight="1" x14ac:dyDescent="0.25">
      <c r="A322" s="26"/>
      <c r="B322" s="26"/>
      <c r="C322" s="26"/>
      <c r="D322" s="26"/>
      <c r="E322" s="26"/>
      <c r="F322" s="26"/>
      <c r="G322" s="26"/>
      <c r="H322" s="26"/>
      <c r="I322" s="26"/>
      <c r="J322" s="26"/>
      <c r="K322" s="26"/>
      <c r="L322" s="26"/>
      <c r="M322" s="26"/>
      <c r="N322" s="26"/>
      <c r="O322" s="26"/>
      <c r="P322" s="26"/>
      <c r="Q322" s="26"/>
      <c r="R322" s="26"/>
      <c r="S322" s="26"/>
    </row>
    <row r="323" spans="1:19" ht="15.75" customHeight="1" x14ac:dyDescent="0.25">
      <c r="A323" s="26"/>
      <c r="B323" s="26"/>
      <c r="C323" s="26"/>
      <c r="D323" s="26"/>
      <c r="E323" s="26"/>
      <c r="F323" s="26"/>
      <c r="G323" s="26"/>
      <c r="H323" s="26"/>
      <c r="I323" s="26"/>
      <c r="J323" s="26"/>
      <c r="K323" s="26"/>
      <c r="L323" s="26"/>
      <c r="M323" s="26"/>
      <c r="N323" s="26"/>
      <c r="O323" s="26"/>
      <c r="P323" s="26"/>
      <c r="Q323" s="26"/>
      <c r="R323" s="26"/>
      <c r="S323" s="26"/>
    </row>
    <row r="324" spans="1:19" ht="15.75" customHeight="1" x14ac:dyDescent="0.25">
      <c r="A324" s="26"/>
      <c r="B324" s="26"/>
      <c r="C324" s="26"/>
      <c r="D324" s="26"/>
      <c r="E324" s="26"/>
      <c r="F324" s="26"/>
      <c r="G324" s="26"/>
      <c r="H324" s="26"/>
      <c r="I324" s="26"/>
      <c r="J324" s="26"/>
      <c r="K324" s="26"/>
      <c r="L324" s="26"/>
      <c r="M324" s="26"/>
      <c r="N324" s="26"/>
      <c r="O324" s="26"/>
      <c r="P324" s="26"/>
      <c r="Q324" s="26"/>
      <c r="R324" s="26"/>
      <c r="S324" s="26"/>
    </row>
    <row r="325" spans="1:19" ht="15.75" customHeight="1" x14ac:dyDescent="0.25">
      <c r="A325" s="26"/>
      <c r="B325" s="26"/>
      <c r="C325" s="26"/>
      <c r="D325" s="26"/>
      <c r="E325" s="26"/>
      <c r="F325" s="26"/>
      <c r="G325" s="26"/>
      <c r="H325" s="26"/>
      <c r="I325" s="26"/>
      <c r="J325" s="26"/>
      <c r="K325" s="26"/>
      <c r="L325" s="26"/>
      <c r="M325" s="26"/>
      <c r="N325" s="26"/>
      <c r="O325" s="26"/>
      <c r="P325" s="26"/>
      <c r="Q325" s="26"/>
      <c r="R325" s="26"/>
      <c r="S325" s="26"/>
    </row>
    <row r="326" spans="1:19" ht="15.75" customHeight="1" x14ac:dyDescent="0.25">
      <c r="A326" s="26"/>
      <c r="B326" s="26"/>
      <c r="C326" s="26"/>
      <c r="D326" s="26"/>
      <c r="E326" s="26"/>
      <c r="F326" s="26"/>
      <c r="G326" s="26"/>
      <c r="H326" s="26"/>
      <c r="I326" s="26"/>
      <c r="J326" s="26"/>
      <c r="K326" s="26"/>
      <c r="L326" s="26"/>
      <c r="M326" s="26"/>
      <c r="N326" s="26"/>
      <c r="O326" s="26"/>
      <c r="P326" s="26"/>
      <c r="Q326" s="26"/>
      <c r="R326" s="26"/>
      <c r="S326" s="26"/>
    </row>
    <row r="327" spans="1:19" ht="15.75" customHeight="1" x14ac:dyDescent="0.25">
      <c r="A327" s="26"/>
      <c r="B327" s="26"/>
      <c r="C327" s="26"/>
      <c r="D327" s="26"/>
      <c r="E327" s="26"/>
      <c r="F327" s="26"/>
      <c r="G327" s="26"/>
      <c r="H327" s="26"/>
      <c r="I327" s="26"/>
      <c r="J327" s="26"/>
      <c r="K327" s="26"/>
      <c r="L327" s="26"/>
      <c r="M327" s="26"/>
      <c r="N327" s="26"/>
      <c r="O327" s="26"/>
      <c r="P327" s="26"/>
      <c r="Q327" s="26"/>
      <c r="R327" s="26"/>
      <c r="S327" s="26"/>
    </row>
    <row r="328" spans="1:19" ht="15.75" customHeight="1" x14ac:dyDescent="0.25">
      <c r="A328" s="26"/>
      <c r="B328" s="26"/>
      <c r="C328" s="26"/>
      <c r="D328" s="26"/>
      <c r="E328" s="26"/>
      <c r="F328" s="26"/>
      <c r="G328" s="26"/>
      <c r="H328" s="26"/>
      <c r="I328" s="26"/>
      <c r="J328" s="26"/>
      <c r="K328" s="26"/>
      <c r="L328" s="26"/>
      <c r="M328" s="26"/>
      <c r="N328" s="26"/>
      <c r="O328" s="26"/>
      <c r="P328" s="26"/>
      <c r="Q328" s="26"/>
      <c r="R328" s="26"/>
      <c r="S328" s="26"/>
    </row>
    <row r="329" spans="1:19" ht="15.75" customHeight="1" x14ac:dyDescent="0.25">
      <c r="A329" s="26"/>
      <c r="B329" s="26"/>
      <c r="C329" s="26"/>
      <c r="D329" s="26"/>
      <c r="E329" s="26"/>
      <c r="F329" s="26"/>
      <c r="G329" s="26"/>
      <c r="H329" s="26"/>
      <c r="I329" s="26"/>
      <c r="J329" s="26"/>
      <c r="K329" s="26"/>
      <c r="L329" s="26"/>
      <c r="M329" s="26"/>
      <c r="N329" s="26"/>
      <c r="O329" s="26"/>
      <c r="P329" s="26"/>
      <c r="Q329" s="26"/>
      <c r="R329" s="26"/>
      <c r="S329" s="26"/>
    </row>
    <row r="330" spans="1:19" ht="15.75" customHeight="1" x14ac:dyDescent="0.25">
      <c r="A330" s="26"/>
      <c r="B330" s="26"/>
      <c r="C330" s="26"/>
      <c r="D330" s="26"/>
      <c r="E330" s="26"/>
      <c r="F330" s="26"/>
      <c r="G330" s="26"/>
      <c r="H330" s="26"/>
      <c r="I330" s="26"/>
      <c r="J330" s="26"/>
      <c r="K330" s="26"/>
      <c r="L330" s="26"/>
      <c r="M330" s="26"/>
      <c r="N330" s="26"/>
      <c r="O330" s="26"/>
      <c r="P330" s="26"/>
      <c r="Q330" s="26"/>
      <c r="R330" s="26"/>
      <c r="S330" s="26"/>
    </row>
    <row r="331" spans="1:19" ht="15.75" customHeight="1" x14ac:dyDescent="0.25">
      <c r="A331" s="26"/>
      <c r="B331" s="26"/>
      <c r="C331" s="26"/>
      <c r="D331" s="26"/>
      <c r="E331" s="26"/>
      <c r="F331" s="26"/>
      <c r="G331" s="26"/>
      <c r="H331" s="26"/>
      <c r="I331" s="26"/>
      <c r="J331" s="26"/>
      <c r="K331" s="26"/>
      <c r="L331" s="26"/>
      <c r="M331" s="26"/>
      <c r="N331" s="26"/>
      <c r="O331" s="26"/>
      <c r="P331" s="26"/>
      <c r="Q331" s="26"/>
      <c r="R331" s="26"/>
      <c r="S331" s="26"/>
    </row>
    <row r="332" spans="1:19" ht="15.75" customHeight="1" x14ac:dyDescent="0.25">
      <c r="A332" s="26"/>
      <c r="B332" s="26"/>
      <c r="C332" s="26"/>
      <c r="D332" s="26"/>
      <c r="E332" s="26"/>
      <c r="F332" s="26"/>
      <c r="G332" s="26"/>
      <c r="H332" s="26"/>
      <c r="I332" s="26"/>
      <c r="J332" s="26"/>
      <c r="K332" s="26"/>
      <c r="L332" s="26"/>
      <c r="M332" s="26"/>
      <c r="N332" s="26"/>
      <c r="O332" s="26"/>
      <c r="P332" s="26"/>
      <c r="Q332" s="26"/>
      <c r="R332" s="26"/>
      <c r="S332" s="26"/>
    </row>
    <row r="333" spans="1:19" ht="15.75" customHeight="1" x14ac:dyDescent="0.25">
      <c r="A333" s="26"/>
      <c r="B333" s="26"/>
      <c r="C333" s="26"/>
      <c r="D333" s="26"/>
      <c r="E333" s="26"/>
      <c r="F333" s="26"/>
      <c r="G333" s="26"/>
      <c r="H333" s="26"/>
      <c r="I333" s="26"/>
      <c r="J333" s="26"/>
      <c r="K333" s="26"/>
      <c r="L333" s="26"/>
      <c r="M333" s="26"/>
      <c r="N333" s="26"/>
      <c r="O333" s="26"/>
      <c r="P333" s="26"/>
      <c r="Q333" s="26"/>
      <c r="R333" s="26"/>
      <c r="S333" s="26"/>
    </row>
    <row r="334" spans="1:19" ht="15.75" customHeight="1" x14ac:dyDescent="0.25">
      <c r="A334" s="26"/>
      <c r="B334" s="26"/>
      <c r="C334" s="26"/>
      <c r="D334" s="26"/>
      <c r="E334" s="26"/>
      <c r="F334" s="26"/>
      <c r="G334" s="26"/>
      <c r="H334" s="26"/>
      <c r="I334" s="26"/>
      <c r="J334" s="26"/>
      <c r="K334" s="26"/>
      <c r="L334" s="26"/>
      <c r="M334" s="26"/>
      <c r="N334" s="26"/>
      <c r="O334" s="26"/>
      <c r="P334" s="26"/>
      <c r="Q334" s="26"/>
      <c r="R334" s="26"/>
      <c r="S334" s="26"/>
    </row>
    <row r="335" spans="1:19" ht="15.75" customHeight="1" x14ac:dyDescent="0.25">
      <c r="A335" s="26"/>
      <c r="B335" s="26"/>
      <c r="C335" s="26"/>
      <c r="D335" s="26"/>
      <c r="E335" s="26"/>
      <c r="F335" s="26"/>
      <c r="G335" s="26"/>
      <c r="H335" s="26"/>
      <c r="I335" s="26"/>
      <c r="J335" s="26"/>
      <c r="K335" s="26"/>
      <c r="L335" s="26"/>
      <c r="M335" s="26"/>
      <c r="N335" s="26"/>
      <c r="O335" s="26"/>
      <c r="P335" s="26"/>
      <c r="Q335" s="26"/>
      <c r="R335" s="26"/>
      <c r="S335" s="26"/>
    </row>
    <row r="336" spans="1:19" ht="15.75" customHeight="1" x14ac:dyDescent="0.25">
      <c r="A336" s="26"/>
      <c r="B336" s="26"/>
      <c r="C336" s="26"/>
      <c r="D336" s="26"/>
      <c r="E336" s="26"/>
      <c r="F336" s="26"/>
      <c r="G336" s="26"/>
      <c r="H336" s="26"/>
      <c r="I336" s="26"/>
      <c r="J336" s="26"/>
      <c r="K336" s="26"/>
      <c r="L336" s="26"/>
      <c r="M336" s="26"/>
      <c r="N336" s="26"/>
      <c r="O336" s="26"/>
      <c r="P336" s="26"/>
      <c r="Q336" s="26"/>
      <c r="R336" s="26"/>
      <c r="S336" s="26"/>
    </row>
    <row r="337" spans="1:19" ht="15.75" customHeight="1" x14ac:dyDescent="0.25">
      <c r="A337" s="26"/>
      <c r="B337" s="26"/>
      <c r="C337" s="26"/>
      <c r="D337" s="26"/>
      <c r="E337" s="26"/>
      <c r="F337" s="26"/>
      <c r="G337" s="26"/>
      <c r="H337" s="26"/>
      <c r="I337" s="26"/>
      <c r="J337" s="26"/>
      <c r="K337" s="26"/>
      <c r="L337" s="26"/>
      <c r="M337" s="26"/>
      <c r="N337" s="26"/>
      <c r="O337" s="26"/>
      <c r="P337" s="26"/>
      <c r="Q337" s="26"/>
      <c r="R337" s="26"/>
      <c r="S337" s="26"/>
    </row>
    <row r="338" spans="1:19" ht="15.75" customHeight="1" x14ac:dyDescent="0.25">
      <c r="A338" s="26"/>
      <c r="B338" s="26"/>
      <c r="C338" s="26"/>
      <c r="D338" s="26"/>
      <c r="E338" s="26"/>
      <c r="F338" s="26"/>
      <c r="G338" s="26"/>
      <c r="H338" s="26"/>
      <c r="I338" s="26"/>
      <c r="J338" s="26"/>
      <c r="K338" s="26"/>
      <c r="L338" s="26"/>
      <c r="M338" s="26"/>
      <c r="N338" s="26"/>
      <c r="O338" s="26"/>
      <c r="P338" s="26"/>
      <c r="Q338" s="26"/>
      <c r="R338" s="26"/>
      <c r="S338" s="26"/>
    </row>
    <row r="339" spans="1:19" ht="15.75" customHeight="1" x14ac:dyDescent="0.25">
      <c r="A339" s="26"/>
      <c r="B339" s="26"/>
      <c r="C339" s="26"/>
      <c r="D339" s="26"/>
      <c r="E339" s="26"/>
      <c r="F339" s="26"/>
      <c r="G339" s="26"/>
      <c r="H339" s="26"/>
      <c r="I339" s="26"/>
      <c r="J339" s="26"/>
      <c r="K339" s="26"/>
      <c r="L339" s="26"/>
      <c r="M339" s="26"/>
      <c r="N339" s="26"/>
      <c r="O339" s="26"/>
      <c r="P339" s="26"/>
      <c r="Q339" s="26"/>
      <c r="R339" s="26"/>
      <c r="S339" s="26"/>
    </row>
    <row r="340" spans="1:19" ht="15.75" customHeight="1" x14ac:dyDescent="0.25">
      <c r="A340" s="26"/>
      <c r="B340" s="26"/>
      <c r="C340" s="26"/>
      <c r="D340" s="26"/>
      <c r="E340" s="26"/>
      <c r="F340" s="26"/>
      <c r="G340" s="26"/>
      <c r="H340" s="26"/>
      <c r="I340" s="26"/>
      <c r="J340" s="26"/>
      <c r="K340" s="26"/>
      <c r="L340" s="26"/>
      <c r="M340" s="26"/>
      <c r="N340" s="26"/>
      <c r="O340" s="26"/>
      <c r="P340" s="26"/>
      <c r="Q340" s="26"/>
      <c r="R340" s="26"/>
      <c r="S340" s="26"/>
    </row>
    <row r="341" spans="1:19" ht="15.75" customHeight="1" x14ac:dyDescent="0.25">
      <c r="A341" s="26"/>
      <c r="B341" s="26"/>
      <c r="C341" s="26"/>
      <c r="D341" s="26"/>
      <c r="E341" s="26"/>
      <c r="F341" s="26"/>
      <c r="G341" s="26"/>
      <c r="H341" s="26"/>
      <c r="I341" s="26"/>
      <c r="J341" s="26"/>
      <c r="K341" s="26"/>
      <c r="L341" s="26"/>
      <c r="M341" s="26"/>
      <c r="N341" s="26"/>
      <c r="O341" s="26"/>
      <c r="P341" s="26"/>
      <c r="Q341" s="26"/>
      <c r="R341" s="26"/>
      <c r="S341" s="26"/>
    </row>
    <row r="342" spans="1:19" ht="15.75" customHeight="1" x14ac:dyDescent="0.25">
      <c r="A342" s="26"/>
      <c r="B342" s="26"/>
      <c r="C342" s="26"/>
      <c r="D342" s="26"/>
      <c r="E342" s="26"/>
      <c r="F342" s="26"/>
      <c r="G342" s="26"/>
      <c r="H342" s="26"/>
      <c r="I342" s="26"/>
      <c r="J342" s="26"/>
      <c r="K342" s="26"/>
      <c r="L342" s="26"/>
      <c r="M342" s="26"/>
      <c r="N342" s="26"/>
      <c r="O342" s="26"/>
      <c r="P342" s="26"/>
      <c r="Q342" s="26"/>
      <c r="R342" s="26"/>
      <c r="S342" s="26"/>
    </row>
    <row r="343" spans="1:19" ht="15.75" customHeight="1" x14ac:dyDescent="0.25">
      <c r="A343" s="26"/>
      <c r="B343" s="26"/>
      <c r="C343" s="26"/>
      <c r="D343" s="26"/>
      <c r="E343" s="26"/>
      <c r="F343" s="26"/>
      <c r="G343" s="26"/>
      <c r="H343" s="26"/>
      <c r="I343" s="26"/>
      <c r="J343" s="26"/>
      <c r="K343" s="26"/>
      <c r="L343" s="26"/>
      <c r="M343" s="26"/>
      <c r="N343" s="26"/>
      <c r="O343" s="26"/>
      <c r="P343" s="26"/>
      <c r="Q343" s="26"/>
      <c r="R343" s="26"/>
      <c r="S343" s="26"/>
    </row>
    <row r="344" spans="1:19" ht="15.75" customHeight="1" x14ac:dyDescent="0.25">
      <c r="A344" s="26"/>
      <c r="B344" s="26"/>
      <c r="C344" s="26"/>
      <c r="D344" s="26"/>
      <c r="E344" s="26"/>
      <c r="F344" s="26"/>
      <c r="G344" s="26"/>
      <c r="H344" s="26"/>
      <c r="I344" s="26"/>
      <c r="J344" s="26"/>
      <c r="K344" s="26"/>
      <c r="L344" s="26"/>
      <c r="M344" s="26"/>
      <c r="N344" s="26"/>
      <c r="O344" s="26"/>
      <c r="P344" s="26"/>
      <c r="Q344" s="26"/>
      <c r="R344" s="26"/>
      <c r="S344" s="26"/>
    </row>
    <row r="345" spans="1:19" ht="15.75" customHeight="1" x14ac:dyDescent="0.25">
      <c r="A345" s="26"/>
      <c r="B345" s="26"/>
      <c r="C345" s="26"/>
      <c r="D345" s="26"/>
      <c r="E345" s="26"/>
      <c r="F345" s="26"/>
      <c r="G345" s="26"/>
      <c r="H345" s="26"/>
      <c r="I345" s="26"/>
      <c r="J345" s="26"/>
      <c r="K345" s="26"/>
      <c r="L345" s="26"/>
      <c r="M345" s="26"/>
      <c r="N345" s="26"/>
      <c r="O345" s="26"/>
      <c r="P345" s="26"/>
      <c r="Q345" s="26"/>
      <c r="R345" s="26"/>
      <c r="S345" s="26"/>
    </row>
    <row r="346" spans="1:19" ht="15.75" customHeight="1" x14ac:dyDescent="0.25">
      <c r="A346" s="26"/>
      <c r="B346" s="26"/>
      <c r="C346" s="26"/>
      <c r="D346" s="26"/>
      <c r="E346" s="26"/>
      <c r="F346" s="26"/>
      <c r="G346" s="26"/>
      <c r="H346" s="26"/>
      <c r="I346" s="26"/>
      <c r="J346" s="26"/>
      <c r="K346" s="26"/>
      <c r="L346" s="26"/>
      <c r="M346" s="26"/>
      <c r="N346" s="26"/>
      <c r="O346" s="26"/>
      <c r="P346" s="26"/>
      <c r="Q346" s="26"/>
      <c r="R346" s="26"/>
      <c r="S346" s="26"/>
    </row>
    <row r="347" spans="1:19" ht="15.75" customHeight="1" x14ac:dyDescent="0.25">
      <c r="A347" s="26"/>
      <c r="B347" s="26"/>
      <c r="C347" s="26"/>
      <c r="D347" s="26"/>
      <c r="E347" s="26"/>
      <c r="F347" s="26"/>
      <c r="G347" s="26"/>
      <c r="H347" s="26"/>
      <c r="I347" s="26"/>
      <c r="J347" s="26"/>
      <c r="K347" s="26"/>
      <c r="L347" s="26"/>
      <c r="M347" s="26"/>
      <c r="N347" s="26"/>
      <c r="O347" s="26"/>
      <c r="P347" s="26"/>
      <c r="Q347" s="26"/>
      <c r="R347" s="26"/>
      <c r="S347" s="26"/>
    </row>
    <row r="348" spans="1:19" ht="15.75" customHeight="1" x14ac:dyDescent="0.25">
      <c r="A348" s="26"/>
      <c r="B348" s="26"/>
      <c r="C348" s="26"/>
      <c r="D348" s="26"/>
      <c r="E348" s="26"/>
      <c r="F348" s="26"/>
      <c r="G348" s="26"/>
      <c r="H348" s="26"/>
      <c r="I348" s="26"/>
      <c r="J348" s="26"/>
      <c r="K348" s="26"/>
      <c r="L348" s="26"/>
      <c r="M348" s="26"/>
      <c r="N348" s="26"/>
      <c r="O348" s="26"/>
      <c r="P348" s="26"/>
      <c r="Q348" s="26"/>
      <c r="R348" s="26"/>
      <c r="S348" s="26"/>
    </row>
    <row r="349" spans="1:19" ht="15.75" customHeight="1" x14ac:dyDescent="0.25">
      <c r="A349" s="26"/>
      <c r="B349" s="26"/>
      <c r="C349" s="26"/>
      <c r="D349" s="26"/>
      <c r="E349" s="26"/>
      <c r="F349" s="26"/>
      <c r="G349" s="26"/>
      <c r="H349" s="26"/>
      <c r="I349" s="26"/>
      <c r="J349" s="26"/>
      <c r="K349" s="26"/>
      <c r="L349" s="26"/>
      <c r="M349" s="26"/>
      <c r="N349" s="26"/>
      <c r="O349" s="26"/>
      <c r="P349" s="26"/>
      <c r="Q349" s="26"/>
      <c r="R349" s="26"/>
      <c r="S349" s="26"/>
    </row>
    <row r="350" spans="1:19" ht="15.75" customHeight="1" x14ac:dyDescent="0.25">
      <c r="A350" s="26"/>
      <c r="B350" s="26"/>
      <c r="C350" s="26"/>
      <c r="D350" s="26"/>
      <c r="E350" s="26"/>
      <c r="F350" s="26"/>
      <c r="G350" s="26"/>
      <c r="H350" s="26"/>
      <c r="I350" s="26"/>
      <c r="J350" s="26"/>
      <c r="K350" s="26"/>
      <c r="L350" s="26"/>
      <c r="M350" s="26"/>
      <c r="N350" s="26"/>
      <c r="O350" s="26"/>
      <c r="P350" s="26"/>
      <c r="Q350" s="26"/>
      <c r="R350" s="26"/>
      <c r="S350" s="26"/>
    </row>
    <row r="351" spans="1:19" ht="15.75" customHeight="1" x14ac:dyDescent="0.25">
      <c r="A351" s="26"/>
      <c r="B351" s="26"/>
      <c r="C351" s="26"/>
      <c r="D351" s="26"/>
      <c r="E351" s="26"/>
      <c r="F351" s="26"/>
      <c r="G351" s="26"/>
      <c r="H351" s="26"/>
      <c r="I351" s="26"/>
      <c r="J351" s="26"/>
      <c r="K351" s="26"/>
      <c r="L351" s="26"/>
      <c r="M351" s="26"/>
      <c r="N351" s="26"/>
      <c r="O351" s="26"/>
      <c r="P351" s="26"/>
      <c r="Q351" s="26"/>
      <c r="R351" s="26"/>
      <c r="S351" s="26"/>
    </row>
    <row r="352" spans="1:19" ht="15.75" customHeight="1" x14ac:dyDescent="0.25">
      <c r="A352" s="26"/>
      <c r="B352" s="26"/>
      <c r="C352" s="26"/>
      <c r="D352" s="26"/>
      <c r="E352" s="26"/>
      <c r="F352" s="26"/>
      <c r="G352" s="26"/>
      <c r="H352" s="26"/>
      <c r="I352" s="26"/>
      <c r="J352" s="26"/>
      <c r="K352" s="26"/>
      <c r="L352" s="26"/>
      <c r="M352" s="26"/>
      <c r="N352" s="26"/>
      <c r="O352" s="26"/>
      <c r="P352" s="26"/>
      <c r="Q352" s="26"/>
      <c r="R352" s="26"/>
      <c r="S352" s="26"/>
    </row>
    <row r="353" spans="1:19" ht="15.75" customHeight="1" x14ac:dyDescent="0.25">
      <c r="A353" s="26"/>
      <c r="B353" s="26"/>
      <c r="C353" s="26"/>
      <c r="D353" s="26"/>
      <c r="E353" s="26"/>
      <c r="F353" s="26"/>
      <c r="G353" s="26"/>
      <c r="H353" s="26"/>
      <c r="I353" s="26"/>
      <c r="J353" s="26"/>
      <c r="K353" s="26"/>
      <c r="L353" s="26"/>
      <c r="M353" s="26"/>
      <c r="N353" s="26"/>
      <c r="O353" s="26"/>
      <c r="P353" s="26"/>
      <c r="Q353" s="26"/>
      <c r="R353" s="26"/>
      <c r="S353" s="26"/>
    </row>
    <row r="354" spans="1:19" ht="15.75" customHeight="1" x14ac:dyDescent="0.25">
      <c r="A354" s="26"/>
      <c r="B354" s="26"/>
      <c r="C354" s="26"/>
      <c r="D354" s="26"/>
      <c r="E354" s="26"/>
      <c r="F354" s="26"/>
      <c r="G354" s="26"/>
      <c r="H354" s="26"/>
      <c r="I354" s="26"/>
      <c r="J354" s="26"/>
      <c r="K354" s="26"/>
      <c r="L354" s="26"/>
      <c r="M354" s="26"/>
      <c r="N354" s="26"/>
      <c r="O354" s="26"/>
      <c r="P354" s="26"/>
      <c r="Q354" s="26"/>
      <c r="R354" s="26"/>
      <c r="S354" s="26"/>
    </row>
    <row r="355" spans="1:19" ht="15.75" customHeight="1" x14ac:dyDescent="0.25">
      <c r="A355" s="26"/>
      <c r="B355" s="26"/>
      <c r="C355" s="26"/>
      <c r="D355" s="26"/>
      <c r="E355" s="26"/>
      <c r="F355" s="26"/>
      <c r="G355" s="26"/>
      <c r="H355" s="26"/>
      <c r="I355" s="26"/>
      <c r="J355" s="26"/>
      <c r="K355" s="26"/>
      <c r="L355" s="26"/>
      <c r="M355" s="26"/>
      <c r="N355" s="26"/>
      <c r="O355" s="26"/>
      <c r="P355" s="26"/>
      <c r="Q355" s="26"/>
      <c r="R355" s="26"/>
      <c r="S355" s="26"/>
    </row>
    <row r="356" spans="1:19" ht="15.75" customHeight="1" x14ac:dyDescent="0.25">
      <c r="A356" s="26"/>
      <c r="B356" s="26"/>
      <c r="C356" s="26"/>
      <c r="D356" s="26"/>
      <c r="E356" s="26"/>
      <c r="F356" s="26"/>
      <c r="G356" s="26"/>
      <c r="H356" s="26"/>
      <c r="I356" s="26"/>
      <c r="J356" s="26"/>
      <c r="K356" s="26"/>
      <c r="L356" s="26"/>
      <c r="M356" s="26"/>
      <c r="N356" s="26"/>
      <c r="O356" s="26"/>
      <c r="P356" s="26"/>
      <c r="Q356" s="26"/>
      <c r="R356" s="26"/>
      <c r="S356" s="26"/>
    </row>
    <row r="357" spans="1:19" ht="15.75" customHeight="1" x14ac:dyDescent="0.25">
      <c r="A357" s="26"/>
      <c r="B357" s="26"/>
      <c r="C357" s="26"/>
      <c r="D357" s="26"/>
      <c r="E357" s="26"/>
      <c r="F357" s="26"/>
      <c r="G357" s="26"/>
      <c r="H357" s="26"/>
      <c r="I357" s="26"/>
      <c r="J357" s="26"/>
      <c r="K357" s="26"/>
      <c r="L357" s="26"/>
      <c r="M357" s="26"/>
      <c r="N357" s="26"/>
      <c r="O357" s="26"/>
      <c r="P357" s="26"/>
      <c r="Q357" s="26"/>
      <c r="R357" s="26"/>
      <c r="S357" s="26"/>
    </row>
    <row r="358" spans="1:19" ht="15.75" customHeight="1" x14ac:dyDescent="0.25">
      <c r="A358" s="26"/>
      <c r="B358" s="26"/>
      <c r="C358" s="26"/>
      <c r="D358" s="26"/>
      <c r="E358" s="26"/>
      <c r="F358" s="26"/>
      <c r="G358" s="26"/>
      <c r="H358" s="26"/>
      <c r="I358" s="26"/>
      <c r="J358" s="26"/>
      <c r="K358" s="26"/>
      <c r="L358" s="26"/>
      <c r="M358" s="26"/>
      <c r="N358" s="26"/>
      <c r="O358" s="26"/>
      <c r="P358" s="26"/>
      <c r="Q358" s="26"/>
      <c r="R358" s="26"/>
      <c r="S358" s="26"/>
    </row>
    <row r="359" spans="1:19" ht="15.75" customHeight="1" x14ac:dyDescent="0.25">
      <c r="A359" s="26"/>
      <c r="B359" s="26"/>
      <c r="C359" s="26"/>
      <c r="D359" s="26"/>
      <c r="E359" s="26"/>
      <c r="F359" s="26"/>
      <c r="G359" s="26"/>
      <c r="H359" s="26"/>
      <c r="I359" s="26"/>
      <c r="J359" s="26"/>
      <c r="K359" s="26"/>
      <c r="L359" s="26"/>
      <c r="M359" s="26"/>
      <c r="N359" s="26"/>
      <c r="O359" s="26"/>
      <c r="P359" s="26"/>
      <c r="Q359" s="26"/>
      <c r="R359" s="26"/>
      <c r="S359" s="26"/>
    </row>
    <row r="360" spans="1:19" ht="15.75" customHeight="1" x14ac:dyDescent="0.25">
      <c r="A360" s="26"/>
      <c r="B360" s="26"/>
      <c r="C360" s="26"/>
      <c r="D360" s="26"/>
      <c r="E360" s="26"/>
      <c r="F360" s="26"/>
      <c r="G360" s="26"/>
      <c r="H360" s="26"/>
      <c r="I360" s="26"/>
      <c r="J360" s="26"/>
      <c r="K360" s="26"/>
      <c r="L360" s="26"/>
      <c r="M360" s="26"/>
      <c r="N360" s="26"/>
      <c r="O360" s="26"/>
      <c r="P360" s="26"/>
      <c r="Q360" s="26"/>
      <c r="R360" s="26"/>
      <c r="S360" s="26"/>
    </row>
    <row r="361" spans="1:19" ht="15.75" customHeight="1" x14ac:dyDescent="0.25">
      <c r="A361" s="26"/>
      <c r="B361" s="26"/>
      <c r="C361" s="26"/>
      <c r="D361" s="26"/>
      <c r="E361" s="26"/>
      <c r="F361" s="26"/>
      <c r="G361" s="26"/>
      <c r="H361" s="26"/>
      <c r="I361" s="26"/>
      <c r="J361" s="26"/>
      <c r="K361" s="26"/>
      <c r="L361" s="26"/>
      <c r="M361" s="26"/>
      <c r="N361" s="26"/>
      <c r="O361" s="26"/>
      <c r="P361" s="26"/>
      <c r="Q361" s="26"/>
      <c r="R361" s="26"/>
      <c r="S361" s="26"/>
    </row>
    <row r="362" spans="1:19" ht="15.75" customHeight="1" x14ac:dyDescent="0.25">
      <c r="A362" s="26"/>
      <c r="B362" s="26"/>
      <c r="C362" s="26"/>
      <c r="D362" s="26"/>
      <c r="E362" s="26"/>
      <c r="F362" s="26"/>
      <c r="G362" s="26"/>
      <c r="H362" s="26"/>
      <c r="I362" s="26"/>
      <c r="J362" s="26"/>
      <c r="K362" s="26"/>
      <c r="L362" s="26"/>
      <c r="M362" s="26"/>
      <c r="N362" s="26"/>
      <c r="O362" s="26"/>
      <c r="P362" s="26"/>
      <c r="Q362" s="26"/>
      <c r="R362" s="26"/>
      <c r="S362" s="26"/>
    </row>
    <row r="363" spans="1:19" ht="15.75" customHeight="1" x14ac:dyDescent="0.25">
      <c r="A363" s="26"/>
      <c r="B363" s="26"/>
      <c r="C363" s="26"/>
      <c r="D363" s="26"/>
      <c r="E363" s="26"/>
      <c r="F363" s="26"/>
      <c r="G363" s="26"/>
      <c r="H363" s="26"/>
      <c r="I363" s="26"/>
      <c r="J363" s="26"/>
      <c r="K363" s="26"/>
      <c r="L363" s="26"/>
      <c r="M363" s="26"/>
      <c r="N363" s="26"/>
      <c r="O363" s="26"/>
      <c r="P363" s="26"/>
      <c r="Q363" s="26"/>
      <c r="R363" s="26"/>
      <c r="S363" s="26"/>
    </row>
    <row r="364" spans="1:19" ht="15.75" customHeight="1" x14ac:dyDescent="0.25">
      <c r="A364" s="26"/>
      <c r="B364" s="26"/>
      <c r="C364" s="26"/>
      <c r="D364" s="26"/>
      <c r="E364" s="26"/>
      <c r="F364" s="26"/>
      <c r="G364" s="26"/>
      <c r="H364" s="26"/>
      <c r="I364" s="26"/>
      <c r="J364" s="26"/>
      <c r="K364" s="26"/>
      <c r="L364" s="26"/>
      <c r="M364" s="26"/>
      <c r="N364" s="26"/>
      <c r="O364" s="26"/>
      <c r="P364" s="26"/>
      <c r="Q364" s="26"/>
      <c r="R364" s="26"/>
      <c r="S364" s="26"/>
    </row>
    <row r="365" spans="1:19" ht="15.75" customHeight="1" x14ac:dyDescent="0.25">
      <c r="A365" s="26"/>
      <c r="B365" s="26"/>
      <c r="C365" s="26"/>
      <c r="D365" s="26"/>
      <c r="E365" s="26"/>
      <c r="F365" s="26"/>
      <c r="G365" s="26"/>
      <c r="H365" s="26"/>
      <c r="I365" s="26"/>
      <c r="J365" s="26"/>
      <c r="K365" s="26"/>
      <c r="L365" s="26"/>
      <c r="M365" s="26"/>
      <c r="N365" s="26"/>
      <c r="O365" s="26"/>
      <c r="P365" s="26"/>
      <c r="Q365" s="26"/>
      <c r="R365" s="26"/>
      <c r="S365" s="26"/>
    </row>
    <row r="366" spans="1:19" ht="15.75" customHeight="1" x14ac:dyDescent="0.25">
      <c r="A366" s="26"/>
      <c r="B366" s="26"/>
      <c r="C366" s="26"/>
      <c r="D366" s="26"/>
      <c r="E366" s="26"/>
      <c r="F366" s="26"/>
      <c r="G366" s="26"/>
      <c r="H366" s="26"/>
      <c r="I366" s="26"/>
      <c r="J366" s="26"/>
      <c r="K366" s="26"/>
      <c r="L366" s="26"/>
      <c r="M366" s="26"/>
      <c r="N366" s="26"/>
      <c r="O366" s="26"/>
      <c r="P366" s="26"/>
      <c r="Q366" s="26"/>
      <c r="R366" s="26"/>
      <c r="S366" s="26"/>
    </row>
    <row r="367" spans="1:19" ht="15.75" customHeight="1" x14ac:dyDescent="0.25">
      <c r="A367" s="26"/>
      <c r="B367" s="26"/>
      <c r="C367" s="26"/>
      <c r="D367" s="26"/>
      <c r="E367" s="26"/>
      <c r="F367" s="26"/>
      <c r="G367" s="26"/>
      <c r="H367" s="26"/>
      <c r="I367" s="26"/>
      <c r="J367" s="26"/>
      <c r="K367" s="26"/>
      <c r="L367" s="26"/>
      <c r="M367" s="26"/>
      <c r="N367" s="26"/>
      <c r="O367" s="26"/>
      <c r="P367" s="26"/>
      <c r="Q367" s="26"/>
      <c r="R367" s="26"/>
      <c r="S367" s="26"/>
    </row>
    <row r="368" spans="1:19" ht="15.75" customHeight="1" x14ac:dyDescent="0.25">
      <c r="A368" s="26"/>
      <c r="B368" s="26"/>
      <c r="C368" s="26"/>
      <c r="D368" s="26"/>
      <c r="E368" s="26"/>
      <c r="F368" s="26"/>
      <c r="G368" s="26"/>
      <c r="H368" s="26"/>
      <c r="I368" s="26"/>
      <c r="J368" s="26"/>
      <c r="K368" s="26"/>
      <c r="L368" s="26"/>
      <c r="M368" s="26"/>
      <c r="N368" s="26"/>
      <c r="O368" s="26"/>
      <c r="P368" s="26"/>
      <c r="Q368" s="26"/>
      <c r="R368" s="26"/>
      <c r="S368" s="26"/>
    </row>
    <row r="369" spans="1:19" ht="15.75" customHeight="1" x14ac:dyDescent="0.25">
      <c r="A369" s="26"/>
      <c r="B369" s="26"/>
      <c r="C369" s="26"/>
      <c r="D369" s="26"/>
      <c r="E369" s="26"/>
      <c r="F369" s="26"/>
      <c r="G369" s="26"/>
      <c r="H369" s="26"/>
      <c r="I369" s="26"/>
      <c r="J369" s="26"/>
      <c r="K369" s="26"/>
      <c r="L369" s="26"/>
      <c r="M369" s="26"/>
      <c r="N369" s="26"/>
      <c r="O369" s="26"/>
      <c r="P369" s="26"/>
      <c r="Q369" s="26"/>
      <c r="R369" s="26"/>
      <c r="S369" s="26"/>
    </row>
    <row r="370" spans="1:19" ht="15.75" customHeight="1" x14ac:dyDescent="0.25">
      <c r="A370" s="26"/>
      <c r="B370" s="26"/>
      <c r="C370" s="26"/>
      <c r="D370" s="26"/>
      <c r="E370" s="26"/>
      <c r="F370" s="26"/>
      <c r="G370" s="26"/>
      <c r="H370" s="26"/>
      <c r="I370" s="26"/>
      <c r="J370" s="26"/>
      <c r="K370" s="26"/>
      <c r="L370" s="26"/>
      <c r="M370" s="26"/>
      <c r="N370" s="26"/>
      <c r="O370" s="26"/>
      <c r="P370" s="26"/>
      <c r="Q370" s="26"/>
      <c r="R370" s="26"/>
      <c r="S370" s="26"/>
    </row>
    <row r="371" spans="1:19" ht="15.75" customHeight="1" x14ac:dyDescent="0.25">
      <c r="A371" s="26"/>
      <c r="B371" s="26"/>
      <c r="C371" s="26"/>
      <c r="D371" s="26"/>
      <c r="E371" s="26"/>
      <c r="F371" s="26"/>
      <c r="G371" s="26"/>
      <c r="H371" s="26"/>
      <c r="I371" s="26"/>
      <c r="J371" s="26"/>
      <c r="K371" s="26"/>
      <c r="L371" s="26"/>
      <c r="M371" s="26"/>
      <c r="N371" s="26"/>
      <c r="O371" s="26"/>
      <c r="P371" s="26"/>
      <c r="Q371" s="26"/>
      <c r="R371" s="26"/>
      <c r="S371" s="26"/>
    </row>
    <row r="372" spans="1:19" ht="15.75" customHeight="1" x14ac:dyDescent="0.25">
      <c r="A372" s="26"/>
      <c r="B372" s="26"/>
      <c r="C372" s="26"/>
      <c r="D372" s="26"/>
      <c r="E372" s="26"/>
      <c r="F372" s="26"/>
      <c r="G372" s="26"/>
      <c r="H372" s="26"/>
      <c r="I372" s="26"/>
      <c r="J372" s="26"/>
      <c r="K372" s="26"/>
      <c r="L372" s="26"/>
      <c r="M372" s="26"/>
      <c r="N372" s="26"/>
      <c r="O372" s="26"/>
      <c r="P372" s="26"/>
      <c r="Q372" s="26"/>
      <c r="R372" s="26"/>
      <c r="S372" s="26"/>
    </row>
    <row r="373" spans="1:19" ht="15.75" customHeight="1" x14ac:dyDescent="0.25">
      <c r="A373" s="26"/>
      <c r="B373" s="26"/>
      <c r="C373" s="26"/>
      <c r="D373" s="26"/>
      <c r="E373" s="26"/>
      <c r="F373" s="26"/>
      <c r="G373" s="26"/>
      <c r="H373" s="26"/>
      <c r="I373" s="26"/>
      <c r="J373" s="26"/>
      <c r="K373" s="26"/>
      <c r="L373" s="26"/>
      <c r="M373" s="26"/>
      <c r="N373" s="26"/>
      <c r="O373" s="26"/>
      <c r="P373" s="26"/>
      <c r="Q373" s="26"/>
      <c r="R373" s="26"/>
      <c r="S373" s="26"/>
    </row>
    <row r="374" spans="1:19" ht="15.75" customHeight="1" x14ac:dyDescent="0.25">
      <c r="A374" s="26"/>
      <c r="B374" s="26"/>
      <c r="C374" s="26"/>
      <c r="D374" s="26"/>
      <c r="E374" s="26"/>
      <c r="F374" s="26"/>
      <c r="G374" s="26"/>
      <c r="H374" s="26"/>
      <c r="I374" s="26"/>
      <c r="J374" s="26"/>
      <c r="K374" s="26"/>
      <c r="L374" s="26"/>
      <c r="M374" s="26"/>
      <c r="N374" s="26"/>
      <c r="O374" s="26"/>
      <c r="P374" s="26"/>
      <c r="Q374" s="26"/>
      <c r="R374" s="26"/>
      <c r="S374" s="26"/>
    </row>
    <row r="375" spans="1:19" ht="15.75" customHeight="1" x14ac:dyDescent="0.25">
      <c r="A375" s="26"/>
      <c r="B375" s="26"/>
      <c r="C375" s="26"/>
      <c r="D375" s="26"/>
      <c r="E375" s="26"/>
      <c r="F375" s="26"/>
      <c r="G375" s="26"/>
      <c r="H375" s="26"/>
      <c r="I375" s="26"/>
      <c r="J375" s="26"/>
      <c r="K375" s="26"/>
      <c r="L375" s="26"/>
      <c r="M375" s="26"/>
      <c r="N375" s="26"/>
      <c r="O375" s="26"/>
      <c r="P375" s="26"/>
      <c r="Q375" s="26"/>
      <c r="R375" s="26"/>
      <c r="S375" s="26"/>
    </row>
    <row r="376" spans="1:19" ht="15.75" customHeight="1" x14ac:dyDescent="0.25">
      <c r="A376" s="26"/>
      <c r="B376" s="26"/>
      <c r="C376" s="26"/>
      <c r="D376" s="26"/>
      <c r="E376" s="26"/>
      <c r="F376" s="26"/>
      <c r="G376" s="26"/>
      <c r="H376" s="26"/>
      <c r="I376" s="26"/>
      <c r="J376" s="26"/>
      <c r="K376" s="26"/>
      <c r="L376" s="26"/>
      <c r="M376" s="26"/>
      <c r="N376" s="26"/>
      <c r="O376" s="26"/>
      <c r="P376" s="26"/>
      <c r="Q376" s="26"/>
      <c r="R376" s="26"/>
      <c r="S376" s="26"/>
    </row>
    <row r="377" spans="1:19" ht="15.75" customHeight="1" x14ac:dyDescent="0.25">
      <c r="A377" s="26"/>
      <c r="B377" s="26"/>
      <c r="C377" s="26"/>
      <c r="D377" s="26"/>
      <c r="E377" s="26"/>
      <c r="F377" s="26"/>
      <c r="G377" s="26"/>
      <c r="H377" s="26"/>
      <c r="I377" s="26"/>
      <c r="J377" s="26"/>
      <c r="K377" s="26"/>
      <c r="L377" s="26"/>
      <c r="M377" s="26"/>
      <c r="N377" s="26"/>
      <c r="O377" s="26"/>
      <c r="P377" s="26"/>
      <c r="Q377" s="26"/>
      <c r="R377" s="26"/>
      <c r="S377" s="26"/>
    </row>
    <row r="378" spans="1:19" ht="15.75" customHeight="1" x14ac:dyDescent="0.25">
      <c r="A378" s="26"/>
      <c r="B378" s="26"/>
      <c r="C378" s="26"/>
      <c r="D378" s="26"/>
      <c r="E378" s="26"/>
      <c r="F378" s="26"/>
      <c r="G378" s="26"/>
      <c r="H378" s="26"/>
      <c r="I378" s="26"/>
      <c r="J378" s="26"/>
      <c r="K378" s="26"/>
      <c r="L378" s="26"/>
      <c r="M378" s="26"/>
      <c r="N378" s="26"/>
      <c r="O378" s="26"/>
      <c r="P378" s="26"/>
      <c r="Q378" s="26"/>
      <c r="R378" s="26"/>
      <c r="S378" s="26"/>
    </row>
    <row r="379" spans="1:19" ht="15.75" customHeight="1" x14ac:dyDescent="0.25">
      <c r="A379" s="26"/>
      <c r="B379" s="26"/>
      <c r="C379" s="26"/>
      <c r="D379" s="26"/>
      <c r="E379" s="26"/>
      <c r="F379" s="26"/>
      <c r="G379" s="26"/>
      <c r="H379" s="26"/>
      <c r="I379" s="26"/>
      <c r="J379" s="26"/>
      <c r="K379" s="26"/>
      <c r="L379" s="26"/>
      <c r="M379" s="26"/>
      <c r="N379" s="26"/>
      <c r="O379" s="26"/>
      <c r="P379" s="26"/>
      <c r="Q379" s="26"/>
      <c r="R379" s="26"/>
      <c r="S379" s="26"/>
    </row>
    <row r="380" spans="1:19" ht="15.75" customHeight="1" x14ac:dyDescent="0.25">
      <c r="A380" s="26"/>
      <c r="B380" s="26"/>
      <c r="C380" s="26"/>
      <c r="D380" s="26"/>
      <c r="E380" s="26"/>
      <c r="F380" s="26"/>
      <c r="G380" s="26"/>
      <c r="H380" s="26"/>
      <c r="I380" s="26"/>
      <c r="J380" s="26"/>
      <c r="K380" s="26"/>
      <c r="L380" s="26"/>
      <c r="M380" s="26"/>
      <c r="N380" s="26"/>
      <c r="O380" s="26"/>
      <c r="P380" s="26"/>
      <c r="Q380" s="26"/>
      <c r="R380" s="26"/>
      <c r="S380" s="26"/>
    </row>
    <row r="381" spans="1:19" ht="15.75" customHeight="1" x14ac:dyDescent="0.25">
      <c r="A381" s="26"/>
      <c r="B381" s="26"/>
      <c r="C381" s="26"/>
      <c r="D381" s="26"/>
      <c r="E381" s="26"/>
      <c r="F381" s="26"/>
      <c r="G381" s="26"/>
      <c r="H381" s="26"/>
      <c r="I381" s="26"/>
      <c r="J381" s="26"/>
      <c r="K381" s="26"/>
      <c r="L381" s="26"/>
      <c r="M381" s="26"/>
      <c r="N381" s="26"/>
      <c r="O381" s="26"/>
      <c r="P381" s="26"/>
      <c r="Q381" s="26"/>
      <c r="R381" s="26"/>
      <c r="S381" s="26"/>
    </row>
    <row r="382" spans="1:19" ht="15.75" customHeight="1" x14ac:dyDescent="0.25">
      <c r="A382" s="26"/>
      <c r="B382" s="26"/>
      <c r="C382" s="26"/>
      <c r="D382" s="26"/>
      <c r="E382" s="26"/>
      <c r="F382" s="26"/>
      <c r="G382" s="26"/>
      <c r="H382" s="26"/>
      <c r="I382" s="26"/>
      <c r="J382" s="26"/>
      <c r="K382" s="26"/>
      <c r="L382" s="26"/>
      <c r="M382" s="26"/>
      <c r="N382" s="26"/>
      <c r="O382" s="26"/>
      <c r="P382" s="26"/>
      <c r="Q382" s="26"/>
      <c r="R382" s="26"/>
      <c r="S382" s="26"/>
    </row>
    <row r="383" spans="1:19" ht="15.75" customHeight="1" x14ac:dyDescent="0.25">
      <c r="A383" s="26"/>
      <c r="B383" s="26"/>
      <c r="C383" s="26"/>
      <c r="D383" s="26"/>
      <c r="E383" s="26"/>
      <c r="F383" s="26"/>
      <c r="G383" s="26"/>
      <c r="H383" s="26"/>
      <c r="I383" s="26"/>
      <c r="J383" s="26"/>
      <c r="K383" s="26"/>
      <c r="L383" s="26"/>
      <c r="M383" s="26"/>
      <c r="N383" s="26"/>
      <c r="O383" s="26"/>
      <c r="P383" s="26"/>
      <c r="Q383" s="26"/>
      <c r="R383" s="26"/>
      <c r="S383" s="26"/>
    </row>
    <row r="384" spans="1:19" ht="15.75" customHeight="1" x14ac:dyDescent="0.25">
      <c r="A384" s="26"/>
      <c r="B384" s="26"/>
      <c r="C384" s="26"/>
      <c r="D384" s="26"/>
      <c r="E384" s="26"/>
      <c r="F384" s="26"/>
      <c r="G384" s="26"/>
      <c r="H384" s="26"/>
      <c r="I384" s="26"/>
      <c r="J384" s="26"/>
      <c r="K384" s="26"/>
      <c r="L384" s="26"/>
      <c r="M384" s="26"/>
      <c r="N384" s="26"/>
      <c r="O384" s="26"/>
      <c r="P384" s="26"/>
      <c r="Q384" s="26"/>
      <c r="R384" s="26"/>
      <c r="S384" s="26"/>
    </row>
    <row r="385" spans="1:19" ht="15.75" customHeight="1" x14ac:dyDescent="0.25">
      <c r="A385" s="26"/>
      <c r="B385" s="26"/>
      <c r="C385" s="26"/>
      <c r="D385" s="26"/>
      <c r="E385" s="26"/>
      <c r="F385" s="26"/>
      <c r="G385" s="26"/>
      <c r="H385" s="26"/>
      <c r="I385" s="26"/>
      <c r="J385" s="26"/>
      <c r="K385" s="26"/>
      <c r="L385" s="26"/>
      <c r="M385" s="26"/>
      <c r="N385" s="26"/>
      <c r="O385" s="26"/>
      <c r="P385" s="26"/>
      <c r="Q385" s="26"/>
      <c r="R385" s="26"/>
      <c r="S385" s="26"/>
    </row>
    <row r="386" spans="1:19" ht="15.75" customHeight="1" x14ac:dyDescent="0.25">
      <c r="A386" s="26"/>
      <c r="B386" s="26"/>
      <c r="C386" s="26"/>
      <c r="D386" s="26"/>
      <c r="E386" s="26"/>
      <c r="F386" s="26"/>
      <c r="G386" s="26"/>
      <c r="H386" s="26"/>
      <c r="I386" s="26"/>
      <c r="J386" s="26"/>
      <c r="K386" s="26"/>
      <c r="L386" s="26"/>
      <c r="M386" s="26"/>
      <c r="N386" s="26"/>
      <c r="O386" s="26"/>
      <c r="P386" s="26"/>
      <c r="Q386" s="26"/>
      <c r="R386" s="26"/>
      <c r="S386" s="26"/>
    </row>
    <row r="387" spans="1:19" ht="15.75" customHeight="1" x14ac:dyDescent="0.25">
      <c r="A387" s="26"/>
      <c r="B387" s="26"/>
      <c r="C387" s="26"/>
      <c r="D387" s="26"/>
      <c r="E387" s="26"/>
      <c r="F387" s="26"/>
      <c r="G387" s="26"/>
      <c r="H387" s="26"/>
      <c r="I387" s="26"/>
      <c r="J387" s="26"/>
      <c r="K387" s="26"/>
      <c r="L387" s="26"/>
      <c r="M387" s="26"/>
      <c r="N387" s="26"/>
      <c r="O387" s="26"/>
      <c r="P387" s="26"/>
      <c r="Q387" s="26"/>
      <c r="R387" s="26"/>
      <c r="S387" s="26"/>
    </row>
    <row r="388" spans="1:19" ht="15.75" customHeight="1" x14ac:dyDescent="0.25">
      <c r="A388" s="26"/>
      <c r="B388" s="26"/>
      <c r="C388" s="26"/>
      <c r="D388" s="26"/>
      <c r="E388" s="26"/>
      <c r="F388" s="26"/>
      <c r="G388" s="26"/>
      <c r="H388" s="26"/>
      <c r="I388" s="26"/>
      <c r="J388" s="26"/>
      <c r="K388" s="26"/>
      <c r="L388" s="26"/>
      <c r="M388" s="26"/>
      <c r="N388" s="26"/>
      <c r="O388" s="26"/>
      <c r="P388" s="26"/>
      <c r="Q388" s="26"/>
      <c r="R388" s="26"/>
      <c r="S388" s="26"/>
    </row>
    <row r="389" spans="1:19" ht="15.75" customHeight="1" x14ac:dyDescent="0.25">
      <c r="A389" s="26"/>
      <c r="B389" s="26"/>
      <c r="C389" s="26"/>
      <c r="D389" s="26"/>
      <c r="E389" s="26"/>
      <c r="F389" s="26"/>
      <c r="G389" s="26"/>
      <c r="H389" s="26"/>
      <c r="I389" s="26"/>
      <c r="J389" s="26"/>
      <c r="K389" s="26"/>
      <c r="L389" s="26"/>
      <c r="M389" s="26"/>
      <c r="N389" s="26"/>
      <c r="O389" s="26"/>
      <c r="P389" s="26"/>
      <c r="Q389" s="26"/>
      <c r="R389" s="26"/>
      <c r="S389" s="26"/>
    </row>
    <row r="390" spans="1:19" ht="15.75" customHeight="1" x14ac:dyDescent="0.25">
      <c r="A390" s="26"/>
      <c r="B390" s="26"/>
      <c r="C390" s="26"/>
      <c r="D390" s="26"/>
      <c r="E390" s="26"/>
      <c r="F390" s="26"/>
      <c r="G390" s="26"/>
      <c r="H390" s="26"/>
      <c r="I390" s="26"/>
      <c r="J390" s="26"/>
      <c r="K390" s="26"/>
      <c r="L390" s="26"/>
      <c r="M390" s="26"/>
      <c r="N390" s="26"/>
      <c r="O390" s="26"/>
      <c r="P390" s="26"/>
      <c r="Q390" s="26"/>
      <c r="R390" s="26"/>
      <c r="S390" s="26"/>
    </row>
    <row r="391" spans="1:19" ht="15.75" customHeight="1" x14ac:dyDescent="0.25">
      <c r="A391" s="26"/>
      <c r="B391" s="26"/>
      <c r="C391" s="26"/>
      <c r="D391" s="26"/>
      <c r="E391" s="26"/>
      <c r="F391" s="26"/>
      <c r="G391" s="26"/>
      <c r="H391" s="26"/>
      <c r="I391" s="26"/>
      <c r="J391" s="26"/>
      <c r="K391" s="26"/>
      <c r="L391" s="26"/>
      <c r="M391" s="26"/>
      <c r="N391" s="26"/>
      <c r="O391" s="26"/>
      <c r="P391" s="26"/>
      <c r="Q391" s="26"/>
      <c r="R391" s="26"/>
      <c r="S391" s="26"/>
    </row>
    <row r="392" spans="1:19" ht="15.75" customHeight="1" x14ac:dyDescent="0.25">
      <c r="A392" s="26"/>
      <c r="B392" s="26"/>
      <c r="C392" s="26"/>
      <c r="D392" s="26"/>
      <c r="E392" s="26"/>
      <c r="F392" s="26"/>
      <c r="G392" s="26"/>
      <c r="H392" s="26"/>
      <c r="I392" s="26"/>
      <c r="J392" s="26"/>
      <c r="K392" s="26"/>
      <c r="L392" s="26"/>
      <c r="M392" s="26"/>
      <c r="N392" s="26"/>
      <c r="O392" s="26"/>
      <c r="P392" s="26"/>
      <c r="Q392" s="26"/>
      <c r="R392" s="26"/>
      <c r="S392" s="26"/>
    </row>
    <row r="393" spans="1:19" ht="15.75" customHeight="1" x14ac:dyDescent="0.25">
      <c r="A393" s="26"/>
      <c r="B393" s="26"/>
      <c r="C393" s="26"/>
      <c r="D393" s="26"/>
      <c r="E393" s="26"/>
      <c r="F393" s="26"/>
      <c r="G393" s="26"/>
      <c r="H393" s="26"/>
      <c r="I393" s="26"/>
      <c r="J393" s="26"/>
      <c r="K393" s="26"/>
      <c r="L393" s="26"/>
      <c r="M393" s="26"/>
      <c r="N393" s="26"/>
      <c r="O393" s="26"/>
      <c r="P393" s="26"/>
      <c r="Q393" s="26"/>
      <c r="R393" s="26"/>
      <c r="S393" s="26"/>
    </row>
    <row r="394" spans="1:19" ht="15.75" customHeight="1" x14ac:dyDescent="0.25">
      <c r="A394" s="26"/>
      <c r="B394" s="26"/>
      <c r="C394" s="26"/>
      <c r="D394" s="26"/>
      <c r="E394" s="26"/>
      <c r="F394" s="26"/>
      <c r="G394" s="26"/>
      <c r="H394" s="26"/>
      <c r="I394" s="26"/>
      <c r="J394" s="26"/>
      <c r="K394" s="26"/>
      <c r="L394" s="26"/>
      <c r="M394" s="26"/>
      <c r="N394" s="26"/>
      <c r="O394" s="26"/>
      <c r="P394" s="26"/>
      <c r="Q394" s="26"/>
      <c r="R394" s="26"/>
      <c r="S394" s="26"/>
    </row>
    <row r="395" spans="1:19" ht="15.75" customHeight="1" x14ac:dyDescent="0.25">
      <c r="A395" s="26"/>
      <c r="B395" s="26"/>
      <c r="C395" s="26"/>
      <c r="D395" s="26"/>
      <c r="E395" s="26"/>
      <c r="F395" s="26"/>
      <c r="G395" s="26"/>
      <c r="H395" s="26"/>
      <c r="I395" s="26"/>
      <c r="J395" s="26"/>
      <c r="K395" s="26"/>
      <c r="L395" s="26"/>
      <c r="M395" s="26"/>
      <c r="N395" s="26"/>
      <c r="O395" s="26"/>
      <c r="P395" s="26"/>
      <c r="Q395" s="26"/>
      <c r="R395" s="26"/>
      <c r="S395" s="26"/>
    </row>
    <row r="396" spans="1:19" ht="15.75" customHeight="1" x14ac:dyDescent="0.25">
      <c r="A396" s="26"/>
      <c r="B396" s="26"/>
      <c r="C396" s="26"/>
      <c r="D396" s="26"/>
      <c r="E396" s="26"/>
      <c r="F396" s="26"/>
      <c r="G396" s="26"/>
      <c r="H396" s="26"/>
      <c r="I396" s="26"/>
      <c r="J396" s="26"/>
      <c r="K396" s="26"/>
      <c r="L396" s="26"/>
      <c r="M396" s="26"/>
      <c r="N396" s="26"/>
      <c r="O396" s="26"/>
      <c r="P396" s="26"/>
      <c r="Q396" s="26"/>
      <c r="R396" s="26"/>
      <c r="S396" s="26"/>
    </row>
    <row r="397" spans="1:19" ht="15.75" customHeight="1" x14ac:dyDescent="0.25">
      <c r="A397" s="26"/>
      <c r="B397" s="26"/>
      <c r="C397" s="26"/>
      <c r="D397" s="26"/>
      <c r="E397" s="26"/>
      <c r="F397" s="26"/>
      <c r="G397" s="26"/>
      <c r="H397" s="26"/>
      <c r="I397" s="26"/>
      <c r="J397" s="26"/>
      <c r="K397" s="26"/>
      <c r="L397" s="26"/>
      <c r="M397" s="26"/>
      <c r="N397" s="26"/>
      <c r="O397" s="26"/>
      <c r="P397" s="26"/>
      <c r="Q397" s="26"/>
      <c r="R397" s="26"/>
      <c r="S397" s="26"/>
    </row>
    <row r="398" spans="1:19" ht="15.75" customHeight="1" x14ac:dyDescent="0.25">
      <c r="A398" s="26"/>
      <c r="B398" s="26"/>
      <c r="C398" s="26"/>
      <c r="D398" s="26"/>
      <c r="E398" s="26"/>
      <c r="F398" s="26"/>
      <c r="G398" s="26"/>
      <c r="H398" s="26"/>
      <c r="I398" s="26"/>
      <c r="J398" s="26"/>
      <c r="K398" s="26"/>
      <c r="L398" s="26"/>
      <c r="M398" s="26"/>
      <c r="N398" s="26"/>
      <c r="O398" s="26"/>
      <c r="P398" s="26"/>
      <c r="Q398" s="26"/>
      <c r="R398" s="26"/>
      <c r="S398" s="26"/>
    </row>
    <row r="399" spans="1:19" ht="15.75" customHeight="1" x14ac:dyDescent="0.25">
      <c r="A399" s="26"/>
      <c r="B399" s="26"/>
      <c r="C399" s="26"/>
      <c r="D399" s="26"/>
      <c r="E399" s="26"/>
      <c r="F399" s="26"/>
      <c r="G399" s="26"/>
      <c r="H399" s="26"/>
      <c r="I399" s="26"/>
      <c r="J399" s="26"/>
      <c r="K399" s="26"/>
      <c r="L399" s="26"/>
      <c r="M399" s="26"/>
      <c r="N399" s="26"/>
      <c r="O399" s="26"/>
      <c r="P399" s="26"/>
      <c r="Q399" s="26"/>
      <c r="R399" s="26"/>
      <c r="S399" s="26"/>
    </row>
    <row r="400" spans="1:19" ht="15.75" customHeight="1" x14ac:dyDescent="0.25">
      <c r="A400" s="26"/>
      <c r="B400" s="26"/>
      <c r="C400" s="26"/>
      <c r="D400" s="26"/>
      <c r="E400" s="26"/>
      <c r="F400" s="26"/>
      <c r="G400" s="26"/>
      <c r="H400" s="26"/>
      <c r="I400" s="26"/>
      <c r="J400" s="26"/>
      <c r="K400" s="26"/>
      <c r="L400" s="26"/>
      <c r="M400" s="26"/>
      <c r="N400" s="26"/>
      <c r="O400" s="26"/>
      <c r="P400" s="26"/>
      <c r="Q400" s="26"/>
      <c r="R400" s="26"/>
      <c r="S400" s="26"/>
    </row>
    <row r="401" spans="1:19" ht="15.75" customHeight="1" x14ac:dyDescent="0.25">
      <c r="A401" s="26"/>
      <c r="B401" s="26"/>
      <c r="C401" s="26"/>
      <c r="D401" s="26"/>
      <c r="E401" s="26"/>
      <c r="F401" s="26"/>
      <c r="G401" s="26"/>
      <c r="H401" s="26"/>
      <c r="I401" s="26"/>
      <c r="J401" s="26"/>
      <c r="K401" s="26"/>
      <c r="L401" s="26"/>
      <c r="M401" s="26"/>
      <c r="N401" s="26"/>
      <c r="O401" s="26"/>
      <c r="P401" s="26"/>
      <c r="Q401" s="26"/>
      <c r="R401" s="26"/>
      <c r="S401" s="26"/>
    </row>
    <row r="402" spans="1:19" ht="15.75" customHeight="1" x14ac:dyDescent="0.25">
      <c r="A402" s="26"/>
      <c r="B402" s="26"/>
      <c r="C402" s="26"/>
      <c r="D402" s="26"/>
      <c r="E402" s="26"/>
      <c r="F402" s="26"/>
      <c r="G402" s="26"/>
      <c r="H402" s="26"/>
      <c r="I402" s="26"/>
      <c r="J402" s="26"/>
      <c r="K402" s="26"/>
      <c r="L402" s="26"/>
      <c r="M402" s="26"/>
      <c r="N402" s="26"/>
      <c r="O402" s="26"/>
      <c r="P402" s="26"/>
      <c r="Q402" s="26"/>
      <c r="R402" s="26"/>
      <c r="S402" s="26"/>
    </row>
    <row r="403" spans="1:19" ht="15.75" customHeight="1" x14ac:dyDescent="0.25">
      <c r="A403" s="26"/>
      <c r="B403" s="26"/>
      <c r="C403" s="26"/>
      <c r="D403" s="26"/>
      <c r="E403" s="26"/>
      <c r="F403" s="26"/>
      <c r="G403" s="26"/>
      <c r="H403" s="26"/>
      <c r="I403" s="26"/>
      <c r="J403" s="26"/>
      <c r="K403" s="26"/>
      <c r="L403" s="26"/>
      <c r="M403" s="26"/>
      <c r="N403" s="26"/>
      <c r="O403" s="26"/>
      <c r="P403" s="26"/>
      <c r="Q403" s="26"/>
      <c r="R403" s="26"/>
      <c r="S403" s="26"/>
    </row>
    <row r="404" spans="1:19" ht="15.75" customHeight="1" x14ac:dyDescent="0.25">
      <c r="A404" s="26"/>
      <c r="B404" s="26"/>
      <c r="C404" s="26"/>
      <c r="D404" s="26"/>
      <c r="E404" s="26"/>
      <c r="F404" s="26"/>
      <c r="G404" s="26"/>
      <c r="H404" s="26"/>
      <c r="I404" s="26"/>
      <c r="J404" s="26"/>
      <c r="K404" s="26"/>
      <c r="L404" s="26"/>
      <c r="M404" s="26"/>
      <c r="N404" s="26"/>
      <c r="O404" s="26"/>
      <c r="P404" s="26"/>
      <c r="Q404" s="26"/>
      <c r="R404" s="26"/>
      <c r="S404" s="26"/>
    </row>
    <row r="405" spans="1:19" ht="15.75" customHeight="1" x14ac:dyDescent="0.25">
      <c r="A405" s="26"/>
      <c r="B405" s="26"/>
      <c r="C405" s="26"/>
      <c r="D405" s="26"/>
      <c r="E405" s="26"/>
      <c r="F405" s="26"/>
      <c r="G405" s="26"/>
      <c r="H405" s="26"/>
      <c r="I405" s="26"/>
      <c r="J405" s="26"/>
      <c r="K405" s="26"/>
      <c r="L405" s="26"/>
      <c r="M405" s="26"/>
      <c r="N405" s="26"/>
      <c r="O405" s="26"/>
      <c r="P405" s="26"/>
      <c r="Q405" s="26"/>
      <c r="R405" s="26"/>
      <c r="S405" s="26"/>
    </row>
    <row r="406" spans="1:19" ht="15.75" customHeight="1" x14ac:dyDescent="0.25">
      <c r="A406" s="26"/>
      <c r="B406" s="26"/>
      <c r="C406" s="26"/>
      <c r="D406" s="26"/>
      <c r="E406" s="26"/>
      <c r="F406" s="26"/>
      <c r="G406" s="26"/>
      <c r="H406" s="26"/>
      <c r="I406" s="26"/>
      <c r="J406" s="26"/>
      <c r="K406" s="26"/>
      <c r="L406" s="26"/>
      <c r="M406" s="26"/>
      <c r="N406" s="26"/>
      <c r="O406" s="26"/>
      <c r="P406" s="26"/>
      <c r="Q406" s="26"/>
      <c r="R406" s="26"/>
      <c r="S406" s="26"/>
    </row>
    <row r="407" spans="1:19" ht="15.75" customHeight="1" x14ac:dyDescent="0.25">
      <c r="A407" s="26"/>
      <c r="B407" s="26"/>
      <c r="C407" s="26"/>
      <c r="D407" s="26"/>
      <c r="E407" s="26"/>
      <c r="F407" s="26"/>
      <c r="G407" s="26"/>
      <c r="H407" s="26"/>
      <c r="I407" s="26"/>
      <c r="J407" s="26"/>
      <c r="K407" s="26"/>
      <c r="L407" s="26"/>
      <c r="M407" s="26"/>
      <c r="N407" s="26"/>
      <c r="O407" s="26"/>
      <c r="P407" s="26"/>
      <c r="Q407" s="26"/>
      <c r="R407" s="26"/>
      <c r="S407" s="26"/>
    </row>
    <row r="408" spans="1:19" ht="15.75" customHeight="1" x14ac:dyDescent="0.25">
      <c r="A408" s="26"/>
      <c r="B408" s="26"/>
      <c r="C408" s="26"/>
      <c r="D408" s="26"/>
      <c r="E408" s="26"/>
      <c r="F408" s="26"/>
      <c r="G408" s="26"/>
      <c r="H408" s="26"/>
      <c r="I408" s="26"/>
      <c r="J408" s="26"/>
      <c r="K408" s="26"/>
      <c r="L408" s="26"/>
      <c r="M408" s="26"/>
      <c r="N408" s="26"/>
      <c r="O408" s="26"/>
      <c r="P408" s="26"/>
      <c r="Q408" s="26"/>
      <c r="R408" s="26"/>
      <c r="S408" s="26"/>
    </row>
    <row r="409" spans="1:19" ht="15.75" customHeight="1" x14ac:dyDescent="0.25">
      <c r="A409" s="26"/>
      <c r="B409" s="26"/>
      <c r="C409" s="26"/>
      <c r="D409" s="26"/>
      <c r="E409" s="26"/>
      <c r="F409" s="26"/>
      <c r="G409" s="26"/>
      <c r="H409" s="26"/>
      <c r="I409" s="26"/>
      <c r="J409" s="26"/>
      <c r="K409" s="26"/>
      <c r="L409" s="26"/>
      <c r="M409" s="26"/>
      <c r="N409" s="26"/>
      <c r="O409" s="26"/>
      <c r="P409" s="26"/>
      <c r="Q409" s="26"/>
      <c r="R409" s="26"/>
      <c r="S409" s="26"/>
    </row>
    <row r="410" spans="1:19" ht="15.75" customHeight="1" x14ac:dyDescent="0.25">
      <c r="A410" s="26"/>
      <c r="B410" s="26"/>
      <c r="C410" s="26"/>
      <c r="D410" s="26"/>
      <c r="E410" s="26"/>
      <c r="F410" s="26"/>
      <c r="G410" s="26"/>
      <c r="H410" s="26"/>
      <c r="I410" s="26"/>
      <c r="J410" s="26"/>
      <c r="K410" s="26"/>
      <c r="L410" s="26"/>
      <c r="M410" s="26"/>
      <c r="N410" s="26"/>
      <c r="O410" s="26"/>
      <c r="P410" s="26"/>
      <c r="Q410" s="26"/>
      <c r="R410" s="26"/>
      <c r="S410" s="26"/>
    </row>
    <row r="411" spans="1:19" ht="15.75" customHeight="1" x14ac:dyDescent="0.25">
      <c r="A411" s="26"/>
      <c r="B411" s="26"/>
      <c r="C411" s="26"/>
      <c r="D411" s="26"/>
      <c r="E411" s="26"/>
      <c r="F411" s="26"/>
      <c r="G411" s="26"/>
      <c r="H411" s="26"/>
      <c r="I411" s="26"/>
      <c r="J411" s="26"/>
      <c r="K411" s="26"/>
      <c r="L411" s="26"/>
      <c r="M411" s="26"/>
      <c r="N411" s="26"/>
      <c r="O411" s="26"/>
      <c r="P411" s="26"/>
      <c r="Q411" s="26"/>
      <c r="R411" s="26"/>
      <c r="S411" s="26"/>
    </row>
    <row r="412" spans="1:19" ht="15.75" customHeight="1" x14ac:dyDescent="0.25">
      <c r="A412" s="26"/>
      <c r="B412" s="26"/>
      <c r="C412" s="26"/>
      <c r="D412" s="26"/>
      <c r="E412" s="26"/>
      <c r="F412" s="26"/>
      <c r="G412" s="26"/>
      <c r="H412" s="26"/>
      <c r="I412" s="26"/>
      <c r="J412" s="26"/>
      <c r="K412" s="26"/>
      <c r="L412" s="26"/>
      <c r="M412" s="26"/>
      <c r="N412" s="26"/>
      <c r="O412" s="26"/>
      <c r="P412" s="26"/>
      <c r="Q412" s="26"/>
      <c r="R412" s="26"/>
      <c r="S412" s="26"/>
    </row>
    <row r="413" spans="1:19" ht="15.75" customHeight="1" x14ac:dyDescent="0.25">
      <c r="A413" s="26"/>
      <c r="B413" s="26"/>
      <c r="C413" s="26"/>
      <c r="D413" s="26"/>
      <c r="E413" s="26"/>
      <c r="F413" s="26"/>
      <c r="G413" s="26"/>
      <c r="H413" s="26"/>
      <c r="I413" s="26"/>
      <c r="J413" s="26"/>
      <c r="K413" s="26"/>
      <c r="L413" s="26"/>
      <c r="M413" s="26"/>
      <c r="N413" s="26"/>
      <c r="O413" s="26"/>
      <c r="P413" s="26"/>
      <c r="Q413" s="26"/>
      <c r="R413" s="26"/>
      <c r="S413" s="26"/>
    </row>
    <row r="414" spans="1:19" ht="15.75" customHeight="1" x14ac:dyDescent="0.25">
      <c r="A414" s="26"/>
      <c r="B414" s="26"/>
      <c r="C414" s="26"/>
      <c r="D414" s="26"/>
      <c r="E414" s="26"/>
      <c r="F414" s="26"/>
      <c r="G414" s="26"/>
      <c r="H414" s="26"/>
      <c r="I414" s="26"/>
      <c r="J414" s="26"/>
      <c r="K414" s="26"/>
      <c r="L414" s="26"/>
      <c r="M414" s="26"/>
      <c r="N414" s="26"/>
      <c r="O414" s="26"/>
      <c r="P414" s="26"/>
      <c r="Q414" s="26"/>
      <c r="R414" s="26"/>
      <c r="S414" s="26"/>
    </row>
    <row r="415" spans="1:19" ht="15.75" customHeight="1" x14ac:dyDescent="0.25">
      <c r="A415" s="26"/>
      <c r="B415" s="26"/>
      <c r="C415" s="26"/>
      <c r="D415" s="26"/>
      <c r="E415" s="26"/>
      <c r="F415" s="26"/>
      <c r="G415" s="26"/>
      <c r="H415" s="26"/>
      <c r="I415" s="26"/>
      <c r="J415" s="26"/>
      <c r="K415" s="26"/>
      <c r="L415" s="26"/>
      <c r="M415" s="26"/>
      <c r="N415" s="26"/>
      <c r="O415" s="26"/>
      <c r="P415" s="26"/>
      <c r="Q415" s="26"/>
      <c r="R415" s="26"/>
      <c r="S415" s="26"/>
    </row>
    <row r="416" spans="1:19" ht="15.75" customHeight="1" x14ac:dyDescent="0.25">
      <c r="A416" s="26"/>
      <c r="B416" s="26"/>
      <c r="C416" s="26"/>
      <c r="D416" s="26"/>
      <c r="E416" s="26"/>
      <c r="F416" s="26"/>
      <c r="G416" s="26"/>
      <c r="H416" s="26"/>
      <c r="I416" s="26"/>
      <c r="J416" s="26"/>
      <c r="K416" s="26"/>
      <c r="L416" s="26"/>
      <c r="M416" s="26"/>
      <c r="N416" s="26"/>
      <c r="O416" s="26"/>
      <c r="P416" s="26"/>
      <c r="Q416" s="26"/>
      <c r="R416" s="26"/>
      <c r="S416" s="26"/>
    </row>
    <row r="417" spans="1:19" ht="15.75" customHeight="1" x14ac:dyDescent="0.25">
      <c r="A417" s="26"/>
      <c r="B417" s="26"/>
      <c r="C417" s="26"/>
      <c r="D417" s="26"/>
      <c r="E417" s="26"/>
      <c r="F417" s="26"/>
      <c r="G417" s="26"/>
      <c r="H417" s="26"/>
      <c r="I417" s="26"/>
      <c r="J417" s="26"/>
      <c r="K417" s="26"/>
      <c r="L417" s="26"/>
      <c r="M417" s="26"/>
      <c r="N417" s="26"/>
      <c r="O417" s="26"/>
      <c r="P417" s="26"/>
      <c r="Q417" s="26"/>
      <c r="R417" s="26"/>
      <c r="S417" s="26"/>
    </row>
    <row r="418" spans="1:19" ht="15.75" customHeight="1" x14ac:dyDescent="0.25">
      <c r="A418" s="26"/>
      <c r="B418" s="26"/>
      <c r="C418" s="26"/>
      <c r="D418" s="26"/>
      <c r="E418" s="26"/>
      <c r="F418" s="26"/>
      <c r="G418" s="26"/>
      <c r="H418" s="26"/>
      <c r="I418" s="26"/>
      <c r="J418" s="26"/>
      <c r="K418" s="26"/>
      <c r="L418" s="26"/>
      <c r="M418" s="26"/>
      <c r="N418" s="26"/>
      <c r="O418" s="26"/>
      <c r="P418" s="26"/>
      <c r="Q418" s="26"/>
      <c r="R418" s="26"/>
      <c r="S418" s="26"/>
    </row>
    <row r="419" spans="1:19" ht="15.75" customHeight="1" x14ac:dyDescent="0.25">
      <c r="A419" s="26"/>
      <c r="B419" s="26"/>
      <c r="C419" s="26"/>
      <c r="D419" s="26"/>
      <c r="E419" s="26"/>
      <c r="F419" s="26"/>
      <c r="G419" s="26"/>
      <c r="H419" s="26"/>
      <c r="I419" s="26"/>
      <c r="J419" s="26"/>
      <c r="K419" s="26"/>
      <c r="L419" s="26"/>
      <c r="M419" s="26"/>
      <c r="N419" s="26"/>
      <c r="O419" s="26"/>
      <c r="P419" s="26"/>
      <c r="Q419" s="26"/>
      <c r="R419" s="26"/>
      <c r="S419" s="26"/>
    </row>
    <row r="420" spans="1:19" ht="15.75" customHeight="1" x14ac:dyDescent="0.25">
      <c r="A420" s="26"/>
      <c r="B420" s="26"/>
      <c r="C420" s="26"/>
      <c r="D420" s="26"/>
      <c r="E420" s="26"/>
      <c r="F420" s="26"/>
      <c r="G420" s="26"/>
      <c r="H420" s="26"/>
      <c r="I420" s="26"/>
      <c r="J420" s="26"/>
      <c r="K420" s="26"/>
      <c r="L420" s="26"/>
      <c r="M420" s="26"/>
      <c r="N420" s="26"/>
      <c r="O420" s="26"/>
      <c r="P420" s="26"/>
      <c r="Q420" s="26"/>
      <c r="R420" s="26"/>
      <c r="S420" s="26"/>
    </row>
    <row r="421" spans="1:19" ht="15.75" customHeight="1" x14ac:dyDescent="0.25">
      <c r="A421" s="26"/>
      <c r="B421" s="26"/>
      <c r="C421" s="26"/>
      <c r="D421" s="26"/>
      <c r="E421" s="26"/>
      <c r="F421" s="26"/>
      <c r="G421" s="26"/>
      <c r="H421" s="26"/>
      <c r="I421" s="26"/>
      <c r="J421" s="26"/>
      <c r="K421" s="26"/>
      <c r="L421" s="26"/>
      <c r="M421" s="26"/>
      <c r="N421" s="26"/>
      <c r="O421" s="26"/>
      <c r="P421" s="26"/>
      <c r="Q421" s="26"/>
      <c r="R421" s="26"/>
      <c r="S421" s="26"/>
    </row>
    <row r="422" spans="1:19" ht="15.75" customHeight="1" x14ac:dyDescent="0.25">
      <c r="A422" s="26"/>
      <c r="B422" s="26"/>
      <c r="C422" s="26"/>
      <c r="D422" s="26"/>
      <c r="E422" s="26"/>
      <c r="F422" s="26"/>
      <c r="G422" s="26"/>
      <c r="H422" s="26"/>
      <c r="I422" s="26"/>
      <c r="J422" s="26"/>
      <c r="K422" s="26"/>
      <c r="L422" s="26"/>
      <c r="M422" s="26"/>
      <c r="N422" s="26"/>
      <c r="O422" s="26"/>
      <c r="P422" s="26"/>
      <c r="Q422" s="26"/>
      <c r="R422" s="26"/>
      <c r="S422" s="26"/>
    </row>
    <row r="423" spans="1:19" ht="15.75" customHeight="1" x14ac:dyDescent="0.25">
      <c r="A423" s="26"/>
      <c r="B423" s="26"/>
      <c r="C423" s="26"/>
      <c r="D423" s="26"/>
      <c r="E423" s="26"/>
      <c r="F423" s="26"/>
      <c r="G423" s="26"/>
      <c r="H423" s="26"/>
      <c r="I423" s="26"/>
      <c r="J423" s="26"/>
      <c r="K423" s="26"/>
      <c r="L423" s="26"/>
      <c r="M423" s="26"/>
      <c r="N423" s="26"/>
      <c r="O423" s="26"/>
      <c r="P423" s="26"/>
      <c r="Q423" s="26"/>
      <c r="R423" s="26"/>
      <c r="S423" s="26"/>
    </row>
    <row r="424" spans="1:19" ht="15.75" customHeight="1" x14ac:dyDescent="0.25">
      <c r="A424" s="26"/>
      <c r="B424" s="26"/>
      <c r="C424" s="26"/>
      <c r="D424" s="26"/>
      <c r="E424" s="26"/>
      <c r="F424" s="26"/>
      <c r="G424" s="26"/>
      <c r="H424" s="26"/>
      <c r="I424" s="26"/>
      <c r="J424" s="26"/>
      <c r="K424" s="26"/>
      <c r="L424" s="26"/>
      <c r="M424" s="26"/>
      <c r="N424" s="26"/>
      <c r="O424" s="26"/>
      <c r="P424" s="26"/>
      <c r="Q424" s="26"/>
      <c r="R424" s="26"/>
      <c r="S424" s="26"/>
    </row>
    <row r="425" spans="1:19" ht="15.75" customHeight="1" x14ac:dyDescent="0.25">
      <c r="A425" s="26"/>
      <c r="B425" s="26"/>
      <c r="C425" s="26"/>
      <c r="D425" s="26"/>
      <c r="E425" s="26"/>
      <c r="F425" s="26"/>
      <c r="G425" s="26"/>
      <c r="H425" s="26"/>
      <c r="I425" s="26"/>
      <c r="J425" s="26"/>
      <c r="K425" s="26"/>
      <c r="L425" s="26"/>
      <c r="M425" s="26"/>
      <c r="N425" s="26"/>
      <c r="O425" s="26"/>
      <c r="P425" s="26"/>
      <c r="Q425" s="26"/>
      <c r="R425" s="26"/>
      <c r="S425" s="26"/>
    </row>
    <row r="426" spans="1:19" ht="15.75" customHeight="1" x14ac:dyDescent="0.25">
      <c r="A426" s="26"/>
      <c r="B426" s="26"/>
      <c r="C426" s="26"/>
      <c r="D426" s="26"/>
      <c r="E426" s="26"/>
      <c r="F426" s="26"/>
      <c r="G426" s="26"/>
      <c r="H426" s="26"/>
      <c r="I426" s="26"/>
      <c r="J426" s="26"/>
      <c r="K426" s="26"/>
      <c r="L426" s="26"/>
      <c r="M426" s="26"/>
      <c r="N426" s="26"/>
      <c r="O426" s="26"/>
      <c r="P426" s="26"/>
      <c r="Q426" s="26"/>
      <c r="R426" s="26"/>
      <c r="S426" s="26"/>
    </row>
    <row r="427" spans="1:19" ht="15.75" customHeight="1" x14ac:dyDescent="0.25">
      <c r="A427" s="26"/>
      <c r="B427" s="26"/>
      <c r="C427" s="26"/>
      <c r="D427" s="26"/>
      <c r="E427" s="26"/>
      <c r="F427" s="26"/>
      <c r="G427" s="26"/>
      <c r="H427" s="26"/>
      <c r="I427" s="26"/>
      <c r="J427" s="26"/>
      <c r="K427" s="26"/>
      <c r="L427" s="26"/>
      <c r="M427" s="26"/>
      <c r="N427" s="26"/>
      <c r="O427" s="26"/>
      <c r="P427" s="26"/>
      <c r="Q427" s="26"/>
      <c r="R427" s="26"/>
      <c r="S427" s="26"/>
    </row>
    <row r="428" spans="1:19" ht="15.75" customHeight="1" x14ac:dyDescent="0.25">
      <c r="A428" s="26"/>
      <c r="B428" s="26"/>
      <c r="C428" s="26"/>
      <c r="D428" s="26"/>
      <c r="E428" s="26"/>
      <c r="F428" s="26"/>
      <c r="G428" s="26"/>
      <c r="H428" s="26"/>
      <c r="I428" s="26"/>
      <c r="J428" s="26"/>
      <c r="K428" s="26"/>
      <c r="L428" s="26"/>
      <c r="M428" s="26"/>
      <c r="N428" s="26"/>
      <c r="O428" s="26"/>
      <c r="P428" s="26"/>
      <c r="Q428" s="26"/>
      <c r="R428" s="26"/>
      <c r="S428" s="26"/>
    </row>
    <row r="429" spans="1:19" ht="15.75" customHeight="1" x14ac:dyDescent="0.25">
      <c r="A429" s="26"/>
      <c r="B429" s="26"/>
      <c r="C429" s="26"/>
      <c r="D429" s="26"/>
      <c r="E429" s="26"/>
      <c r="F429" s="26"/>
      <c r="G429" s="26"/>
      <c r="H429" s="26"/>
      <c r="I429" s="26"/>
      <c r="J429" s="26"/>
      <c r="K429" s="26"/>
      <c r="L429" s="26"/>
      <c r="M429" s="26"/>
      <c r="N429" s="26"/>
      <c r="O429" s="26"/>
      <c r="P429" s="26"/>
      <c r="Q429" s="26"/>
      <c r="R429" s="26"/>
      <c r="S429" s="26"/>
    </row>
    <row r="430" spans="1:19" ht="15.75" customHeight="1" x14ac:dyDescent="0.25">
      <c r="A430" s="26"/>
      <c r="B430" s="26"/>
      <c r="C430" s="26"/>
      <c r="D430" s="26"/>
      <c r="E430" s="26"/>
      <c r="F430" s="26"/>
      <c r="G430" s="26"/>
      <c r="H430" s="26"/>
      <c r="I430" s="26"/>
      <c r="J430" s="26"/>
      <c r="K430" s="26"/>
      <c r="L430" s="26"/>
      <c r="M430" s="26"/>
      <c r="N430" s="26"/>
      <c r="O430" s="26"/>
      <c r="P430" s="26"/>
      <c r="Q430" s="26"/>
      <c r="R430" s="26"/>
      <c r="S430" s="26"/>
    </row>
    <row r="431" spans="1:19" ht="15.75" customHeight="1" x14ac:dyDescent="0.25">
      <c r="A431" s="26"/>
      <c r="B431" s="26"/>
      <c r="C431" s="26"/>
      <c r="D431" s="26"/>
      <c r="E431" s="26"/>
      <c r="F431" s="26"/>
      <c r="G431" s="26"/>
      <c r="H431" s="26"/>
      <c r="I431" s="26"/>
      <c r="J431" s="26"/>
      <c r="K431" s="26"/>
      <c r="L431" s="26"/>
      <c r="M431" s="26"/>
      <c r="N431" s="26"/>
      <c r="O431" s="26"/>
      <c r="P431" s="26"/>
      <c r="Q431" s="26"/>
      <c r="R431" s="26"/>
      <c r="S431" s="26"/>
    </row>
    <row r="432" spans="1:19" ht="15.75" customHeight="1" x14ac:dyDescent="0.25">
      <c r="A432" s="26"/>
      <c r="B432" s="26"/>
      <c r="C432" s="26"/>
      <c r="D432" s="26"/>
      <c r="E432" s="26"/>
      <c r="F432" s="26"/>
      <c r="G432" s="26"/>
      <c r="H432" s="26"/>
      <c r="I432" s="26"/>
      <c r="J432" s="26"/>
      <c r="K432" s="26"/>
      <c r="L432" s="26"/>
      <c r="M432" s="26"/>
      <c r="N432" s="26"/>
      <c r="O432" s="26"/>
      <c r="P432" s="26"/>
      <c r="Q432" s="26"/>
      <c r="R432" s="26"/>
      <c r="S432" s="26"/>
    </row>
    <row r="433" spans="1:19" ht="15.75" customHeight="1" x14ac:dyDescent="0.25">
      <c r="A433" s="26"/>
      <c r="B433" s="26"/>
      <c r="C433" s="26"/>
      <c r="D433" s="26"/>
      <c r="E433" s="26"/>
      <c r="F433" s="26"/>
      <c r="G433" s="26"/>
      <c r="H433" s="26"/>
      <c r="I433" s="26"/>
      <c r="J433" s="26"/>
      <c r="K433" s="26"/>
      <c r="L433" s="26"/>
      <c r="M433" s="26"/>
      <c r="N433" s="26"/>
      <c r="O433" s="26"/>
      <c r="P433" s="26"/>
      <c r="Q433" s="26"/>
      <c r="R433" s="26"/>
      <c r="S433" s="26"/>
    </row>
    <row r="434" spans="1:19" ht="15.75" customHeight="1" x14ac:dyDescent="0.25">
      <c r="A434" s="26"/>
      <c r="B434" s="26"/>
      <c r="C434" s="26"/>
      <c r="D434" s="26"/>
      <c r="E434" s="26"/>
      <c r="F434" s="26"/>
      <c r="G434" s="26"/>
      <c r="H434" s="26"/>
      <c r="I434" s="26"/>
      <c r="J434" s="26"/>
      <c r="K434" s="26"/>
      <c r="L434" s="26"/>
      <c r="M434" s="26"/>
      <c r="N434" s="26"/>
      <c r="O434" s="26"/>
      <c r="P434" s="26"/>
      <c r="Q434" s="26"/>
      <c r="R434" s="26"/>
      <c r="S434" s="26"/>
    </row>
    <row r="435" spans="1:19" ht="15.75" customHeight="1" x14ac:dyDescent="0.25">
      <c r="A435" s="26"/>
      <c r="B435" s="26"/>
      <c r="C435" s="26"/>
      <c r="D435" s="26"/>
      <c r="E435" s="26"/>
      <c r="F435" s="26"/>
      <c r="G435" s="26"/>
      <c r="H435" s="26"/>
      <c r="I435" s="26"/>
      <c r="J435" s="26"/>
      <c r="K435" s="26"/>
      <c r="L435" s="26"/>
      <c r="M435" s="26"/>
      <c r="N435" s="26"/>
      <c r="O435" s="26"/>
      <c r="P435" s="26"/>
      <c r="Q435" s="26"/>
      <c r="R435" s="26"/>
      <c r="S435" s="26"/>
    </row>
    <row r="436" spans="1:19" ht="15.75" customHeight="1" x14ac:dyDescent="0.25">
      <c r="A436" s="26"/>
      <c r="B436" s="26"/>
      <c r="C436" s="26"/>
      <c r="D436" s="26"/>
      <c r="E436" s="26"/>
      <c r="F436" s="26"/>
      <c r="G436" s="26"/>
      <c r="H436" s="26"/>
      <c r="I436" s="26"/>
      <c r="J436" s="26"/>
      <c r="K436" s="26"/>
      <c r="L436" s="26"/>
      <c r="M436" s="26"/>
      <c r="N436" s="26"/>
      <c r="O436" s="26"/>
      <c r="P436" s="26"/>
      <c r="Q436" s="26"/>
      <c r="R436" s="26"/>
      <c r="S436" s="26"/>
    </row>
    <row r="437" spans="1:19" ht="15.75" customHeight="1" x14ac:dyDescent="0.25">
      <c r="A437" s="26"/>
      <c r="B437" s="26"/>
      <c r="C437" s="26"/>
      <c r="D437" s="26"/>
      <c r="E437" s="26"/>
      <c r="F437" s="26"/>
      <c r="G437" s="26"/>
      <c r="H437" s="26"/>
      <c r="I437" s="26"/>
      <c r="J437" s="26"/>
      <c r="K437" s="26"/>
      <c r="L437" s="26"/>
      <c r="M437" s="26"/>
      <c r="N437" s="26"/>
      <c r="O437" s="26"/>
      <c r="P437" s="26"/>
      <c r="Q437" s="26"/>
      <c r="R437" s="26"/>
      <c r="S437" s="26"/>
    </row>
    <row r="438" spans="1:19" ht="15.75" customHeight="1" x14ac:dyDescent="0.25">
      <c r="A438" s="26"/>
      <c r="B438" s="26"/>
      <c r="C438" s="26"/>
      <c r="D438" s="26"/>
      <c r="E438" s="26"/>
      <c r="F438" s="26"/>
      <c r="G438" s="26"/>
      <c r="H438" s="26"/>
      <c r="I438" s="26"/>
      <c r="J438" s="26"/>
      <c r="K438" s="26"/>
      <c r="L438" s="26"/>
      <c r="M438" s="26"/>
      <c r="N438" s="26"/>
      <c r="O438" s="26"/>
      <c r="P438" s="26"/>
      <c r="Q438" s="26"/>
      <c r="R438" s="26"/>
      <c r="S438" s="26"/>
    </row>
    <row r="439" spans="1:19" ht="15.75" customHeight="1" x14ac:dyDescent="0.25">
      <c r="A439" s="26"/>
      <c r="B439" s="26"/>
      <c r="C439" s="26"/>
      <c r="D439" s="26"/>
      <c r="E439" s="26"/>
      <c r="F439" s="26"/>
      <c r="G439" s="26"/>
      <c r="H439" s="26"/>
      <c r="I439" s="26"/>
      <c r="J439" s="26"/>
      <c r="K439" s="26"/>
      <c r="L439" s="26"/>
      <c r="M439" s="26"/>
      <c r="N439" s="26"/>
      <c r="O439" s="26"/>
      <c r="P439" s="26"/>
      <c r="Q439" s="26"/>
      <c r="R439" s="26"/>
      <c r="S439" s="26"/>
    </row>
    <row r="440" spans="1:19" ht="15.75" customHeight="1" x14ac:dyDescent="0.25">
      <c r="A440" s="26"/>
      <c r="B440" s="26"/>
      <c r="C440" s="26"/>
      <c r="D440" s="26"/>
      <c r="E440" s="26"/>
      <c r="F440" s="26"/>
      <c r="G440" s="26"/>
      <c r="H440" s="26"/>
      <c r="I440" s="26"/>
      <c r="J440" s="26"/>
      <c r="K440" s="26"/>
      <c r="L440" s="26"/>
      <c r="M440" s="26"/>
      <c r="N440" s="26"/>
      <c r="O440" s="26"/>
      <c r="P440" s="26"/>
      <c r="Q440" s="26"/>
      <c r="R440" s="26"/>
      <c r="S440" s="26"/>
    </row>
    <row r="441" spans="1:19" ht="15.75" customHeight="1" x14ac:dyDescent="0.25">
      <c r="A441" s="26"/>
      <c r="B441" s="26"/>
      <c r="C441" s="26"/>
      <c r="D441" s="26"/>
      <c r="E441" s="26"/>
      <c r="F441" s="26"/>
      <c r="G441" s="26"/>
      <c r="H441" s="26"/>
      <c r="I441" s="26"/>
      <c r="J441" s="26"/>
      <c r="K441" s="26"/>
      <c r="L441" s="26"/>
      <c r="M441" s="26"/>
      <c r="N441" s="26"/>
      <c r="O441" s="26"/>
      <c r="P441" s="26"/>
      <c r="Q441" s="26"/>
      <c r="R441" s="26"/>
      <c r="S441" s="26"/>
    </row>
    <row r="442" spans="1:19" ht="15.75" customHeight="1" x14ac:dyDescent="0.25">
      <c r="A442" s="26"/>
      <c r="B442" s="26"/>
      <c r="C442" s="26"/>
      <c r="D442" s="26"/>
      <c r="E442" s="26"/>
      <c r="F442" s="26"/>
      <c r="G442" s="26"/>
      <c r="H442" s="26"/>
      <c r="I442" s="26"/>
      <c r="J442" s="26"/>
      <c r="K442" s="26"/>
      <c r="L442" s="26"/>
      <c r="M442" s="26"/>
      <c r="N442" s="26"/>
      <c r="O442" s="26"/>
      <c r="P442" s="26"/>
      <c r="Q442" s="26"/>
      <c r="R442" s="26"/>
      <c r="S442" s="26"/>
    </row>
    <row r="443" spans="1:19" ht="15.75" customHeight="1" x14ac:dyDescent="0.25">
      <c r="A443" s="26"/>
      <c r="B443" s="26"/>
      <c r="C443" s="26"/>
      <c r="D443" s="26"/>
      <c r="E443" s="26"/>
      <c r="F443" s="26"/>
      <c r="G443" s="26"/>
      <c r="H443" s="26"/>
      <c r="I443" s="26"/>
      <c r="J443" s="26"/>
      <c r="K443" s="26"/>
      <c r="L443" s="26"/>
      <c r="M443" s="26"/>
      <c r="N443" s="26"/>
      <c r="O443" s="26"/>
      <c r="P443" s="26"/>
      <c r="Q443" s="26"/>
      <c r="R443" s="26"/>
      <c r="S443" s="26"/>
    </row>
    <row r="444" spans="1:19" ht="15.75" customHeight="1" x14ac:dyDescent="0.25">
      <c r="A444" s="26"/>
      <c r="B444" s="26"/>
      <c r="C444" s="26"/>
      <c r="D444" s="26"/>
      <c r="E444" s="26"/>
      <c r="F444" s="26"/>
      <c r="G444" s="26"/>
      <c r="H444" s="26"/>
      <c r="I444" s="26"/>
      <c r="J444" s="26"/>
      <c r="K444" s="26"/>
      <c r="L444" s="26"/>
      <c r="M444" s="26"/>
      <c r="N444" s="26"/>
      <c r="O444" s="26"/>
      <c r="P444" s="26"/>
      <c r="Q444" s="26"/>
      <c r="R444" s="26"/>
      <c r="S444" s="26"/>
    </row>
    <row r="445" spans="1:19" ht="15.75" customHeight="1" x14ac:dyDescent="0.25">
      <c r="A445" s="26"/>
      <c r="B445" s="26"/>
      <c r="C445" s="26"/>
      <c r="D445" s="26"/>
      <c r="E445" s="26"/>
      <c r="F445" s="26"/>
      <c r="G445" s="26"/>
      <c r="H445" s="26"/>
      <c r="I445" s="26"/>
      <c r="J445" s="26"/>
      <c r="K445" s="26"/>
      <c r="L445" s="26"/>
      <c r="M445" s="26"/>
      <c r="N445" s="26"/>
      <c r="O445" s="26"/>
      <c r="P445" s="26"/>
      <c r="Q445" s="26"/>
      <c r="R445" s="26"/>
      <c r="S445" s="26"/>
    </row>
    <row r="446" spans="1:19" ht="15.75" customHeight="1" x14ac:dyDescent="0.25">
      <c r="A446" s="26"/>
      <c r="B446" s="26"/>
      <c r="C446" s="26"/>
      <c r="D446" s="26"/>
      <c r="E446" s="26"/>
      <c r="F446" s="26"/>
      <c r="G446" s="26"/>
      <c r="H446" s="26"/>
      <c r="I446" s="26"/>
      <c r="J446" s="26"/>
      <c r="K446" s="26"/>
      <c r="L446" s="26"/>
      <c r="M446" s="26"/>
      <c r="N446" s="26"/>
      <c r="O446" s="26"/>
      <c r="P446" s="26"/>
      <c r="Q446" s="26"/>
      <c r="R446" s="26"/>
      <c r="S446" s="26"/>
    </row>
    <row r="447" spans="1:19" ht="15.75" customHeight="1" x14ac:dyDescent="0.25">
      <c r="A447" s="26"/>
      <c r="B447" s="26"/>
      <c r="C447" s="26"/>
      <c r="D447" s="26"/>
      <c r="E447" s="26"/>
      <c r="F447" s="26"/>
      <c r="G447" s="26"/>
      <c r="H447" s="26"/>
      <c r="I447" s="26"/>
      <c r="J447" s="26"/>
      <c r="K447" s="26"/>
      <c r="L447" s="26"/>
      <c r="M447" s="26"/>
      <c r="N447" s="26"/>
      <c r="O447" s="26"/>
      <c r="P447" s="26"/>
      <c r="Q447" s="26"/>
      <c r="R447" s="26"/>
      <c r="S447" s="26"/>
    </row>
    <row r="448" spans="1:19" ht="15.75" customHeight="1" x14ac:dyDescent="0.25">
      <c r="A448" s="26"/>
      <c r="B448" s="26"/>
      <c r="C448" s="26"/>
      <c r="D448" s="26"/>
      <c r="E448" s="26"/>
      <c r="F448" s="26"/>
      <c r="G448" s="26"/>
      <c r="H448" s="26"/>
      <c r="I448" s="26"/>
      <c r="J448" s="26"/>
      <c r="K448" s="26"/>
      <c r="L448" s="26"/>
      <c r="M448" s="26"/>
      <c r="N448" s="26"/>
      <c r="O448" s="26"/>
      <c r="P448" s="26"/>
      <c r="Q448" s="26"/>
      <c r="R448" s="26"/>
      <c r="S448" s="26"/>
    </row>
    <row r="449" spans="1:19" ht="15.75" customHeight="1" x14ac:dyDescent="0.25">
      <c r="A449" s="26"/>
      <c r="B449" s="26"/>
      <c r="C449" s="26"/>
      <c r="D449" s="26"/>
      <c r="E449" s="26"/>
      <c r="F449" s="26"/>
      <c r="G449" s="26"/>
      <c r="H449" s="26"/>
      <c r="I449" s="26"/>
      <c r="J449" s="26"/>
      <c r="K449" s="26"/>
      <c r="L449" s="26"/>
      <c r="M449" s="26"/>
      <c r="N449" s="26"/>
      <c r="O449" s="26"/>
      <c r="P449" s="26"/>
      <c r="Q449" s="26"/>
      <c r="R449" s="26"/>
      <c r="S449" s="26"/>
    </row>
    <row r="450" spans="1:19" ht="15.75" customHeight="1" x14ac:dyDescent="0.25">
      <c r="A450" s="26"/>
      <c r="B450" s="26"/>
      <c r="C450" s="26"/>
      <c r="D450" s="26"/>
      <c r="E450" s="26"/>
      <c r="F450" s="26"/>
      <c r="G450" s="26"/>
      <c r="H450" s="26"/>
      <c r="I450" s="26"/>
      <c r="J450" s="26"/>
      <c r="K450" s="26"/>
      <c r="L450" s="26"/>
      <c r="M450" s="26"/>
      <c r="N450" s="26"/>
      <c r="O450" s="26"/>
      <c r="P450" s="26"/>
      <c r="Q450" s="26"/>
      <c r="R450" s="26"/>
      <c r="S450" s="26"/>
    </row>
    <row r="451" spans="1:19" ht="15.75" customHeight="1" x14ac:dyDescent="0.25">
      <c r="A451" s="26"/>
      <c r="B451" s="26"/>
      <c r="C451" s="26"/>
      <c r="D451" s="26"/>
      <c r="E451" s="26"/>
      <c r="F451" s="26"/>
      <c r="G451" s="26"/>
      <c r="H451" s="26"/>
      <c r="I451" s="26"/>
      <c r="J451" s="26"/>
      <c r="K451" s="26"/>
      <c r="L451" s="26"/>
      <c r="M451" s="26"/>
      <c r="N451" s="26"/>
      <c r="O451" s="26"/>
      <c r="P451" s="26"/>
      <c r="Q451" s="26"/>
      <c r="R451" s="26"/>
      <c r="S451" s="26"/>
    </row>
    <row r="452" spans="1:19" ht="15.75" customHeight="1" x14ac:dyDescent="0.25">
      <c r="A452" s="26"/>
      <c r="B452" s="26"/>
      <c r="C452" s="26"/>
      <c r="D452" s="26"/>
      <c r="E452" s="26"/>
      <c r="F452" s="26"/>
      <c r="G452" s="26"/>
      <c r="H452" s="26"/>
      <c r="I452" s="26"/>
      <c r="J452" s="26"/>
      <c r="K452" s="26"/>
      <c r="L452" s="26"/>
      <c r="M452" s="26"/>
      <c r="N452" s="26"/>
      <c r="O452" s="26"/>
      <c r="P452" s="26"/>
      <c r="Q452" s="26"/>
      <c r="R452" s="26"/>
      <c r="S452" s="26"/>
    </row>
    <row r="453" spans="1:19" ht="15.75" customHeight="1" x14ac:dyDescent="0.25">
      <c r="A453" s="26"/>
      <c r="B453" s="26"/>
      <c r="C453" s="26"/>
      <c r="D453" s="26"/>
      <c r="E453" s="26"/>
      <c r="F453" s="26"/>
      <c r="G453" s="26"/>
      <c r="H453" s="26"/>
      <c r="I453" s="26"/>
      <c r="J453" s="26"/>
      <c r="K453" s="26"/>
      <c r="L453" s="26"/>
      <c r="M453" s="26"/>
      <c r="N453" s="26"/>
      <c r="O453" s="26"/>
      <c r="P453" s="26"/>
      <c r="Q453" s="26"/>
      <c r="R453" s="26"/>
      <c r="S453" s="26"/>
    </row>
    <row r="454" spans="1:19" ht="15.75" customHeight="1" x14ac:dyDescent="0.25">
      <c r="A454" s="26"/>
      <c r="B454" s="26"/>
      <c r="C454" s="26"/>
      <c r="D454" s="26"/>
      <c r="E454" s="26"/>
      <c r="F454" s="26"/>
      <c r="G454" s="26"/>
      <c r="H454" s="26"/>
      <c r="I454" s="26"/>
      <c r="J454" s="26"/>
      <c r="K454" s="26"/>
      <c r="L454" s="26"/>
      <c r="M454" s="26"/>
      <c r="N454" s="26"/>
      <c r="O454" s="26"/>
      <c r="P454" s="26"/>
      <c r="Q454" s="26"/>
      <c r="R454" s="26"/>
      <c r="S454" s="26"/>
    </row>
    <row r="455" spans="1:19" ht="15.75" customHeight="1" x14ac:dyDescent="0.25">
      <c r="A455" s="26"/>
      <c r="B455" s="26"/>
      <c r="C455" s="26"/>
      <c r="D455" s="26"/>
      <c r="E455" s="26"/>
      <c r="F455" s="26"/>
      <c r="G455" s="26"/>
      <c r="H455" s="26"/>
      <c r="I455" s="26"/>
      <c r="J455" s="26"/>
      <c r="K455" s="26"/>
      <c r="L455" s="26"/>
      <c r="M455" s="26"/>
      <c r="N455" s="26"/>
      <c r="O455" s="26"/>
      <c r="P455" s="26"/>
      <c r="Q455" s="26"/>
      <c r="R455" s="26"/>
      <c r="S455" s="26"/>
    </row>
    <row r="456" spans="1:19" ht="15.75" customHeight="1" x14ac:dyDescent="0.25">
      <c r="A456" s="26"/>
      <c r="B456" s="26"/>
      <c r="C456" s="26"/>
      <c r="D456" s="26"/>
      <c r="E456" s="26"/>
      <c r="F456" s="26"/>
      <c r="G456" s="26"/>
      <c r="H456" s="26"/>
      <c r="I456" s="26"/>
      <c r="J456" s="26"/>
      <c r="K456" s="26"/>
      <c r="L456" s="26"/>
      <c r="M456" s="26"/>
      <c r="N456" s="26"/>
      <c r="O456" s="26"/>
      <c r="P456" s="26"/>
      <c r="Q456" s="26"/>
      <c r="R456" s="26"/>
      <c r="S456" s="26"/>
    </row>
    <row r="457" spans="1:19" ht="15.75" customHeight="1" x14ac:dyDescent="0.25">
      <c r="A457" s="26"/>
      <c r="B457" s="26"/>
      <c r="C457" s="26"/>
      <c r="D457" s="26"/>
      <c r="E457" s="26"/>
      <c r="F457" s="26"/>
      <c r="G457" s="26"/>
      <c r="H457" s="26"/>
      <c r="I457" s="26"/>
      <c r="J457" s="26"/>
      <c r="K457" s="26"/>
      <c r="L457" s="26"/>
      <c r="M457" s="26"/>
      <c r="N457" s="26"/>
      <c r="O457" s="26"/>
      <c r="P457" s="26"/>
      <c r="Q457" s="26"/>
      <c r="R457" s="26"/>
      <c r="S457" s="26"/>
    </row>
    <row r="458" spans="1:19" ht="15.75" customHeight="1" x14ac:dyDescent="0.25">
      <c r="A458" s="26"/>
      <c r="B458" s="26"/>
      <c r="C458" s="26"/>
      <c r="D458" s="26"/>
      <c r="E458" s="26"/>
      <c r="F458" s="26"/>
      <c r="G458" s="26"/>
      <c r="H458" s="26"/>
      <c r="I458" s="26"/>
      <c r="J458" s="26"/>
      <c r="K458" s="26"/>
      <c r="L458" s="26"/>
      <c r="M458" s="26"/>
      <c r="N458" s="26"/>
      <c r="O458" s="26"/>
      <c r="P458" s="26"/>
      <c r="Q458" s="26"/>
      <c r="R458" s="26"/>
      <c r="S458" s="26"/>
    </row>
    <row r="459" spans="1:19" ht="15.75" customHeight="1" x14ac:dyDescent="0.25">
      <c r="A459" s="26"/>
      <c r="B459" s="26"/>
      <c r="C459" s="26"/>
      <c r="D459" s="26"/>
      <c r="E459" s="26"/>
      <c r="F459" s="26"/>
      <c r="G459" s="26"/>
      <c r="H459" s="26"/>
      <c r="I459" s="26"/>
      <c r="J459" s="26"/>
      <c r="K459" s="26"/>
      <c r="L459" s="26"/>
      <c r="M459" s="26"/>
      <c r="N459" s="26"/>
      <c r="O459" s="26"/>
      <c r="P459" s="26"/>
      <c r="Q459" s="26"/>
      <c r="R459" s="26"/>
      <c r="S459" s="26"/>
    </row>
    <row r="460" spans="1:19" ht="15.75" customHeight="1" x14ac:dyDescent="0.25">
      <c r="A460" s="26"/>
      <c r="B460" s="26"/>
      <c r="C460" s="26"/>
      <c r="D460" s="26"/>
      <c r="E460" s="26"/>
      <c r="F460" s="26"/>
      <c r="G460" s="26"/>
      <c r="H460" s="26"/>
      <c r="I460" s="26"/>
      <c r="J460" s="26"/>
      <c r="K460" s="26"/>
      <c r="L460" s="26"/>
      <c r="M460" s="26"/>
      <c r="N460" s="26"/>
      <c r="O460" s="26"/>
      <c r="P460" s="26"/>
      <c r="Q460" s="26"/>
      <c r="R460" s="26"/>
      <c r="S460" s="26"/>
    </row>
    <row r="461" spans="1:19" ht="15.75" customHeight="1" x14ac:dyDescent="0.25">
      <c r="A461" s="26"/>
      <c r="B461" s="26"/>
      <c r="C461" s="26"/>
      <c r="D461" s="26"/>
      <c r="E461" s="26"/>
      <c r="F461" s="26"/>
      <c r="G461" s="26"/>
      <c r="H461" s="26"/>
      <c r="I461" s="26"/>
      <c r="J461" s="26"/>
      <c r="K461" s="26"/>
      <c r="L461" s="26"/>
      <c r="M461" s="26"/>
      <c r="N461" s="26"/>
      <c r="O461" s="26"/>
      <c r="P461" s="26"/>
      <c r="Q461" s="26"/>
      <c r="R461" s="26"/>
      <c r="S461" s="26"/>
    </row>
    <row r="462" spans="1:19" ht="15.75" customHeight="1" x14ac:dyDescent="0.25">
      <c r="A462" s="26"/>
      <c r="B462" s="26"/>
      <c r="C462" s="26"/>
      <c r="D462" s="26"/>
      <c r="E462" s="26"/>
      <c r="F462" s="26"/>
      <c r="G462" s="26"/>
      <c r="H462" s="26"/>
      <c r="I462" s="26"/>
      <c r="J462" s="26"/>
      <c r="K462" s="26"/>
      <c r="L462" s="26"/>
      <c r="M462" s="26"/>
      <c r="N462" s="26"/>
      <c r="O462" s="26"/>
      <c r="P462" s="26"/>
      <c r="Q462" s="26"/>
      <c r="R462" s="26"/>
      <c r="S462" s="26"/>
    </row>
    <row r="463" spans="1:19" ht="15.75" customHeight="1" x14ac:dyDescent="0.25">
      <c r="A463" s="26"/>
      <c r="B463" s="26"/>
      <c r="C463" s="26"/>
      <c r="D463" s="26"/>
      <c r="E463" s="26"/>
      <c r="F463" s="26"/>
      <c r="G463" s="26"/>
      <c r="H463" s="26"/>
      <c r="I463" s="26"/>
      <c r="J463" s="26"/>
      <c r="K463" s="26"/>
      <c r="L463" s="26"/>
      <c r="M463" s="26"/>
      <c r="N463" s="26"/>
      <c r="O463" s="26"/>
      <c r="P463" s="26"/>
      <c r="Q463" s="26"/>
      <c r="R463" s="26"/>
      <c r="S463" s="26"/>
    </row>
    <row r="464" spans="1:19" ht="15.75" customHeight="1" x14ac:dyDescent="0.25">
      <c r="A464" s="26"/>
      <c r="B464" s="26"/>
      <c r="C464" s="26"/>
      <c r="D464" s="26"/>
      <c r="E464" s="26"/>
      <c r="F464" s="26"/>
      <c r="G464" s="26"/>
      <c r="H464" s="26"/>
      <c r="I464" s="26"/>
      <c r="J464" s="26"/>
      <c r="K464" s="26"/>
      <c r="L464" s="26"/>
      <c r="M464" s="26"/>
      <c r="N464" s="26"/>
      <c r="O464" s="26"/>
      <c r="P464" s="26"/>
      <c r="Q464" s="26"/>
      <c r="R464" s="26"/>
      <c r="S464" s="26"/>
    </row>
    <row r="465" spans="1:19" ht="15.75" customHeight="1" x14ac:dyDescent="0.25">
      <c r="A465" s="26"/>
      <c r="B465" s="26"/>
      <c r="C465" s="26"/>
      <c r="D465" s="26"/>
      <c r="E465" s="26"/>
      <c r="F465" s="26"/>
      <c r="G465" s="26"/>
      <c r="H465" s="26"/>
      <c r="I465" s="26"/>
      <c r="J465" s="26"/>
      <c r="K465" s="26"/>
      <c r="L465" s="26"/>
      <c r="M465" s="26"/>
      <c r="N465" s="26"/>
      <c r="O465" s="26"/>
      <c r="P465" s="26"/>
      <c r="Q465" s="26"/>
      <c r="R465" s="26"/>
      <c r="S465" s="26"/>
    </row>
    <row r="466" spans="1:19" ht="15.75" customHeight="1" x14ac:dyDescent="0.25">
      <c r="A466" s="26"/>
      <c r="B466" s="26"/>
      <c r="C466" s="26"/>
      <c r="D466" s="26"/>
      <c r="E466" s="26"/>
      <c r="F466" s="26"/>
      <c r="G466" s="26"/>
      <c r="H466" s="26"/>
      <c r="I466" s="26"/>
      <c r="J466" s="26"/>
      <c r="K466" s="26"/>
      <c r="L466" s="26"/>
      <c r="M466" s="26"/>
      <c r="N466" s="26"/>
      <c r="O466" s="26"/>
      <c r="P466" s="26"/>
      <c r="Q466" s="26"/>
      <c r="R466" s="26"/>
      <c r="S466" s="26"/>
    </row>
    <row r="467" spans="1:19" ht="15.75" customHeight="1" x14ac:dyDescent="0.25">
      <c r="A467" s="26"/>
      <c r="B467" s="26"/>
      <c r="C467" s="26"/>
      <c r="D467" s="26"/>
      <c r="E467" s="26"/>
      <c r="F467" s="26"/>
      <c r="G467" s="26"/>
      <c r="H467" s="26"/>
      <c r="I467" s="26"/>
      <c r="J467" s="26"/>
      <c r="K467" s="26"/>
      <c r="L467" s="26"/>
      <c r="M467" s="26"/>
      <c r="N467" s="26"/>
      <c r="O467" s="26"/>
      <c r="P467" s="26"/>
      <c r="Q467" s="26"/>
      <c r="R467" s="26"/>
      <c r="S467" s="26"/>
    </row>
    <row r="468" spans="1:19" ht="15.75" customHeight="1" x14ac:dyDescent="0.25">
      <c r="A468" s="26"/>
      <c r="B468" s="26"/>
      <c r="C468" s="26"/>
      <c r="D468" s="26"/>
      <c r="E468" s="26"/>
      <c r="F468" s="26"/>
      <c r="G468" s="26"/>
      <c r="H468" s="26"/>
      <c r="I468" s="26"/>
      <c r="J468" s="26"/>
      <c r="K468" s="26"/>
      <c r="L468" s="26"/>
      <c r="M468" s="26"/>
      <c r="N468" s="26"/>
      <c r="O468" s="26"/>
      <c r="P468" s="26"/>
      <c r="Q468" s="26"/>
      <c r="R468" s="26"/>
      <c r="S468" s="26"/>
    </row>
    <row r="469" spans="1:19" ht="15.75" customHeight="1" x14ac:dyDescent="0.25">
      <c r="A469" s="26"/>
      <c r="B469" s="26"/>
      <c r="C469" s="26"/>
      <c r="D469" s="26"/>
      <c r="E469" s="26"/>
      <c r="F469" s="26"/>
      <c r="G469" s="26"/>
      <c r="H469" s="26"/>
      <c r="I469" s="26"/>
      <c r="J469" s="26"/>
      <c r="K469" s="26"/>
      <c r="L469" s="26"/>
      <c r="M469" s="26"/>
      <c r="N469" s="26"/>
      <c r="O469" s="26"/>
      <c r="P469" s="26"/>
      <c r="Q469" s="26"/>
      <c r="R469" s="26"/>
      <c r="S469" s="26"/>
    </row>
    <row r="470" spans="1:19" ht="15.75" customHeight="1" x14ac:dyDescent="0.25">
      <c r="A470" s="26"/>
      <c r="B470" s="26"/>
      <c r="C470" s="26"/>
      <c r="D470" s="26"/>
      <c r="E470" s="26"/>
      <c r="F470" s="26"/>
      <c r="G470" s="26"/>
      <c r="H470" s="26"/>
      <c r="I470" s="26"/>
      <c r="J470" s="26"/>
      <c r="K470" s="26"/>
      <c r="L470" s="26"/>
      <c r="M470" s="26"/>
      <c r="N470" s="26"/>
      <c r="O470" s="26"/>
      <c r="P470" s="26"/>
      <c r="Q470" s="26"/>
      <c r="R470" s="26"/>
      <c r="S470" s="26"/>
    </row>
    <row r="471" spans="1:19" ht="15.75" customHeight="1" x14ac:dyDescent="0.25">
      <c r="A471" s="26"/>
      <c r="B471" s="26"/>
      <c r="C471" s="26"/>
      <c r="D471" s="26"/>
      <c r="E471" s="26"/>
      <c r="F471" s="26"/>
      <c r="G471" s="26"/>
      <c r="H471" s="26"/>
      <c r="I471" s="26"/>
      <c r="J471" s="26"/>
      <c r="K471" s="26"/>
      <c r="L471" s="26"/>
      <c r="M471" s="26"/>
      <c r="N471" s="26"/>
      <c r="O471" s="26"/>
      <c r="P471" s="26"/>
      <c r="Q471" s="26"/>
      <c r="R471" s="26"/>
      <c r="S471" s="26"/>
    </row>
    <row r="472" spans="1:19" ht="15.75" customHeight="1" x14ac:dyDescent="0.25">
      <c r="A472" s="26"/>
      <c r="B472" s="26"/>
      <c r="C472" s="26"/>
      <c r="D472" s="26"/>
      <c r="E472" s="26"/>
      <c r="F472" s="26"/>
      <c r="G472" s="26"/>
      <c r="H472" s="26"/>
      <c r="I472" s="26"/>
      <c r="J472" s="26"/>
      <c r="K472" s="26"/>
      <c r="L472" s="26"/>
      <c r="M472" s="26"/>
      <c r="N472" s="26"/>
      <c r="O472" s="26"/>
      <c r="P472" s="26"/>
      <c r="Q472" s="26"/>
      <c r="R472" s="26"/>
      <c r="S472" s="26"/>
    </row>
    <row r="473" spans="1:19" ht="15.75" customHeight="1" x14ac:dyDescent="0.25">
      <c r="A473" s="26"/>
      <c r="B473" s="26"/>
      <c r="C473" s="26"/>
      <c r="D473" s="26"/>
      <c r="E473" s="26"/>
      <c r="F473" s="26"/>
      <c r="G473" s="26"/>
      <c r="H473" s="26"/>
      <c r="I473" s="26"/>
      <c r="J473" s="26"/>
      <c r="K473" s="26"/>
      <c r="L473" s="26"/>
      <c r="M473" s="26"/>
      <c r="N473" s="26"/>
      <c r="O473" s="26"/>
      <c r="P473" s="26"/>
      <c r="Q473" s="26"/>
      <c r="R473" s="26"/>
      <c r="S473" s="26"/>
    </row>
    <row r="474" spans="1:19" ht="15.75" customHeight="1" x14ac:dyDescent="0.25">
      <c r="A474" s="26"/>
      <c r="B474" s="26"/>
      <c r="C474" s="26"/>
      <c r="D474" s="26"/>
      <c r="E474" s="26"/>
      <c r="F474" s="26"/>
      <c r="G474" s="26"/>
      <c r="H474" s="26"/>
      <c r="I474" s="26"/>
      <c r="J474" s="26"/>
      <c r="K474" s="26"/>
      <c r="L474" s="26"/>
      <c r="M474" s="26"/>
      <c r="N474" s="26"/>
      <c r="O474" s="26"/>
      <c r="P474" s="26"/>
      <c r="Q474" s="26"/>
      <c r="R474" s="26"/>
      <c r="S474" s="26"/>
    </row>
    <row r="475" spans="1:19" ht="15.75" customHeight="1" x14ac:dyDescent="0.25">
      <c r="A475" s="26"/>
      <c r="B475" s="26"/>
      <c r="C475" s="26"/>
      <c r="D475" s="26"/>
      <c r="E475" s="26"/>
      <c r="F475" s="26"/>
      <c r="G475" s="26"/>
      <c r="H475" s="26"/>
      <c r="I475" s="26"/>
      <c r="J475" s="26"/>
      <c r="K475" s="26"/>
      <c r="L475" s="26"/>
      <c r="M475" s="26"/>
      <c r="N475" s="26"/>
      <c r="O475" s="26"/>
      <c r="P475" s="26"/>
      <c r="Q475" s="26"/>
      <c r="R475" s="26"/>
      <c r="S475" s="26"/>
    </row>
    <row r="476" spans="1:19" ht="15.75" customHeight="1" x14ac:dyDescent="0.25">
      <c r="A476" s="26"/>
      <c r="B476" s="26"/>
      <c r="C476" s="26"/>
      <c r="D476" s="26"/>
      <c r="E476" s="26"/>
      <c r="F476" s="26"/>
      <c r="G476" s="26"/>
      <c r="H476" s="26"/>
      <c r="I476" s="26"/>
      <c r="J476" s="26"/>
      <c r="K476" s="26"/>
      <c r="L476" s="26"/>
      <c r="M476" s="26"/>
      <c r="N476" s="26"/>
      <c r="O476" s="26"/>
      <c r="P476" s="26"/>
      <c r="Q476" s="26"/>
      <c r="R476" s="26"/>
      <c r="S476" s="26"/>
    </row>
    <row r="477" spans="1:19" ht="15.75" customHeight="1" x14ac:dyDescent="0.25">
      <c r="A477" s="26"/>
      <c r="B477" s="26"/>
      <c r="C477" s="26"/>
      <c r="D477" s="26"/>
      <c r="E477" s="26"/>
      <c r="F477" s="26"/>
      <c r="G477" s="26"/>
      <c r="H477" s="26"/>
      <c r="I477" s="26"/>
      <c r="J477" s="26"/>
      <c r="K477" s="26"/>
      <c r="L477" s="26"/>
      <c r="M477" s="26"/>
      <c r="N477" s="26"/>
      <c r="O477" s="26"/>
      <c r="P477" s="26"/>
      <c r="Q477" s="26"/>
      <c r="R477" s="26"/>
      <c r="S477" s="26"/>
    </row>
    <row r="478" spans="1:19" ht="15.75" customHeight="1" x14ac:dyDescent="0.25">
      <c r="A478" s="26"/>
      <c r="B478" s="26"/>
      <c r="C478" s="26"/>
      <c r="D478" s="26"/>
      <c r="E478" s="26"/>
      <c r="F478" s="26"/>
      <c r="G478" s="26"/>
      <c r="H478" s="26"/>
      <c r="I478" s="26"/>
      <c r="J478" s="26"/>
      <c r="K478" s="26"/>
      <c r="L478" s="26"/>
      <c r="M478" s="26"/>
      <c r="N478" s="26"/>
      <c r="O478" s="26"/>
      <c r="P478" s="26"/>
      <c r="Q478" s="26"/>
      <c r="R478" s="26"/>
      <c r="S478" s="26"/>
    </row>
    <row r="479" spans="1:19" ht="15.75" customHeight="1" x14ac:dyDescent="0.25">
      <c r="A479" s="26"/>
      <c r="B479" s="26"/>
      <c r="C479" s="26"/>
      <c r="D479" s="26"/>
      <c r="E479" s="26"/>
      <c r="F479" s="26"/>
      <c r="G479" s="26"/>
      <c r="H479" s="26"/>
      <c r="I479" s="26"/>
      <c r="J479" s="26"/>
      <c r="K479" s="26"/>
      <c r="L479" s="26"/>
      <c r="M479" s="26"/>
      <c r="N479" s="26"/>
      <c r="O479" s="26"/>
      <c r="P479" s="26"/>
      <c r="Q479" s="26"/>
      <c r="R479" s="26"/>
      <c r="S479" s="26"/>
    </row>
    <row r="480" spans="1:19" ht="15.75" customHeight="1" x14ac:dyDescent="0.25">
      <c r="A480" s="26"/>
      <c r="B480" s="26"/>
      <c r="C480" s="26"/>
      <c r="D480" s="26"/>
      <c r="E480" s="26"/>
      <c r="F480" s="26"/>
      <c r="G480" s="26"/>
      <c r="H480" s="26"/>
      <c r="I480" s="26"/>
      <c r="J480" s="26"/>
      <c r="K480" s="26"/>
      <c r="L480" s="26"/>
      <c r="M480" s="26"/>
      <c r="N480" s="26"/>
      <c r="O480" s="26"/>
      <c r="P480" s="26"/>
      <c r="Q480" s="26"/>
      <c r="R480" s="26"/>
      <c r="S480" s="26"/>
    </row>
    <row r="481" spans="1:19" ht="15.75" customHeight="1" x14ac:dyDescent="0.25">
      <c r="A481" s="26"/>
      <c r="B481" s="26"/>
      <c r="C481" s="26"/>
      <c r="D481" s="26"/>
      <c r="E481" s="26"/>
      <c r="F481" s="26"/>
      <c r="G481" s="26"/>
      <c r="H481" s="26"/>
      <c r="I481" s="26"/>
      <c r="J481" s="26"/>
      <c r="K481" s="26"/>
      <c r="L481" s="26"/>
      <c r="M481" s="26"/>
      <c r="N481" s="26"/>
      <c r="O481" s="26"/>
      <c r="P481" s="26"/>
      <c r="Q481" s="26"/>
      <c r="R481" s="26"/>
      <c r="S481" s="26"/>
    </row>
    <row r="482" spans="1:19" ht="15.75" customHeight="1" x14ac:dyDescent="0.25">
      <c r="A482" s="26"/>
      <c r="B482" s="26"/>
      <c r="C482" s="26"/>
      <c r="D482" s="26"/>
      <c r="E482" s="26"/>
      <c r="F482" s="26"/>
      <c r="G482" s="26"/>
      <c r="H482" s="26"/>
      <c r="I482" s="26"/>
      <c r="J482" s="26"/>
      <c r="K482" s="26"/>
      <c r="L482" s="26"/>
      <c r="M482" s="26"/>
      <c r="N482" s="26"/>
      <c r="O482" s="26"/>
      <c r="P482" s="26"/>
      <c r="Q482" s="26"/>
      <c r="R482" s="26"/>
      <c r="S482" s="26"/>
    </row>
    <row r="483" spans="1:19" ht="15.75" customHeight="1" x14ac:dyDescent="0.25">
      <c r="A483" s="26"/>
      <c r="B483" s="26"/>
      <c r="C483" s="26"/>
      <c r="D483" s="26"/>
      <c r="E483" s="26"/>
      <c r="F483" s="26"/>
      <c r="G483" s="26"/>
      <c r="H483" s="26"/>
      <c r="I483" s="26"/>
      <c r="J483" s="26"/>
      <c r="K483" s="26"/>
      <c r="L483" s="26"/>
      <c r="M483" s="26"/>
      <c r="N483" s="26"/>
      <c r="O483" s="26"/>
      <c r="P483" s="26"/>
      <c r="Q483" s="26"/>
      <c r="R483" s="26"/>
      <c r="S483" s="26"/>
    </row>
    <row r="484" spans="1:19" ht="15.75" customHeight="1" x14ac:dyDescent="0.25">
      <c r="A484" s="26"/>
      <c r="B484" s="26"/>
      <c r="C484" s="26"/>
      <c r="D484" s="26"/>
      <c r="E484" s="26"/>
      <c r="F484" s="26"/>
      <c r="G484" s="26"/>
      <c r="H484" s="26"/>
      <c r="I484" s="26"/>
      <c r="J484" s="26"/>
      <c r="K484" s="26"/>
      <c r="L484" s="26"/>
      <c r="M484" s="26"/>
      <c r="N484" s="26"/>
      <c r="O484" s="26"/>
      <c r="P484" s="26"/>
      <c r="Q484" s="26"/>
      <c r="R484" s="26"/>
      <c r="S484" s="26"/>
    </row>
    <row r="485" spans="1:19" ht="15.75" customHeight="1" x14ac:dyDescent="0.25">
      <c r="A485" s="26"/>
      <c r="B485" s="26"/>
      <c r="C485" s="26"/>
      <c r="D485" s="26"/>
      <c r="E485" s="26"/>
      <c r="F485" s="26"/>
      <c r="G485" s="26"/>
      <c r="H485" s="26"/>
      <c r="I485" s="26"/>
      <c r="J485" s="26"/>
      <c r="K485" s="26"/>
      <c r="L485" s="26"/>
      <c r="M485" s="26"/>
      <c r="N485" s="26"/>
      <c r="O485" s="26"/>
      <c r="P485" s="26"/>
      <c r="Q485" s="26"/>
      <c r="R485" s="26"/>
      <c r="S485" s="26"/>
    </row>
    <row r="486" spans="1:19" ht="15.75" customHeight="1" x14ac:dyDescent="0.25">
      <c r="A486" s="26"/>
      <c r="B486" s="26"/>
      <c r="C486" s="26"/>
      <c r="D486" s="26"/>
      <c r="E486" s="26"/>
      <c r="F486" s="26"/>
      <c r="G486" s="26"/>
      <c r="H486" s="26"/>
      <c r="I486" s="26"/>
      <c r="J486" s="26"/>
      <c r="K486" s="26"/>
      <c r="L486" s="26"/>
      <c r="M486" s="26"/>
      <c r="N486" s="26"/>
      <c r="O486" s="26"/>
      <c r="P486" s="26"/>
      <c r="Q486" s="26"/>
      <c r="R486" s="26"/>
      <c r="S486" s="26"/>
    </row>
    <row r="487" spans="1:19" ht="15.75" customHeight="1" x14ac:dyDescent="0.25">
      <c r="A487" s="26"/>
      <c r="B487" s="26"/>
      <c r="C487" s="26"/>
      <c r="D487" s="26"/>
      <c r="E487" s="26"/>
      <c r="F487" s="26"/>
      <c r="G487" s="26"/>
      <c r="H487" s="26"/>
      <c r="I487" s="26"/>
      <c r="J487" s="26"/>
      <c r="K487" s="26"/>
      <c r="L487" s="26"/>
      <c r="M487" s="26"/>
      <c r="N487" s="26"/>
      <c r="O487" s="26"/>
      <c r="P487" s="26"/>
      <c r="Q487" s="26"/>
      <c r="R487" s="26"/>
      <c r="S487" s="26"/>
    </row>
    <row r="488" spans="1:19" ht="15.75" customHeight="1" x14ac:dyDescent="0.25">
      <c r="A488" s="26"/>
      <c r="B488" s="26"/>
      <c r="C488" s="26"/>
      <c r="D488" s="26"/>
      <c r="E488" s="26"/>
      <c r="F488" s="26"/>
      <c r="G488" s="26"/>
      <c r="H488" s="26"/>
      <c r="I488" s="26"/>
      <c r="J488" s="26"/>
      <c r="K488" s="26"/>
      <c r="L488" s="26"/>
      <c r="M488" s="26"/>
      <c r="N488" s="26"/>
      <c r="O488" s="26"/>
      <c r="P488" s="26"/>
      <c r="Q488" s="26"/>
      <c r="R488" s="26"/>
      <c r="S488" s="26"/>
    </row>
    <row r="489" spans="1:19" ht="15.75" customHeight="1" x14ac:dyDescent="0.25">
      <c r="A489" s="26"/>
      <c r="B489" s="26"/>
      <c r="C489" s="26"/>
      <c r="D489" s="26"/>
      <c r="E489" s="26"/>
      <c r="F489" s="26"/>
      <c r="G489" s="26"/>
      <c r="H489" s="26"/>
      <c r="I489" s="26"/>
      <c r="J489" s="26"/>
      <c r="K489" s="26"/>
      <c r="L489" s="26"/>
      <c r="M489" s="26"/>
      <c r="N489" s="26"/>
      <c r="O489" s="26"/>
      <c r="P489" s="26"/>
      <c r="Q489" s="26"/>
      <c r="R489" s="26"/>
      <c r="S489" s="26"/>
    </row>
    <row r="490" spans="1:19" ht="15.75" customHeight="1" x14ac:dyDescent="0.25">
      <c r="A490" s="26"/>
      <c r="B490" s="26"/>
      <c r="C490" s="26"/>
      <c r="D490" s="26"/>
      <c r="E490" s="26"/>
      <c r="F490" s="26"/>
      <c r="G490" s="26"/>
      <c r="H490" s="26"/>
      <c r="I490" s="26"/>
      <c r="J490" s="26"/>
      <c r="K490" s="26"/>
      <c r="L490" s="26"/>
      <c r="M490" s="26"/>
      <c r="N490" s="26"/>
      <c r="O490" s="26"/>
      <c r="P490" s="26"/>
      <c r="Q490" s="26"/>
      <c r="R490" s="26"/>
      <c r="S490" s="26"/>
    </row>
    <row r="491" spans="1:19" ht="15.75" customHeight="1" x14ac:dyDescent="0.25">
      <c r="A491" s="26"/>
      <c r="B491" s="26"/>
      <c r="C491" s="26"/>
      <c r="D491" s="26"/>
      <c r="E491" s="26"/>
      <c r="F491" s="26"/>
      <c r="G491" s="26"/>
      <c r="H491" s="26"/>
      <c r="I491" s="26"/>
      <c r="J491" s="26"/>
      <c r="K491" s="26"/>
      <c r="L491" s="26"/>
      <c r="M491" s="26"/>
      <c r="N491" s="26"/>
      <c r="O491" s="26"/>
      <c r="P491" s="26"/>
      <c r="Q491" s="26"/>
      <c r="R491" s="26"/>
      <c r="S491" s="26"/>
    </row>
    <row r="492" spans="1:19" ht="15.75" customHeight="1" x14ac:dyDescent="0.25">
      <c r="A492" s="26"/>
      <c r="B492" s="26"/>
      <c r="C492" s="26"/>
      <c r="D492" s="26"/>
      <c r="E492" s="26"/>
      <c r="F492" s="26"/>
      <c r="G492" s="26"/>
      <c r="H492" s="26"/>
      <c r="I492" s="26"/>
      <c r="J492" s="26"/>
      <c r="K492" s="26"/>
      <c r="L492" s="26"/>
      <c r="M492" s="26"/>
      <c r="N492" s="26"/>
      <c r="O492" s="26"/>
      <c r="P492" s="26"/>
      <c r="Q492" s="26"/>
      <c r="R492" s="26"/>
      <c r="S492" s="26"/>
    </row>
    <row r="493" spans="1:19" ht="15.75" customHeight="1" x14ac:dyDescent="0.25">
      <c r="A493" s="26"/>
      <c r="B493" s="26"/>
      <c r="C493" s="26"/>
      <c r="D493" s="26"/>
      <c r="E493" s="26"/>
      <c r="F493" s="26"/>
      <c r="G493" s="26"/>
      <c r="H493" s="26"/>
      <c r="I493" s="26"/>
      <c r="J493" s="26"/>
      <c r="K493" s="26"/>
      <c r="L493" s="26"/>
      <c r="M493" s="26"/>
      <c r="N493" s="26"/>
      <c r="O493" s="26"/>
      <c r="P493" s="26"/>
      <c r="Q493" s="26"/>
      <c r="R493" s="26"/>
      <c r="S493" s="26"/>
    </row>
    <row r="494" spans="1:19" ht="15.75" customHeight="1" x14ac:dyDescent="0.25">
      <c r="A494" s="26"/>
      <c r="B494" s="26"/>
      <c r="C494" s="26"/>
      <c r="D494" s="26"/>
      <c r="E494" s="26"/>
      <c r="F494" s="26"/>
      <c r="G494" s="26"/>
      <c r="H494" s="26"/>
      <c r="I494" s="26"/>
      <c r="J494" s="26"/>
      <c r="K494" s="26"/>
      <c r="L494" s="26"/>
      <c r="M494" s="26"/>
      <c r="N494" s="26"/>
      <c r="O494" s="26"/>
      <c r="P494" s="26"/>
      <c r="Q494" s="26"/>
      <c r="R494" s="26"/>
      <c r="S494" s="26"/>
    </row>
    <row r="495" spans="1:19" ht="15.75" customHeight="1" x14ac:dyDescent="0.25">
      <c r="A495" s="26"/>
      <c r="B495" s="26"/>
      <c r="C495" s="26"/>
      <c r="D495" s="26"/>
      <c r="E495" s="26"/>
      <c r="F495" s="26"/>
      <c r="G495" s="26"/>
      <c r="H495" s="26"/>
      <c r="I495" s="26"/>
      <c r="J495" s="26"/>
      <c r="K495" s="26"/>
      <c r="L495" s="26"/>
      <c r="M495" s="26"/>
      <c r="N495" s="26"/>
      <c r="O495" s="26"/>
      <c r="P495" s="26"/>
      <c r="Q495" s="26"/>
      <c r="R495" s="26"/>
      <c r="S495" s="26"/>
    </row>
    <row r="496" spans="1:19" ht="15.75" customHeight="1" x14ac:dyDescent="0.25">
      <c r="A496" s="26"/>
      <c r="B496" s="26"/>
      <c r="C496" s="26"/>
      <c r="D496" s="26"/>
      <c r="E496" s="26"/>
      <c r="F496" s="26"/>
      <c r="G496" s="26"/>
      <c r="H496" s="26"/>
      <c r="I496" s="26"/>
      <c r="J496" s="26"/>
      <c r="K496" s="26"/>
      <c r="L496" s="26"/>
      <c r="M496" s="26"/>
      <c r="N496" s="26"/>
      <c r="O496" s="26"/>
      <c r="P496" s="26"/>
      <c r="Q496" s="26"/>
      <c r="R496" s="26"/>
      <c r="S496" s="26"/>
    </row>
    <row r="497" spans="1:19" ht="15.75" customHeight="1" x14ac:dyDescent="0.25">
      <c r="A497" s="26"/>
      <c r="B497" s="26"/>
      <c r="C497" s="26"/>
      <c r="D497" s="26"/>
      <c r="E497" s="26"/>
      <c r="F497" s="26"/>
      <c r="G497" s="26"/>
      <c r="H497" s="26"/>
      <c r="I497" s="26"/>
      <c r="J497" s="26"/>
      <c r="K497" s="26"/>
      <c r="L497" s="26"/>
      <c r="M497" s="26"/>
      <c r="N497" s="26"/>
      <c r="O497" s="26"/>
      <c r="P497" s="26"/>
      <c r="Q497" s="26"/>
      <c r="R497" s="26"/>
      <c r="S497" s="26"/>
    </row>
    <row r="498" spans="1:19" ht="15.75" customHeight="1" x14ac:dyDescent="0.25">
      <c r="A498" s="26"/>
      <c r="B498" s="26"/>
      <c r="C498" s="26"/>
      <c r="D498" s="26"/>
      <c r="E498" s="26"/>
      <c r="F498" s="26"/>
      <c r="G498" s="26"/>
      <c r="H498" s="26"/>
      <c r="I498" s="26"/>
      <c r="J498" s="26"/>
      <c r="K498" s="26"/>
      <c r="L498" s="26"/>
      <c r="M498" s="26"/>
      <c r="N498" s="26"/>
      <c r="O498" s="26"/>
      <c r="P498" s="26"/>
      <c r="Q498" s="26"/>
      <c r="R498" s="26"/>
      <c r="S498" s="26"/>
    </row>
    <row r="499" spans="1:19" ht="15.75" customHeight="1" x14ac:dyDescent="0.25">
      <c r="A499" s="26"/>
      <c r="B499" s="26"/>
      <c r="C499" s="26"/>
      <c r="D499" s="26"/>
      <c r="E499" s="26"/>
      <c r="F499" s="26"/>
      <c r="G499" s="26"/>
      <c r="H499" s="26"/>
      <c r="I499" s="26"/>
      <c r="J499" s="26"/>
      <c r="K499" s="26"/>
      <c r="L499" s="26"/>
      <c r="M499" s="26"/>
      <c r="N499" s="26"/>
      <c r="O499" s="26"/>
      <c r="P499" s="26"/>
      <c r="Q499" s="26"/>
      <c r="R499" s="26"/>
      <c r="S499" s="26"/>
    </row>
    <row r="500" spans="1:19" ht="15.75" customHeight="1" x14ac:dyDescent="0.25">
      <c r="A500" s="26"/>
      <c r="B500" s="26"/>
      <c r="C500" s="26"/>
      <c r="D500" s="26"/>
      <c r="E500" s="26"/>
      <c r="F500" s="26"/>
      <c r="G500" s="26"/>
      <c r="H500" s="26"/>
      <c r="I500" s="26"/>
      <c r="J500" s="26"/>
      <c r="K500" s="26"/>
      <c r="L500" s="26"/>
      <c r="M500" s="26"/>
      <c r="N500" s="26"/>
      <c r="O500" s="26"/>
      <c r="P500" s="26"/>
      <c r="Q500" s="26"/>
      <c r="R500" s="26"/>
      <c r="S500" s="26"/>
    </row>
    <row r="501" spans="1:19" ht="15.75" customHeight="1" x14ac:dyDescent="0.25">
      <c r="A501" s="26"/>
      <c r="B501" s="26"/>
      <c r="C501" s="26"/>
      <c r="D501" s="26"/>
      <c r="E501" s="26"/>
      <c r="F501" s="26"/>
      <c r="G501" s="26"/>
      <c r="H501" s="26"/>
      <c r="I501" s="26"/>
      <c r="J501" s="26"/>
      <c r="K501" s="26"/>
      <c r="L501" s="26"/>
      <c r="M501" s="26"/>
      <c r="N501" s="26"/>
      <c r="O501" s="26"/>
      <c r="P501" s="26"/>
      <c r="Q501" s="26"/>
      <c r="R501" s="26"/>
      <c r="S501" s="26"/>
    </row>
    <row r="502" spans="1:19" ht="15.75" customHeight="1" x14ac:dyDescent="0.25">
      <c r="A502" s="26"/>
      <c r="B502" s="26"/>
      <c r="C502" s="26"/>
      <c r="D502" s="26"/>
      <c r="E502" s="26"/>
      <c r="F502" s="26"/>
      <c r="G502" s="26"/>
      <c r="H502" s="26"/>
      <c r="I502" s="26"/>
      <c r="J502" s="26"/>
      <c r="K502" s="26"/>
      <c r="L502" s="26"/>
      <c r="M502" s="26"/>
      <c r="N502" s="26"/>
      <c r="O502" s="26"/>
      <c r="P502" s="26"/>
      <c r="Q502" s="26"/>
      <c r="R502" s="26"/>
      <c r="S502" s="26"/>
    </row>
    <row r="503" spans="1:19" ht="15.75" customHeight="1" x14ac:dyDescent="0.25">
      <c r="A503" s="26"/>
      <c r="B503" s="26"/>
      <c r="C503" s="26"/>
      <c r="D503" s="26"/>
      <c r="E503" s="26"/>
      <c r="F503" s="26"/>
      <c r="G503" s="26"/>
      <c r="H503" s="26"/>
      <c r="I503" s="26"/>
      <c r="J503" s="26"/>
      <c r="K503" s="26"/>
      <c r="L503" s="26"/>
      <c r="M503" s="26"/>
      <c r="N503" s="26"/>
      <c r="O503" s="26"/>
      <c r="P503" s="26"/>
      <c r="Q503" s="26"/>
      <c r="R503" s="26"/>
      <c r="S503" s="26"/>
    </row>
    <row r="504" spans="1:19" ht="15.75" customHeight="1" x14ac:dyDescent="0.25">
      <c r="A504" s="26"/>
      <c r="B504" s="26"/>
      <c r="C504" s="26"/>
      <c r="D504" s="26"/>
      <c r="E504" s="26"/>
      <c r="F504" s="26"/>
      <c r="G504" s="26"/>
      <c r="H504" s="26"/>
      <c r="I504" s="26"/>
      <c r="J504" s="26"/>
      <c r="K504" s="26"/>
      <c r="L504" s="26"/>
      <c r="M504" s="26"/>
      <c r="N504" s="26"/>
      <c r="O504" s="26"/>
      <c r="P504" s="26"/>
      <c r="Q504" s="26"/>
      <c r="R504" s="26"/>
      <c r="S504" s="26"/>
    </row>
    <row r="505" spans="1:19" ht="15.75" customHeight="1" x14ac:dyDescent="0.25">
      <c r="A505" s="26"/>
      <c r="B505" s="26"/>
      <c r="C505" s="26"/>
      <c r="D505" s="26"/>
      <c r="E505" s="26"/>
      <c r="F505" s="26"/>
      <c r="G505" s="26"/>
      <c r="H505" s="26"/>
      <c r="I505" s="26"/>
      <c r="J505" s="26"/>
      <c r="K505" s="26"/>
      <c r="L505" s="26"/>
      <c r="M505" s="26"/>
      <c r="N505" s="26"/>
      <c r="O505" s="26"/>
      <c r="P505" s="26"/>
      <c r="Q505" s="26"/>
      <c r="R505" s="26"/>
      <c r="S505" s="26"/>
    </row>
    <row r="506" spans="1:19" ht="15.75" customHeight="1" x14ac:dyDescent="0.25">
      <c r="A506" s="26"/>
      <c r="B506" s="26"/>
      <c r="C506" s="26"/>
      <c r="D506" s="26"/>
      <c r="E506" s="26"/>
      <c r="F506" s="26"/>
      <c r="G506" s="26"/>
      <c r="H506" s="26"/>
      <c r="I506" s="26"/>
      <c r="J506" s="26"/>
      <c r="K506" s="26"/>
      <c r="L506" s="26"/>
      <c r="M506" s="26"/>
      <c r="N506" s="26"/>
      <c r="O506" s="26"/>
      <c r="P506" s="26"/>
      <c r="Q506" s="26"/>
      <c r="R506" s="26"/>
      <c r="S506" s="26"/>
    </row>
    <row r="507" spans="1:19" ht="15.75" customHeight="1" x14ac:dyDescent="0.25">
      <c r="A507" s="26"/>
      <c r="B507" s="26"/>
      <c r="C507" s="26"/>
      <c r="D507" s="26"/>
      <c r="E507" s="26"/>
      <c r="F507" s="26"/>
      <c r="G507" s="26"/>
      <c r="H507" s="26"/>
      <c r="I507" s="26"/>
      <c r="J507" s="26"/>
      <c r="K507" s="26"/>
      <c r="L507" s="26"/>
      <c r="M507" s="26"/>
      <c r="N507" s="26"/>
      <c r="O507" s="26"/>
      <c r="P507" s="26"/>
      <c r="Q507" s="26"/>
      <c r="R507" s="26"/>
      <c r="S507" s="26"/>
    </row>
    <row r="508" spans="1:19" ht="15.75" customHeight="1" x14ac:dyDescent="0.25">
      <c r="A508" s="26"/>
      <c r="B508" s="26"/>
      <c r="C508" s="26"/>
      <c r="D508" s="26"/>
      <c r="E508" s="26"/>
      <c r="F508" s="26"/>
      <c r="G508" s="26"/>
      <c r="H508" s="26"/>
      <c r="I508" s="26"/>
      <c r="J508" s="26"/>
      <c r="K508" s="26"/>
      <c r="L508" s="26"/>
      <c r="M508" s="26"/>
      <c r="N508" s="26"/>
      <c r="O508" s="26"/>
      <c r="P508" s="26"/>
      <c r="Q508" s="26"/>
      <c r="R508" s="26"/>
      <c r="S508" s="26"/>
    </row>
    <row r="509" spans="1:19" ht="15.75" customHeight="1" x14ac:dyDescent="0.25">
      <c r="A509" s="26"/>
      <c r="B509" s="26"/>
      <c r="C509" s="26"/>
      <c r="D509" s="26"/>
      <c r="E509" s="26"/>
      <c r="F509" s="26"/>
      <c r="G509" s="26"/>
      <c r="H509" s="26"/>
      <c r="I509" s="26"/>
      <c r="J509" s="26"/>
      <c r="K509" s="26"/>
      <c r="L509" s="26"/>
      <c r="M509" s="26"/>
      <c r="N509" s="26"/>
      <c r="O509" s="26"/>
      <c r="P509" s="26"/>
      <c r="Q509" s="26"/>
      <c r="R509" s="26"/>
      <c r="S509" s="26"/>
    </row>
    <row r="510" spans="1:19" ht="15.75" customHeight="1" x14ac:dyDescent="0.25">
      <c r="A510" s="26"/>
      <c r="B510" s="26"/>
      <c r="C510" s="26"/>
      <c r="D510" s="26"/>
      <c r="E510" s="26"/>
      <c r="F510" s="26"/>
      <c r="G510" s="26"/>
      <c r="H510" s="26"/>
      <c r="I510" s="26"/>
      <c r="J510" s="26"/>
      <c r="K510" s="26"/>
      <c r="L510" s="26"/>
      <c r="M510" s="26"/>
      <c r="N510" s="26"/>
      <c r="O510" s="26"/>
      <c r="P510" s="26"/>
      <c r="Q510" s="26"/>
      <c r="R510" s="26"/>
      <c r="S510" s="26"/>
    </row>
    <row r="511" spans="1:19" ht="15.75" customHeight="1" x14ac:dyDescent="0.25">
      <c r="A511" s="26"/>
      <c r="B511" s="26"/>
      <c r="C511" s="26"/>
      <c r="D511" s="26"/>
      <c r="E511" s="26"/>
      <c r="F511" s="26"/>
      <c r="G511" s="26"/>
      <c r="H511" s="26"/>
      <c r="I511" s="26"/>
      <c r="J511" s="26"/>
      <c r="K511" s="26"/>
      <c r="L511" s="26"/>
      <c r="M511" s="26"/>
      <c r="N511" s="26"/>
      <c r="O511" s="26"/>
      <c r="P511" s="26"/>
      <c r="Q511" s="26"/>
      <c r="R511" s="26"/>
      <c r="S511" s="26"/>
    </row>
    <row r="512" spans="1:19" ht="15.75" customHeight="1" x14ac:dyDescent="0.25">
      <c r="A512" s="26"/>
      <c r="B512" s="26"/>
      <c r="C512" s="26"/>
      <c r="D512" s="26"/>
      <c r="E512" s="26"/>
      <c r="F512" s="26"/>
      <c r="G512" s="26"/>
      <c r="H512" s="26"/>
      <c r="I512" s="26"/>
      <c r="J512" s="26"/>
      <c r="K512" s="26"/>
      <c r="L512" s="26"/>
      <c r="M512" s="26"/>
      <c r="N512" s="26"/>
      <c r="O512" s="26"/>
      <c r="P512" s="26"/>
      <c r="Q512" s="26"/>
      <c r="R512" s="26"/>
      <c r="S512" s="26"/>
    </row>
    <row r="513" spans="1:19" ht="15.75" customHeight="1" x14ac:dyDescent="0.25">
      <c r="A513" s="26"/>
      <c r="B513" s="26"/>
      <c r="C513" s="26"/>
      <c r="D513" s="26"/>
      <c r="E513" s="26"/>
      <c r="F513" s="26"/>
      <c r="G513" s="26"/>
      <c r="H513" s="26"/>
      <c r="I513" s="26"/>
      <c r="J513" s="26"/>
      <c r="K513" s="26"/>
      <c r="L513" s="26"/>
      <c r="M513" s="26"/>
      <c r="N513" s="26"/>
      <c r="O513" s="26"/>
      <c r="P513" s="26"/>
      <c r="Q513" s="26"/>
      <c r="R513" s="26"/>
      <c r="S513" s="26"/>
    </row>
    <row r="514" spans="1:19" ht="15.75" customHeight="1" x14ac:dyDescent="0.25">
      <c r="A514" s="26"/>
      <c r="B514" s="26"/>
      <c r="C514" s="26"/>
      <c r="D514" s="26"/>
      <c r="E514" s="26"/>
      <c r="F514" s="26"/>
      <c r="G514" s="26"/>
      <c r="H514" s="26"/>
      <c r="I514" s="26"/>
      <c r="J514" s="26"/>
      <c r="K514" s="26"/>
      <c r="L514" s="26"/>
      <c r="M514" s="26"/>
      <c r="N514" s="26"/>
      <c r="O514" s="26"/>
      <c r="P514" s="26"/>
      <c r="Q514" s="26"/>
      <c r="R514" s="26"/>
      <c r="S514" s="26"/>
    </row>
    <row r="515" spans="1:19" ht="15.75" customHeight="1" x14ac:dyDescent="0.25">
      <c r="A515" s="26"/>
      <c r="B515" s="26"/>
      <c r="C515" s="26"/>
      <c r="D515" s="26"/>
      <c r="E515" s="26"/>
      <c r="F515" s="26"/>
      <c r="G515" s="26"/>
      <c r="H515" s="26"/>
      <c r="I515" s="26"/>
      <c r="J515" s="26"/>
      <c r="K515" s="26"/>
      <c r="L515" s="26"/>
      <c r="M515" s="26"/>
      <c r="N515" s="26"/>
      <c r="O515" s="26"/>
      <c r="P515" s="26"/>
      <c r="Q515" s="26"/>
      <c r="R515" s="26"/>
      <c r="S515" s="26"/>
    </row>
    <row r="516" spans="1:19" ht="15.75" customHeight="1" x14ac:dyDescent="0.25">
      <c r="A516" s="26"/>
      <c r="B516" s="26"/>
      <c r="C516" s="26"/>
      <c r="D516" s="26"/>
      <c r="E516" s="26"/>
      <c r="F516" s="26"/>
      <c r="G516" s="26"/>
      <c r="H516" s="26"/>
      <c r="I516" s="26"/>
      <c r="J516" s="26"/>
      <c r="K516" s="26"/>
      <c r="L516" s="26"/>
      <c r="M516" s="26"/>
      <c r="N516" s="26"/>
      <c r="O516" s="26"/>
      <c r="P516" s="26"/>
      <c r="Q516" s="26"/>
      <c r="R516" s="26"/>
      <c r="S516" s="26"/>
    </row>
    <row r="517" spans="1:19" ht="15.75" customHeight="1" x14ac:dyDescent="0.25">
      <c r="A517" s="26"/>
      <c r="B517" s="26"/>
      <c r="C517" s="26"/>
      <c r="D517" s="26"/>
      <c r="E517" s="26"/>
      <c r="F517" s="26"/>
      <c r="G517" s="26"/>
      <c r="H517" s="26"/>
      <c r="I517" s="26"/>
      <c r="J517" s="26"/>
      <c r="K517" s="26"/>
      <c r="L517" s="26"/>
      <c r="M517" s="26"/>
      <c r="N517" s="26"/>
      <c r="O517" s="26"/>
      <c r="P517" s="26"/>
      <c r="Q517" s="26"/>
      <c r="R517" s="26"/>
      <c r="S517" s="26"/>
    </row>
    <row r="518" spans="1:19" ht="15.75" customHeight="1" x14ac:dyDescent="0.25">
      <c r="A518" s="26"/>
      <c r="B518" s="26"/>
      <c r="C518" s="26"/>
      <c r="D518" s="26"/>
      <c r="E518" s="26"/>
      <c r="F518" s="26"/>
      <c r="G518" s="26"/>
      <c r="H518" s="26"/>
      <c r="I518" s="26"/>
      <c r="J518" s="26"/>
      <c r="K518" s="26"/>
      <c r="L518" s="26"/>
      <c r="M518" s="26"/>
      <c r="N518" s="26"/>
      <c r="O518" s="26"/>
      <c r="P518" s="26"/>
      <c r="Q518" s="26"/>
      <c r="R518" s="26"/>
      <c r="S518" s="26"/>
    </row>
    <row r="519" spans="1:19" ht="15.75" customHeight="1" x14ac:dyDescent="0.25">
      <c r="A519" s="26"/>
      <c r="B519" s="26"/>
      <c r="C519" s="26"/>
      <c r="D519" s="26"/>
      <c r="E519" s="26"/>
      <c r="F519" s="26"/>
      <c r="G519" s="26"/>
      <c r="H519" s="26"/>
      <c r="I519" s="26"/>
      <c r="J519" s="26"/>
      <c r="K519" s="26"/>
      <c r="L519" s="26"/>
      <c r="M519" s="26"/>
      <c r="N519" s="26"/>
      <c r="O519" s="26"/>
      <c r="P519" s="26"/>
      <c r="Q519" s="26"/>
      <c r="R519" s="26"/>
      <c r="S519" s="26"/>
    </row>
    <row r="520" spans="1:19" ht="15.75" customHeight="1" x14ac:dyDescent="0.25">
      <c r="A520" s="26"/>
      <c r="B520" s="26"/>
      <c r="C520" s="26"/>
      <c r="D520" s="26"/>
      <c r="E520" s="26"/>
      <c r="F520" s="26"/>
      <c r="G520" s="26"/>
      <c r="H520" s="26"/>
      <c r="I520" s="26"/>
      <c r="J520" s="26"/>
      <c r="K520" s="26"/>
      <c r="L520" s="26"/>
      <c r="M520" s="26"/>
      <c r="N520" s="26"/>
      <c r="O520" s="26"/>
      <c r="P520" s="26"/>
      <c r="Q520" s="26"/>
      <c r="R520" s="26"/>
      <c r="S520" s="26"/>
    </row>
    <row r="521" spans="1:19" ht="15.75" customHeight="1" x14ac:dyDescent="0.25">
      <c r="A521" s="26"/>
      <c r="B521" s="26"/>
      <c r="C521" s="26"/>
      <c r="D521" s="26"/>
      <c r="E521" s="26"/>
      <c r="F521" s="26"/>
      <c r="G521" s="26"/>
      <c r="H521" s="26"/>
      <c r="I521" s="26"/>
      <c r="J521" s="26"/>
      <c r="K521" s="26"/>
      <c r="L521" s="26"/>
      <c r="M521" s="26"/>
      <c r="N521" s="26"/>
      <c r="O521" s="26"/>
      <c r="P521" s="26"/>
      <c r="Q521" s="26"/>
      <c r="R521" s="26"/>
      <c r="S521" s="26"/>
    </row>
    <row r="522" spans="1:19" ht="15.75" customHeight="1" x14ac:dyDescent="0.25">
      <c r="A522" s="26"/>
      <c r="B522" s="26"/>
      <c r="C522" s="26"/>
      <c r="D522" s="26"/>
      <c r="E522" s="26"/>
      <c r="F522" s="26"/>
      <c r="G522" s="26"/>
      <c r="H522" s="26"/>
      <c r="I522" s="26"/>
      <c r="J522" s="26"/>
      <c r="K522" s="26"/>
      <c r="L522" s="26"/>
      <c r="M522" s="26"/>
      <c r="N522" s="26"/>
      <c r="O522" s="26"/>
      <c r="P522" s="26"/>
      <c r="Q522" s="26"/>
      <c r="R522" s="26"/>
      <c r="S522" s="26"/>
    </row>
    <row r="523" spans="1:19" ht="15.75" customHeight="1" x14ac:dyDescent="0.25">
      <c r="A523" s="26"/>
      <c r="B523" s="26"/>
      <c r="C523" s="26"/>
      <c r="D523" s="26"/>
      <c r="E523" s="26"/>
      <c r="F523" s="26"/>
      <c r="G523" s="26"/>
      <c r="H523" s="26"/>
      <c r="I523" s="26"/>
      <c r="J523" s="26"/>
      <c r="K523" s="26"/>
      <c r="L523" s="26"/>
      <c r="M523" s="26"/>
      <c r="N523" s="26"/>
      <c r="O523" s="26"/>
      <c r="P523" s="26"/>
      <c r="Q523" s="26"/>
      <c r="R523" s="26"/>
      <c r="S523" s="26"/>
    </row>
    <row r="524" spans="1:19" ht="15.75" customHeight="1" x14ac:dyDescent="0.25">
      <c r="A524" s="26"/>
      <c r="B524" s="26"/>
      <c r="C524" s="26"/>
      <c r="D524" s="26"/>
      <c r="E524" s="26"/>
      <c r="F524" s="26"/>
      <c r="G524" s="26"/>
      <c r="H524" s="26"/>
      <c r="I524" s="26"/>
      <c r="J524" s="26"/>
      <c r="K524" s="26"/>
      <c r="L524" s="26"/>
      <c r="M524" s="26"/>
      <c r="N524" s="26"/>
      <c r="O524" s="26"/>
      <c r="P524" s="26"/>
      <c r="Q524" s="26"/>
      <c r="R524" s="26"/>
      <c r="S524" s="26"/>
    </row>
    <row r="525" spans="1:19" ht="15.75" customHeight="1" x14ac:dyDescent="0.25">
      <c r="A525" s="26"/>
      <c r="B525" s="26"/>
      <c r="C525" s="26"/>
      <c r="D525" s="26"/>
      <c r="E525" s="26"/>
      <c r="F525" s="26"/>
      <c r="G525" s="26"/>
      <c r="H525" s="26"/>
      <c r="I525" s="26"/>
      <c r="J525" s="26"/>
      <c r="K525" s="26"/>
      <c r="L525" s="26"/>
      <c r="M525" s="26"/>
      <c r="N525" s="26"/>
      <c r="O525" s="26"/>
      <c r="P525" s="26"/>
      <c r="Q525" s="26"/>
      <c r="R525" s="26"/>
      <c r="S525" s="26"/>
    </row>
    <row r="526" spans="1:19" ht="15.75" customHeight="1" x14ac:dyDescent="0.25">
      <c r="A526" s="26"/>
      <c r="B526" s="26"/>
      <c r="C526" s="26"/>
      <c r="D526" s="26"/>
      <c r="E526" s="26"/>
      <c r="F526" s="26"/>
      <c r="G526" s="26"/>
      <c r="H526" s="26"/>
      <c r="I526" s="26"/>
      <c r="J526" s="26"/>
      <c r="K526" s="26"/>
      <c r="L526" s="26"/>
      <c r="M526" s="26"/>
      <c r="N526" s="26"/>
      <c r="O526" s="26"/>
      <c r="P526" s="26"/>
      <c r="Q526" s="26"/>
      <c r="R526" s="26"/>
      <c r="S526" s="26"/>
    </row>
    <row r="527" spans="1:19" ht="15.75" customHeight="1" x14ac:dyDescent="0.25">
      <c r="A527" s="26"/>
      <c r="B527" s="26"/>
      <c r="C527" s="26"/>
      <c r="D527" s="26"/>
      <c r="E527" s="26"/>
      <c r="F527" s="26"/>
      <c r="G527" s="26"/>
      <c r="H527" s="26"/>
      <c r="I527" s="26"/>
      <c r="J527" s="26"/>
      <c r="K527" s="26"/>
      <c r="L527" s="26"/>
      <c r="M527" s="26"/>
      <c r="N527" s="26"/>
      <c r="O527" s="26"/>
      <c r="P527" s="26"/>
      <c r="Q527" s="26"/>
      <c r="R527" s="26"/>
      <c r="S527" s="26"/>
    </row>
    <row r="528" spans="1:19" ht="15.75" customHeight="1" x14ac:dyDescent="0.25">
      <c r="A528" s="26"/>
      <c r="B528" s="26"/>
      <c r="C528" s="26"/>
      <c r="D528" s="26"/>
      <c r="E528" s="26"/>
      <c r="F528" s="26"/>
      <c r="G528" s="26"/>
      <c r="H528" s="26"/>
      <c r="I528" s="26"/>
      <c r="J528" s="26"/>
      <c r="K528" s="26"/>
      <c r="L528" s="26"/>
      <c r="M528" s="26"/>
      <c r="N528" s="26"/>
      <c r="O528" s="26"/>
      <c r="P528" s="26"/>
      <c r="Q528" s="26"/>
      <c r="R528" s="26"/>
      <c r="S528" s="26"/>
    </row>
    <row r="529" spans="1:19" ht="15.75" customHeight="1" x14ac:dyDescent="0.25">
      <c r="A529" s="26"/>
      <c r="B529" s="26"/>
      <c r="C529" s="26"/>
      <c r="D529" s="26"/>
      <c r="E529" s="26"/>
      <c r="F529" s="26"/>
      <c r="G529" s="26"/>
      <c r="H529" s="26"/>
      <c r="I529" s="26"/>
      <c r="J529" s="26"/>
      <c r="K529" s="26"/>
      <c r="L529" s="26"/>
      <c r="M529" s="26"/>
      <c r="N529" s="26"/>
      <c r="O529" s="26"/>
      <c r="P529" s="26"/>
      <c r="Q529" s="26"/>
      <c r="R529" s="26"/>
      <c r="S529" s="26"/>
    </row>
    <row r="530" spans="1:19" ht="15.75" customHeight="1" x14ac:dyDescent="0.25">
      <c r="A530" s="26"/>
      <c r="B530" s="26"/>
      <c r="C530" s="26"/>
      <c r="D530" s="26"/>
      <c r="E530" s="26"/>
      <c r="F530" s="26"/>
      <c r="G530" s="26"/>
      <c r="H530" s="26"/>
      <c r="I530" s="26"/>
      <c r="J530" s="26"/>
      <c r="K530" s="26"/>
      <c r="L530" s="26"/>
      <c r="M530" s="26"/>
      <c r="N530" s="26"/>
      <c r="O530" s="26"/>
      <c r="P530" s="26"/>
      <c r="Q530" s="26"/>
      <c r="R530" s="26"/>
      <c r="S530" s="26"/>
    </row>
    <row r="531" spans="1:19" ht="15.75" customHeight="1" x14ac:dyDescent="0.25">
      <c r="A531" s="26"/>
      <c r="B531" s="26"/>
      <c r="C531" s="26"/>
      <c r="D531" s="26"/>
      <c r="E531" s="26"/>
      <c r="F531" s="26"/>
      <c r="G531" s="26"/>
      <c r="H531" s="26"/>
      <c r="I531" s="26"/>
      <c r="J531" s="26"/>
      <c r="K531" s="26"/>
      <c r="L531" s="26"/>
      <c r="M531" s="26"/>
      <c r="N531" s="26"/>
      <c r="O531" s="26"/>
      <c r="P531" s="26"/>
      <c r="Q531" s="26"/>
      <c r="R531" s="26"/>
      <c r="S531" s="26"/>
    </row>
    <row r="532" spans="1:19" ht="15.75" customHeight="1" x14ac:dyDescent="0.25">
      <c r="A532" s="26"/>
      <c r="B532" s="26"/>
      <c r="C532" s="26"/>
      <c r="D532" s="26"/>
      <c r="E532" s="26"/>
      <c r="F532" s="26"/>
      <c r="G532" s="26"/>
      <c r="H532" s="26"/>
      <c r="I532" s="26"/>
      <c r="J532" s="26"/>
      <c r="K532" s="26"/>
      <c r="L532" s="26"/>
      <c r="M532" s="26"/>
      <c r="N532" s="26"/>
      <c r="O532" s="26"/>
      <c r="P532" s="26"/>
      <c r="Q532" s="26"/>
      <c r="R532" s="26"/>
      <c r="S532" s="26"/>
    </row>
    <row r="533" spans="1:19" ht="15.75" customHeight="1" x14ac:dyDescent="0.25">
      <c r="A533" s="26"/>
      <c r="B533" s="26"/>
      <c r="C533" s="26"/>
      <c r="D533" s="26"/>
      <c r="E533" s="26"/>
      <c r="F533" s="26"/>
      <c r="G533" s="26"/>
      <c r="H533" s="26"/>
      <c r="I533" s="26"/>
      <c r="J533" s="26"/>
      <c r="K533" s="26"/>
      <c r="L533" s="26"/>
      <c r="M533" s="26"/>
      <c r="N533" s="26"/>
      <c r="O533" s="26"/>
      <c r="P533" s="26"/>
      <c r="Q533" s="26"/>
      <c r="R533" s="26"/>
      <c r="S533" s="26"/>
    </row>
    <row r="534" spans="1:19" ht="15.75" customHeight="1" x14ac:dyDescent="0.25">
      <c r="A534" s="26"/>
      <c r="B534" s="26"/>
      <c r="C534" s="26"/>
      <c r="D534" s="26"/>
      <c r="E534" s="26"/>
      <c r="F534" s="26"/>
      <c r="G534" s="26"/>
      <c r="H534" s="26"/>
      <c r="I534" s="26"/>
      <c r="J534" s="26"/>
      <c r="K534" s="26"/>
      <c r="L534" s="26"/>
      <c r="M534" s="26"/>
      <c r="N534" s="26"/>
      <c r="O534" s="26"/>
      <c r="P534" s="26"/>
      <c r="Q534" s="26"/>
      <c r="R534" s="26"/>
      <c r="S534" s="26"/>
    </row>
    <row r="535" spans="1:19" ht="15.75" customHeight="1" x14ac:dyDescent="0.25">
      <c r="A535" s="26"/>
      <c r="B535" s="26"/>
      <c r="C535" s="26"/>
      <c r="D535" s="26"/>
      <c r="E535" s="26"/>
      <c r="F535" s="26"/>
      <c r="G535" s="26"/>
      <c r="H535" s="26"/>
      <c r="I535" s="26"/>
      <c r="J535" s="26"/>
      <c r="K535" s="26"/>
      <c r="L535" s="26"/>
      <c r="M535" s="26"/>
      <c r="N535" s="26"/>
      <c r="O535" s="26"/>
      <c r="P535" s="26"/>
      <c r="Q535" s="26"/>
      <c r="R535" s="26"/>
      <c r="S535" s="26"/>
    </row>
    <row r="536" spans="1:19" ht="15.75" customHeight="1" x14ac:dyDescent="0.25">
      <c r="A536" s="26"/>
      <c r="B536" s="26"/>
      <c r="C536" s="26"/>
      <c r="D536" s="26"/>
      <c r="E536" s="26"/>
      <c r="F536" s="26"/>
      <c r="G536" s="26"/>
      <c r="H536" s="26"/>
      <c r="I536" s="26"/>
      <c r="J536" s="26"/>
      <c r="K536" s="26"/>
      <c r="L536" s="26"/>
      <c r="M536" s="26"/>
      <c r="N536" s="26"/>
      <c r="O536" s="26"/>
      <c r="P536" s="26"/>
      <c r="Q536" s="26"/>
      <c r="R536" s="26"/>
      <c r="S536" s="26"/>
    </row>
    <row r="537" spans="1:19" ht="15.75" customHeight="1" x14ac:dyDescent="0.25">
      <c r="A537" s="26"/>
      <c r="B537" s="26"/>
      <c r="C537" s="26"/>
      <c r="D537" s="26"/>
      <c r="E537" s="26"/>
      <c r="F537" s="26"/>
      <c r="G537" s="26"/>
      <c r="H537" s="26"/>
      <c r="I537" s="26"/>
      <c r="J537" s="26"/>
      <c r="K537" s="26"/>
      <c r="L537" s="26"/>
      <c r="M537" s="26"/>
      <c r="N537" s="26"/>
      <c r="O537" s="26"/>
      <c r="P537" s="26"/>
      <c r="Q537" s="26"/>
      <c r="R537" s="26"/>
      <c r="S537" s="26"/>
    </row>
    <row r="538" spans="1:19" ht="15.75" customHeight="1" x14ac:dyDescent="0.25">
      <c r="A538" s="26"/>
      <c r="B538" s="26"/>
      <c r="C538" s="26"/>
      <c r="D538" s="26"/>
      <c r="E538" s="26"/>
      <c r="F538" s="26"/>
      <c r="G538" s="26"/>
      <c r="H538" s="26"/>
      <c r="I538" s="26"/>
      <c r="J538" s="26"/>
      <c r="K538" s="26"/>
      <c r="L538" s="26"/>
      <c r="M538" s="26"/>
      <c r="N538" s="26"/>
      <c r="O538" s="26"/>
      <c r="P538" s="26"/>
      <c r="Q538" s="26"/>
      <c r="R538" s="26"/>
      <c r="S538" s="26"/>
    </row>
    <row r="539" spans="1:19" ht="15.75" customHeight="1" x14ac:dyDescent="0.25">
      <c r="A539" s="26"/>
      <c r="B539" s="26"/>
      <c r="C539" s="26"/>
      <c r="D539" s="26"/>
      <c r="E539" s="26"/>
      <c r="F539" s="26"/>
      <c r="G539" s="26"/>
      <c r="H539" s="26"/>
      <c r="I539" s="26"/>
      <c r="J539" s="26"/>
      <c r="K539" s="26"/>
      <c r="L539" s="26"/>
      <c r="M539" s="26"/>
      <c r="N539" s="26"/>
      <c r="O539" s="26"/>
      <c r="P539" s="26"/>
      <c r="Q539" s="26"/>
      <c r="R539" s="26"/>
      <c r="S539" s="26"/>
    </row>
    <row r="540" spans="1:19" ht="15.75" customHeight="1" x14ac:dyDescent="0.25">
      <c r="A540" s="26"/>
      <c r="B540" s="26"/>
      <c r="C540" s="26"/>
      <c r="D540" s="26"/>
      <c r="E540" s="26"/>
      <c r="F540" s="26"/>
      <c r="G540" s="26"/>
      <c r="H540" s="26"/>
      <c r="I540" s="26"/>
      <c r="J540" s="26"/>
      <c r="K540" s="26"/>
      <c r="L540" s="26"/>
      <c r="M540" s="26"/>
      <c r="N540" s="26"/>
      <c r="O540" s="26"/>
      <c r="P540" s="26"/>
      <c r="Q540" s="26"/>
      <c r="R540" s="26"/>
      <c r="S540" s="26"/>
    </row>
    <row r="541" spans="1:19" ht="15.75" customHeight="1" x14ac:dyDescent="0.25">
      <c r="A541" s="26"/>
      <c r="B541" s="26"/>
      <c r="C541" s="26"/>
      <c r="D541" s="26"/>
      <c r="E541" s="26"/>
      <c r="F541" s="26"/>
      <c r="G541" s="26"/>
      <c r="H541" s="26"/>
      <c r="I541" s="26"/>
      <c r="J541" s="26"/>
      <c r="K541" s="26"/>
      <c r="L541" s="26"/>
      <c r="M541" s="26"/>
      <c r="N541" s="26"/>
      <c r="O541" s="26"/>
      <c r="P541" s="26"/>
      <c r="Q541" s="26"/>
      <c r="R541" s="26"/>
      <c r="S541" s="26"/>
    </row>
    <row r="542" spans="1:19" ht="15.75" customHeight="1" x14ac:dyDescent="0.25">
      <c r="A542" s="26"/>
      <c r="B542" s="26"/>
      <c r="C542" s="26"/>
      <c r="D542" s="26"/>
      <c r="E542" s="26"/>
      <c r="F542" s="26"/>
      <c r="G542" s="26"/>
      <c r="H542" s="26"/>
      <c r="I542" s="26"/>
      <c r="J542" s="26"/>
      <c r="K542" s="26"/>
      <c r="L542" s="26"/>
      <c r="M542" s="26"/>
      <c r="N542" s="26"/>
      <c r="O542" s="26"/>
      <c r="P542" s="26"/>
      <c r="Q542" s="26"/>
      <c r="R542" s="26"/>
      <c r="S542" s="26"/>
    </row>
    <row r="543" spans="1:19" ht="15.75" customHeight="1" x14ac:dyDescent="0.25">
      <c r="A543" s="26"/>
      <c r="B543" s="26"/>
      <c r="C543" s="26"/>
      <c r="D543" s="26"/>
      <c r="E543" s="26"/>
      <c r="F543" s="26"/>
      <c r="G543" s="26"/>
      <c r="H543" s="26"/>
      <c r="I543" s="26"/>
      <c r="J543" s="26"/>
      <c r="K543" s="26"/>
      <c r="L543" s="26"/>
      <c r="M543" s="26"/>
      <c r="N543" s="26"/>
      <c r="O543" s="26"/>
      <c r="P543" s="26"/>
      <c r="Q543" s="26"/>
      <c r="R543" s="26"/>
      <c r="S543" s="26"/>
    </row>
    <row r="544" spans="1:19" ht="15.75" customHeight="1" x14ac:dyDescent="0.25">
      <c r="A544" s="26"/>
      <c r="B544" s="26"/>
      <c r="C544" s="26"/>
      <c r="D544" s="26"/>
      <c r="E544" s="26"/>
      <c r="F544" s="26"/>
      <c r="G544" s="26"/>
      <c r="H544" s="26"/>
      <c r="I544" s="26"/>
      <c r="J544" s="26"/>
      <c r="K544" s="26"/>
      <c r="L544" s="26"/>
      <c r="M544" s="26"/>
      <c r="N544" s="26"/>
      <c r="O544" s="26"/>
      <c r="P544" s="26"/>
      <c r="Q544" s="26"/>
      <c r="R544" s="26"/>
      <c r="S544" s="26"/>
    </row>
    <row r="545" spans="1:19" ht="15.75" customHeight="1" x14ac:dyDescent="0.25">
      <c r="A545" s="26"/>
      <c r="B545" s="26"/>
      <c r="C545" s="26"/>
      <c r="D545" s="26"/>
      <c r="E545" s="26"/>
      <c r="F545" s="26"/>
      <c r="G545" s="26"/>
      <c r="H545" s="26"/>
      <c r="I545" s="26"/>
      <c r="J545" s="26"/>
      <c r="K545" s="26"/>
      <c r="L545" s="26"/>
      <c r="M545" s="26"/>
      <c r="N545" s="26"/>
      <c r="O545" s="26"/>
      <c r="P545" s="26"/>
      <c r="Q545" s="26"/>
      <c r="R545" s="26"/>
      <c r="S545" s="26"/>
    </row>
    <row r="546" spans="1:19" ht="15.75" customHeight="1" x14ac:dyDescent="0.25">
      <c r="A546" s="26"/>
      <c r="B546" s="26"/>
      <c r="C546" s="26"/>
      <c r="D546" s="26"/>
      <c r="E546" s="26"/>
      <c r="F546" s="26"/>
      <c r="G546" s="26"/>
      <c r="H546" s="26"/>
      <c r="I546" s="26"/>
      <c r="J546" s="26"/>
      <c r="K546" s="26"/>
      <c r="L546" s="26"/>
      <c r="M546" s="26"/>
      <c r="N546" s="26"/>
      <c r="O546" s="26"/>
      <c r="P546" s="26"/>
      <c r="Q546" s="26"/>
      <c r="R546" s="26"/>
      <c r="S546" s="26"/>
    </row>
    <row r="547" spans="1:19" ht="15.75" customHeight="1" x14ac:dyDescent="0.25">
      <c r="A547" s="26"/>
      <c r="B547" s="26"/>
      <c r="C547" s="26"/>
      <c r="D547" s="26"/>
      <c r="E547" s="26"/>
      <c r="F547" s="26"/>
      <c r="G547" s="26"/>
      <c r="H547" s="26"/>
      <c r="I547" s="26"/>
      <c r="J547" s="26"/>
      <c r="K547" s="26"/>
      <c r="L547" s="26"/>
      <c r="M547" s="26"/>
      <c r="N547" s="26"/>
      <c r="O547" s="26"/>
      <c r="P547" s="26"/>
      <c r="Q547" s="26"/>
      <c r="R547" s="26"/>
      <c r="S547" s="26"/>
    </row>
    <row r="548" spans="1:19" ht="15.75" customHeight="1" x14ac:dyDescent="0.25">
      <c r="A548" s="26"/>
      <c r="B548" s="26"/>
      <c r="C548" s="26"/>
      <c r="D548" s="26"/>
      <c r="E548" s="26"/>
      <c r="F548" s="26"/>
      <c r="G548" s="26"/>
      <c r="H548" s="26"/>
      <c r="I548" s="26"/>
      <c r="J548" s="26"/>
      <c r="K548" s="26"/>
      <c r="L548" s="26"/>
      <c r="M548" s="26"/>
      <c r="N548" s="26"/>
      <c r="O548" s="26"/>
      <c r="P548" s="26"/>
      <c r="Q548" s="26"/>
      <c r="R548" s="26"/>
      <c r="S548" s="26"/>
    </row>
    <row r="549" spans="1:19" ht="15.75" customHeight="1" x14ac:dyDescent="0.25">
      <c r="A549" s="26"/>
      <c r="B549" s="26"/>
      <c r="C549" s="26"/>
      <c r="D549" s="26"/>
      <c r="E549" s="26"/>
      <c r="F549" s="26"/>
      <c r="G549" s="26"/>
      <c r="H549" s="26"/>
      <c r="I549" s="26"/>
      <c r="J549" s="26"/>
      <c r="K549" s="26"/>
      <c r="L549" s="26"/>
      <c r="M549" s="26"/>
      <c r="N549" s="26"/>
      <c r="O549" s="26"/>
      <c r="P549" s="26"/>
      <c r="Q549" s="26"/>
      <c r="R549" s="26"/>
      <c r="S549" s="26"/>
    </row>
    <row r="550" spans="1:19" ht="15.75" customHeight="1" x14ac:dyDescent="0.25">
      <c r="A550" s="26"/>
      <c r="B550" s="26"/>
      <c r="C550" s="26"/>
      <c r="D550" s="26"/>
      <c r="E550" s="26"/>
      <c r="F550" s="26"/>
      <c r="G550" s="26"/>
      <c r="H550" s="26"/>
      <c r="I550" s="26"/>
      <c r="J550" s="26"/>
      <c r="K550" s="26"/>
      <c r="L550" s="26"/>
      <c r="M550" s="26"/>
      <c r="N550" s="26"/>
      <c r="O550" s="26"/>
      <c r="P550" s="26"/>
      <c r="Q550" s="26"/>
      <c r="R550" s="26"/>
      <c r="S550" s="26"/>
    </row>
    <row r="551" spans="1:19" ht="15.75" customHeight="1" x14ac:dyDescent="0.25">
      <c r="A551" s="26"/>
      <c r="B551" s="26"/>
      <c r="C551" s="26"/>
      <c r="D551" s="26"/>
      <c r="E551" s="26"/>
      <c r="F551" s="26"/>
      <c r="G551" s="26"/>
      <c r="H551" s="26"/>
      <c r="I551" s="26"/>
      <c r="J551" s="26"/>
      <c r="K551" s="26"/>
      <c r="L551" s="26"/>
      <c r="M551" s="26"/>
      <c r="N551" s="26"/>
      <c r="O551" s="26"/>
      <c r="P551" s="26"/>
      <c r="Q551" s="26"/>
      <c r="R551" s="26"/>
      <c r="S551" s="26"/>
    </row>
    <row r="552" spans="1:19" ht="15.75" customHeight="1" x14ac:dyDescent="0.25">
      <c r="A552" s="26"/>
      <c r="B552" s="26"/>
      <c r="C552" s="26"/>
      <c r="D552" s="26"/>
      <c r="E552" s="26"/>
      <c r="F552" s="26"/>
      <c r="G552" s="26"/>
      <c r="H552" s="26"/>
      <c r="I552" s="26"/>
      <c r="J552" s="26"/>
      <c r="K552" s="26"/>
      <c r="L552" s="26"/>
      <c r="M552" s="26"/>
      <c r="N552" s="26"/>
      <c r="O552" s="26"/>
      <c r="P552" s="26"/>
      <c r="Q552" s="26"/>
      <c r="R552" s="26"/>
      <c r="S552" s="26"/>
    </row>
    <row r="553" spans="1:19" ht="15.75" customHeight="1" x14ac:dyDescent="0.25">
      <c r="A553" s="26"/>
      <c r="B553" s="26"/>
      <c r="C553" s="26"/>
      <c r="D553" s="26"/>
      <c r="E553" s="26"/>
      <c r="F553" s="26"/>
      <c r="G553" s="26"/>
      <c r="H553" s="26"/>
      <c r="I553" s="26"/>
      <c r="J553" s="26"/>
      <c r="K553" s="26"/>
      <c r="L553" s="26"/>
      <c r="M553" s="26"/>
      <c r="N553" s="26"/>
      <c r="O553" s="26"/>
      <c r="P553" s="26"/>
      <c r="Q553" s="26"/>
      <c r="R553" s="26"/>
      <c r="S553" s="26"/>
    </row>
    <row r="554" spans="1:19" ht="15.75" customHeight="1" x14ac:dyDescent="0.25">
      <c r="A554" s="26"/>
      <c r="B554" s="26"/>
      <c r="C554" s="26"/>
      <c r="D554" s="26"/>
      <c r="E554" s="26"/>
      <c r="F554" s="26"/>
      <c r="G554" s="26"/>
      <c r="H554" s="26"/>
      <c r="I554" s="26"/>
      <c r="J554" s="26"/>
      <c r="K554" s="26"/>
      <c r="L554" s="26"/>
      <c r="M554" s="26"/>
      <c r="N554" s="26"/>
      <c r="O554" s="26"/>
      <c r="P554" s="26"/>
      <c r="Q554" s="26"/>
      <c r="R554" s="26"/>
      <c r="S554" s="26"/>
    </row>
    <row r="555" spans="1:19" ht="15.75" customHeight="1" x14ac:dyDescent="0.25">
      <c r="A555" s="26"/>
      <c r="B555" s="26"/>
      <c r="C555" s="26"/>
      <c r="D555" s="26"/>
      <c r="E555" s="26"/>
      <c r="F555" s="26"/>
      <c r="G555" s="26"/>
      <c r="H555" s="26"/>
      <c r="I555" s="26"/>
      <c r="J555" s="26"/>
      <c r="K555" s="26"/>
      <c r="L555" s="26"/>
      <c r="M555" s="26"/>
      <c r="N555" s="26"/>
      <c r="O555" s="26"/>
      <c r="P555" s="26"/>
      <c r="Q555" s="26"/>
      <c r="R555" s="26"/>
      <c r="S555" s="26"/>
    </row>
    <row r="556" spans="1:19" ht="15.75" customHeight="1" x14ac:dyDescent="0.25">
      <c r="A556" s="26"/>
      <c r="B556" s="26"/>
      <c r="C556" s="26"/>
      <c r="D556" s="26"/>
      <c r="E556" s="26"/>
      <c r="F556" s="26"/>
      <c r="G556" s="26"/>
      <c r="H556" s="26"/>
      <c r="I556" s="26"/>
      <c r="J556" s="26"/>
      <c r="K556" s="26"/>
      <c r="L556" s="26"/>
      <c r="M556" s="26"/>
      <c r="N556" s="26"/>
      <c r="O556" s="26"/>
      <c r="P556" s="26"/>
      <c r="Q556" s="26"/>
      <c r="R556" s="26"/>
      <c r="S556" s="26"/>
    </row>
    <row r="557" spans="1:19" ht="15.75" customHeight="1" x14ac:dyDescent="0.25">
      <c r="A557" s="26"/>
      <c r="B557" s="26"/>
      <c r="C557" s="26"/>
      <c r="D557" s="26"/>
      <c r="E557" s="26"/>
      <c r="F557" s="26"/>
      <c r="G557" s="26"/>
      <c r="H557" s="26"/>
      <c r="I557" s="26"/>
      <c r="J557" s="26"/>
      <c r="K557" s="26"/>
      <c r="L557" s="26"/>
      <c r="M557" s="26"/>
      <c r="N557" s="26"/>
      <c r="O557" s="26"/>
      <c r="P557" s="26"/>
      <c r="Q557" s="26"/>
      <c r="R557" s="26"/>
      <c r="S557" s="26"/>
    </row>
    <row r="558" spans="1:19" ht="15.75" customHeight="1" x14ac:dyDescent="0.25">
      <c r="A558" s="26"/>
      <c r="B558" s="26"/>
      <c r="C558" s="26"/>
      <c r="D558" s="26"/>
      <c r="E558" s="26"/>
      <c r="F558" s="26"/>
      <c r="G558" s="26"/>
      <c r="H558" s="26"/>
      <c r="I558" s="26"/>
      <c r="J558" s="26"/>
      <c r="K558" s="26"/>
      <c r="L558" s="26"/>
      <c r="M558" s="26"/>
      <c r="N558" s="26"/>
      <c r="O558" s="26"/>
      <c r="P558" s="26"/>
      <c r="Q558" s="26"/>
      <c r="R558" s="26"/>
      <c r="S558" s="26"/>
    </row>
    <row r="559" spans="1:19" ht="15.75" customHeight="1" x14ac:dyDescent="0.25">
      <c r="A559" s="26"/>
      <c r="B559" s="26"/>
      <c r="C559" s="26"/>
      <c r="D559" s="26"/>
      <c r="E559" s="26"/>
      <c r="F559" s="26"/>
      <c r="G559" s="26"/>
      <c r="H559" s="26"/>
      <c r="I559" s="26"/>
      <c r="J559" s="26"/>
      <c r="K559" s="26"/>
      <c r="L559" s="26"/>
      <c r="M559" s="26"/>
      <c r="N559" s="26"/>
      <c r="O559" s="26"/>
      <c r="P559" s="26"/>
      <c r="Q559" s="26"/>
      <c r="R559" s="26"/>
      <c r="S559" s="26"/>
    </row>
    <row r="560" spans="1:19" ht="15.75" customHeight="1" x14ac:dyDescent="0.25">
      <c r="A560" s="26"/>
      <c r="B560" s="26"/>
      <c r="C560" s="26"/>
      <c r="D560" s="26"/>
      <c r="E560" s="26"/>
      <c r="F560" s="26"/>
      <c r="G560" s="26"/>
      <c r="H560" s="26"/>
      <c r="I560" s="26"/>
      <c r="J560" s="26"/>
      <c r="K560" s="26"/>
      <c r="L560" s="26"/>
      <c r="M560" s="26"/>
      <c r="N560" s="26"/>
      <c r="O560" s="26"/>
      <c r="P560" s="26"/>
      <c r="Q560" s="26"/>
      <c r="R560" s="26"/>
      <c r="S560" s="26"/>
    </row>
    <row r="561" spans="1:19" ht="15.75" customHeight="1" x14ac:dyDescent="0.25">
      <c r="A561" s="26"/>
      <c r="B561" s="26"/>
      <c r="C561" s="26"/>
      <c r="D561" s="26"/>
      <c r="E561" s="26"/>
      <c r="F561" s="26"/>
      <c r="G561" s="26"/>
      <c r="H561" s="26"/>
      <c r="I561" s="26"/>
      <c r="J561" s="26"/>
      <c r="K561" s="26"/>
      <c r="L561" s="26"/>
      <c r="M561" s="26"/>
      <c r="N561" s="26"/>
      <c r="O561" s="26"/>
      <c r="P561" s="26"/>
      <c r="Q561" s="26"/>
      <c r="R561" s="26"/>
      <c r="S561" s="26"/>
    </row>
    <row r="562" spans="1:19" ht="15.75" customHeight="1" x14ac:dyDescent="0.25">
      <c r="A562" s="26"/>
      <c r="B562" s="26"/>
      <c r="C562" s="26"/>
      <c r="D562" s="26"/>
      <c r="E562" s="26"/>
      <c r="F562" s="26"/>
      <c r="G562" s="26"/>
      <c r="H562" s="26"/>
      <c r="I562" s="26"/>
      <c r="J562" s="26"/>
      <c r="K562" s="26"/>
      <c r="L562" s="26"/>
      <c r="M562" s="26"/>
      <c r="N562" s="26"/>
      <c r="O562" s="26"/>
      <c r="P562" s="26"/>
      <c r="Q562" s="26"/>
      <c r="R562" s="26"/>
      <c r="S562" s="26"/>
    </row>
    <row r="563" spans="1:19" ht="15.75" customHeight="1" x14ac:dyDescent="0.25">
      <c r="A563" s="26"/>
      <c r="B563" s="26"/>
      <c r="C563" s="26"/>
      <c r="D563" s="26"/>
      <c r="E563" s="26"/>
      <c r="F563" s="26"/>
      <c r="G563" s="26"/>
      <c r="H563" s="26"/>
      <c r="I563" s="26"/>
      <c r="J563" s="26"/>
      <c r="K563" s="26"/>
      <c r="L563" s="26"/>
      <c r="M563" s="26"/>
      <c r="N563" s="26"/>
      <c r="O563" s="26"/>
      <c r="P563" s="26"/>
      <c r="Q563" s="26"/>
      <c r="R563" s="26"/>
      <c r="S563" s="26"/>
    </row>
    <row r="564" spans="1:19" ht="15.75" customHeight="1" x14ac:dyDescent="0.25">
      <c r="A564" s="26"/>
      <c r="B564" s="26"/>
      <c r="C564" s="26"/>
      <c r="D564" s="26"/>
      <c r="E564" s="26"/>
      <c r="F564" s="26"/>
      <c r="G564" s="26"/>
      <c r="H564" s="26"/>
      <c r="I564" s="26"/>
      <c r="J564" s="26"/>
      <c r="K564" s="26"/>
      <c r="L564" s="26"/>
      <c r="M564" s="26"/>
      <c r="N564" s="26"/>
      <c r="O564" s="26"/>
      <c r="P564" s="26"/>
      <c r="Q564" s="26"/>
      <c r="R564" s="26"/>
      <c r="S564" s="26"/>
    </row>
    <row r="565" spans="1:19" ht="15.75" customHeight="1" x14ac:dyDescent="0.25">
      <c r="A565" s="26"/>
      <c r="B565" s="26"/>
      <c r="C565" s="26"/>
      <c r="D565" s="26"/>
      <c r="E565" s="26"/>
      <c r="F565" s="26"/>
      <c r="G565" s="26"/>
      <c r="H565" s="26"/>
      <c r="I565" s="26"/>
      <c r="J565" s="26"/>
      <c r="K565" s="26"/>
      <c r="L565" s="26"/>
      <c r="M565" s="26"/>
      <c r="N565" s="26"/>
      <c r="O565" s="26"/>
      <c r="P565" s="26"/>
      <c r="Q565" s="26"/>
      <c r="R565" s="26"/>
      <c r="S565" s="26"/>
    </row>
    <row r="566" spans="1:19" ht="15.75" customHeight="1" x14ac:dyDescent="0.25">
      <c r="A566" s="26"/>
      <c r="B566" s="26"/>
      <c r="C566" s="26"/>
      <c r="D566" s="26"/>
      <c r="E566" s="26"/>
      <c r="F566" s="26"/>
      <c r="G566" s="26"/>
      <c r="H566" s="26"/>
      <c r="I566" s="26"/>
      <c r="J566" s="26"/>
      <c r="K566" s="26"/>
      <c r="L566" s="26"/>
      <c r="M566" s="26"/>
      <c r="N566" s="26"/>
      <c r="O566" s="26"/>
      <c r="P566" s="26"/>
      <c r="Q566" s="26"/>
      <c r="R566" s="26"/>
      <c r="S566" s="26"/>
    </row>
    <row r="567" spans="1:19" ht="15.75" customHeight="1" x14ac:dyDescent="0.25">
      <c r="A567" s="26"/>
      <c r="B567" s="26"/>
      <c r="C567" s="26"/>
      <c r="D567" s="26"/>
      <c r="E567" s="26"/>
      <c r="F567" s="26"/>
      <c r="G567" s="26"/>
      <c r="H567" s="26"/>
      <c r="I567" s="26"/>
      <c r="J567" s="26"/>
      <c r="K567" s="26"/>
      <c r="L567" s="26"/>
      <c r="M567" s="26"/>
      <c r="N567" s="26"/>
      <c r="O567" s="26"/>
      <c r="P567" s="26"/>
      <c r="Q567" s="26"/>
      <c r="R567" s="26"/>
      <c r="S567" s="26"/>
    </row>
    <row r="568" spans="1:19" ht="15.75" customHeight="1" x14ac:dyDescent="0.25">
      <c r="A568" s="26"/>
      <c r="B568" s="26"/>
      <c r="C568" s="26"/>
      <c r="D568" s="26"/>
      <c r="E568" s="26"/>
      <c r="F568" s="26"/>
      <c r="G568" s="26"/>
      <c r="H568" s="26"/>
      <c r="I568" s="26"/>
      <c r="J568" s="26"/>
      <c r="K568" s="26"/>
      <c r="L568" s="26"/>
      <c r="M568" s="26"/>
      <c r="N568" s="26"/>
      <c r="O568" s="26"/>
      <c r="P568" s="26"/>
      <c r="Q568" s="26"/>
      <c r="R568" s="26"/>
      <c r="S568" s="26"/>
    </row>
    <row r="569" spans="1:19" ht="15.75" customHeight="1" x14ac:dyDescent="0.25">
      <c r="A569" s="26"/>
      <c r="B569" s="26"/>
      <c r="C569" s="26"/>
      <c r="D569" s="26"/>
      <c r="E569" s="26"/>
      <c r="F569" s="26"/>
      <c r="G569" s="26"/>
      <c r="H569" s="26"/>
      <c r="I569" s="26"/>
      <c r="J569" s="26"/>
      <c r="K569" s="26"/>
      <c r="L569" s="26"/>
      <c r="M569" s="26"/>
      <c r="N569" s="26"/>
      <c r="O569" s="26"/>
      <c r="P569" s="26"/>
      <c r="Q569" s="26"/>
      <c r="R569" s="26"/>
      <c r="S569" s="26"/>
    </row>
    <row r="570" spans="1:19" ht="15.75" customHeight="1" x14ac:dyDescent="0.25">
      <c r="A570" s="26"/>
      <c r="B570" s="26"/>
      <c r="C570" s="26"/>
      <c r="D570" s="26"/>
      <c r="E570" s="26"/>
      <c r="F570" s="26"/>
      <c r="G570" s="26"/>
      <c r="H570" s="26"/>
      <c r="I570" s="26"/>
      <c r="J570" s="26"/>
      <c r="K570" s="26"/>
      <c r="L570" s="26"/>
      <c r="M570" s="26"/>
      <c r="N570" s="26"/>
      <c r="O570" s="26"/>
      <c r="P570" s="26"/>
      <c r="Q570" s="26"/>
      <c r="R570" s="26"/>
      <c r="S570" s="26"/>
    </row>
    <row r="571" spans="1:19" ht="15.75" customHeight="1" x14ac:dyDescent="0.25">
      <c r="A571" s="26"/>
      <c r="B571" s="26"/>
      <c r="C571" s="26"/>
      <c r="D571" s="26"/>
      <c r="E571" s="26"/>
      <c r="F571" s="26"/>
      <c r="G571" s="26"/>
      <c r="H571" s="26"/>
      <c r="I571" s="26"/>
      <c r="J571" s="26"/>
      <c r="K571" s="26"/>
      <c r="L571" s="26"/>
      <c r="M571" s="26"/>
      <c r="N571" s="26"/>
      <c r="O571" s="26"/>
      <c r="P571" s="26"/>
      <c r="Q571" s="26"/>
      <c r="R571" s="26"/>
      <c r="S571" s="26"/>
    </row>
    <row r="572" spans="1:19" ht="15.75" customHeight="1" x14ac:dyDescent="0.25">
      <c r="A572" s="26"/>
      <c r="B572" s="26"/>
      <c r="C572" s="26"/>
      <c r="D572" s="26"/>
      <c r="E572" s="26"/>
      <c r="F572" s="26"/>
      <c r="G572" s="26"/>
      <c r="H572" s="26"/>
      <c r="I572" s="26"/>
      <c r="J572" s="26"/>
      <c r="K572" s="26"/>
      <c r="L572" s="26"/>
      <c r="M572" s="26"/>
      <c r="N572" s="26"/>
      <c r="O572" s="26"/>
      <c r="P572" s="26"/>
      <c r="Q572" s="26"/>
      <c r="R572" s="26"/>
      <c r="S572" s="26"/>
    </row>
    <row r="573" spans="1:19" ht="15.75" customHeight="1" x14ac:dyDescent="0.25">
      <c r="A573" s="26"/>
      <c r="B573" s="26"/>
      <c r="C573" s="26"/>
      <c r="D573" s="26"/>
      <c r="E573" s="26"/>
      <c r="F573" s="26"/>
      <c r="G573" s="26"/>
      <c r="H573" s="26"/>
      <c r="I573" s="26"/>
      <c r="J573" s="26"/>
      <c r="K573" s="26"/>
      <c r="L573" s="26"/>
      <c r="M573" s="26"/>
      <c r="N573" s="26"/>
      <c r="O573" s="26"/>
      <c r="P573" s="26"/>
      <c r="Q573" s="26"/>
      <c r="R573" s="26"/>
      <c r="S573" s="26"/>
    </row>
    <row r="574" spans="1:19" ht="15.75" customHeight="1" x14ac:dyDescent="0.25">
      <c r="A574" s="26"/>
      <c r="B574" s="26"/>
      <c r="C574" s="26"/>
      <c r="D574" s="26"/>
      <c r="E574" s="26"/>
      <c r="F574" s="26"/>
      <c r="G574" s="26"/>
      <c r="H574" s="26"/>
      <c r="I574" s="26"/>
      <c r="J574" s="26"/>
      <c r="K574" s="26"/>
      <c r="L574" s="26"/>
      <c r="M574" s="26"/>
      <c r="N574" s="26"/>
      <c r="O574" s="26"/>
      <c r="P574" s="26"/>
      <c r="Q574" s="26"/>
      <c r="R574" s="26"/>
      <c r="S574" s="26"/>
    </row>
    <row r="575" spans="1:19" ht="15.75" customHeight="1" x14ac:dyDescent="0.25">
      <c r="A575" s="26"/>
      <c r="B575" s="26"/>
      <c r="C575" s="26"/>
      <c r="D575" s="26"/>
      <c r="E575" s="26"/>
      <c r="F575" s="26"/>
      <c r="G575" s="26"/>
      <c r="H575" s="26"/>
      <c r="I575" s="26"/>
      <c r="J575" s="26"/>
      <c r="K575" s="26"/>
      <c r="L575" s="26"/>
      <c r="M575" s="26"/>
      <c r="N575" s="26"/>
      <c r="O575" s="26"/>
      <c r="P575" s="26"/>
      <c r="Q575" s="26"/>
      <c r="R575" s="26"/>
      <c r="S575" s="26"/>
    </row>
    <row r="576" spans="1:19" ht="15.75" customHeight="1" x14ac:dyDescent="0.25">
      <c r="A576" s="26"/>
      <c r="B576" s="26"/>
      <c r="C576" s="26"/>
      <c r="D576" s="26"/>
      <c r="E576" s="26"/>
      <c r="F576" s="26"/>
      <c r="G576" s="26"/>
      <c r="H576" s="26"/>
      <c r="I576" s="26"/>
      <c r="J576" s="26"/>
      <c r="K576" s="26"/>
      <c r="L576" s="26"/>
      <c r="M576" s="26"/>
      <c r="N576" s="26"/>
      <c r="O576" s="26"/>
      <c r="P576" s="26"/>
      <c r="Q576" s="26"/>
      <c r="R576" s="26"/>
      <c r="S576" s="26"/>
    </row>
    <row r="577" spans="1:19" ht="15.75" customHeight="1" x14ac:dyDescent="0.25">
      <c r="A577" s="26"/>
      <c r="B577" s="26"/>
      <c r="C577" s="26"/>
      <c r="D577" s="26"/>
      <c r="E577" s="26"/>
      <c r="F577" s="26"/>
      <c r="G577" s="26"/>
      <c r="H577" s="26"/>
      <c r="I577" s="26"/>
      <c r="J577" s="26"/>
      <c r="K577" s="26"/>
      <c r="L577" s="26"/>
      <c r="M577" s="26"/>
      <c r="N577" s="26"/>
      <c r="O577" s="26"/>
      <c r="P577" s="26"/>
      <c r="Q577" s="26"/>
      <c r="R577" s="26"/>
      <c r="S577" s="26"/>
    </row>
    <row r="578" spans="1:19" ht="15.75" customHeight="1" x14ac:dyDescent="0.25">
      <c r="A578" s="26"/>
      <c r="B578" s="26"/>
      <c r="C578" s="26"/>
      <c r="D578" s="26"/>
      <c r="E578" s="26"/>
      <c r="F578" s="26"/>
      <c r="G578" s="26"/>
      <c r="H578" s="26"/>
      <c r="I578" s="26"/>
      <c r="J578" s="26"/>
      <c r="K578" s="26"/>
      <c r="L578" s="26"/>
      <c r="M578" s="26"/>
      <c r="N578" s="26"/>
      <c r="O578" s="26"/>
      <c r="P578" s="26"/>
      <c r="Q578" s="26"/>
      <c r="R578" s="26"/>
      <c r="S578" s="26"/>
    </row>
    <row r="579" spans="1:19" ht="15.75" customHeight="1" x14ac:dyDescent="0.25">
      <c r="A579" s="26"/>
      <c r="B579" s="26"/>
      <c r="C579" s="26"/>
      <c r="D579" s="26"/>
      <c r="E579" s="26"/>
      <c r="F579" s="26"/>
      <c r="G579" s="26"/>
      <c r="H579" s="26"/>
      <c r="I579" s="26"/>
      <c r="J579" s="26"/>
      <c r="K579" s="26"/>
      <c r="L579" s="26"/>
      <c r="M579" s="26"/>
      <c r="N579" s="26"/>
      <c r="O579" s="26"/>
      <c r="P579" s="26"/>
      <c r="Q579" s="26"/>
      <c r="R579" s="26"/>
      <c r="S579" s="26"/>
    </row>
    <row r="580" spans="1:19" ht="15.75" customHeight="1" x14ac:dyDescent="0.25">
      <c r="A580" s="26"/>
      <c r="B580" s="26"/>
      <c r="C580" s="26"/>
      <c r="D580" s="26"/>
      <c r="E580" s="26"/>
      <c r="F580" s="26"/>
      <c r="G580" s="26"/>
      <c r="H580" s="26"/>
      <c r="I580" s="26"/>
      <c r="J580" s="26"/>
      <c r="K580" s="26"/>
      <c r="L580" s="26"/>
      <c r="M580" s="26"/>
      <c r="N580" s="26"/>
      <c r="O580" s="26"/>
      <c r="P580" s="26"/>
      <c r="Q580" s="26"/>
      <c r="R580" s="26"/>
      <c r="S580" s="26"/>
    </row>
    <row r="581" spans="1:19" ht="15.75" customHeight="1" x14ac:dyDescent="0.25">
      <c r="A581" s="26"/>
      <c r="B581" s="26"/>
      <c r="C581" s="26"/>
      <c r="D581" s="26"/>
      <c r="E581" s="26"/>
      <c r="F581" s="26"/>
      <c r="G581" s="26"/>
      <c r="H581" s="26"/>
      <c r="I581" s="26"/>
      <c r="J581" s="26"/>
      <c r="K581" s="26"/>
      <c r="L581" s="26"/>
      <c r="M581" s="26"/>
      <c r="N581" s="26"/>
      <c r="O581" s="26"/>
      <c r="P581" s="26"/>
      <c r="Q581" s="26"/>
      <c r="R581" s="26"/>
      <c r="S581" s="26"/>
    </row>
    <row r="582" spans="1:19" ht="15.75" customHeight="1" x14ac:dyDescent="0.25">
      <c r="A582" s="26"/>
      <c r="B582" s="26"/>
      <c r="C582" s="26"/>
      <c r="D582" s="26"/>
      <c r="E582" s="26"/>
      <c r="F582" s="26"/>
      <c r="G582" s="26"/>
      <c r="H582" s="26"/>
      <c r="I582" s="26"/>
      <c r="J582" s="26"/>
      <c r="K582" s="26"/>
      <c r="L582" s="26"/>
      <c r="M582" s="26"/>
      <c r="N582" s="26"/>
      <c r="O582" s="26"/>
      <c r="P582" s="26"/>
      <c r="Q582" s="26"/>
      <c r="R582" s="26"/>
      <c r="S582" s="26"/>
    </row>
    <row r="583" spans="1:19" ht="15.75" customHeight="1" x14ac:dyDescent="0.25">
      <c r="A583" s="26"/>
      <c r="B583" s="26"/>
      <c r="C583" s="26"/>
      <c r="D583" s="26"/>
      <c r="E583" s="26"/>
      <c r="F583" s="26"/>
      <c r="G583" s="26"/>
      <c r="H583" s="26"/>
      <c r="I583" s="26"/>
      <c r="J583" s="26"/>
      <c r="K583" s="26"/>
      <c r="L583" s="26"/>
      <c r="M583" s="26"/>
      <c r="N583" s="26"/>
      <c r="O583" s="26"/>
      <c r="P583" s="26"/>
      <c r="Q583" s="26"/>
      <c r="R583" s="26"/>
      <c r="S583" s="26"/>
    </row>
    <row r="584" spans="1:19" ht="15.75" customHeight="1" x14ac:dyDescent="0.25">
      <c r="A584" s="26"/>
      <c r="B584" s="26"/>
      <c r="C584" s="26"/>
      <c r="D584" s="26"/>
      <c r="E584" s="26"/>
      <c r="F584" s="26"/>
      <c r="G584" s="26"/>
      <c r="H584" s="26"/>
      <c r="I584" s="26"/>
      <c r="J584" s="26"/>
      <c r="K584" s="26"/>
      <c r="L584" s="26"/>
      <c r="M584" s="26"/>
      <c r="N584" s="26"/>
      <c r="O584" s="26"/>
      <c r="P584" s="26"/>
      <c r="Q584" s="26"/>
      <c r="R584" s="26"/>
      <c r="S584" s="26"/>
    </row>
    <row r="585" spans="1:19" ht="15.75" customHeight="1" x14ac:dyDescent="0.25">
      <c r="A585" s="26"/>
      <c r="B585" s="26"/>
      <c r="C585" s="26"/>
      <c r="D585" s="26"/>
      <c r="E585" s="26"/>
      <c r="F585" s="26"/>
      <c r="G585" s="26"/>
      <c r="H585" s="26"/>
      <c r="I585" s="26"/>
      <c r="J585" s="26"/>
      <c r="K585" s="26"/>
      <c r="L585" s="26"/>
      <c r="M585" s="26"/>
      <c r="N585" s="26"/>
      <c r="O585" s="26"/>
      <c r="P585" s="26"/>
      <c r="Q585" s="26"/>
      <c r="R585" s="26"/>
      <c r="S585" s="26"/>
    </row>
    <row r="586" spans="1:19" ht="15.75" customHeight="1" x14ac:dyDescent="0.25">
      <c r="A586" s="26"/>
      <c r="B586" s="26"/>
      <c r="C586" s="26"/>
      <c r="D586" s="26"/>
      <c r="E586" s="26"/>
      <c r="F586" s="26"/>
      <c r="G586" s="26"/>
      <c r="H586" s="26"/>
      <c r="I586" s="26"/>
      <c r="J586" s="26"/>
      <c r="K586" s="26"/>
      <c r="L586" s="26"/>
      <c r="M586" s="26"/>
      <c r="N586" s="26"/>
      <c r="O586" s="26"/>
      <c r="P586" s="26"/>
      <c r="Q586" s="26"/>
      <c r="R586" s="26"/>
      <c r="S586" s="26"/>
    </row>
    <row r="587" spans="1:19" ht="15.75" customHeight="1" x14ac:dyDescent="0.25">
      <c r="A587" s="26"/>
      <c r="B587" s="26"/>
      <c r="C587" s="26"/>
      <c r="D587" s="26"/>
      <c r="E587" s="26"/>
      <c r="F587" s="26"/>
      <c r="G587" s="26"/>
      <c r="H587" s="26"/>
      <c r="I587" s="26"/>
      <c r="J587" s="26"/>
      <c r="K587" s="26"/>
      <c r="L587" s="26"/>
      <c r="M587" s="26"/>
      <c r="N587" s="26"/>
      <c r="O587" s="26"/>
      <c r="P587" s="26"/>
      <c r="Q587" s="26"/>
      <c r="R587" s="26"/>
      <c r="S587" s="26"/>
    </row>
    <row r="588" spans="1:19" ht="15.75" customHeight="1" x14ac:dyDescent="0.25">
      <c r="A588" s="26"/>
      <c r="B588" s="26"/>
      <c r="C588" s="26"/>
      <c r="D588" s="26"/>
      <c r="E588" s="26"/>
      <c r="F588" s="26"/>
      <c r="G588" s="26"/>
      <c r="H588" s="26"/>
      <c r="I588" s="26"/>
      <c r="J588" s="26"/>
      <c r="K588" s="26"/>
      <c r="L588" s="26"/>
      <c r="M588" s="26"/>
      <c r="N588" s="26"/>
      <c r="O588" s="26"/>
      <c r="P588" s="26"/>
      <c r="Q588" s="26"/>
      <c r="R588" s="26"/>
      <c r="S588" s="26"/>
    </row>
    <row r="589" spans="1:19" ht="15.75" customHeight="1" x14ac:dyDescent="0.25">
      <c r="A589" s="26"/>
      <c r="B589" s="26"/>
      <c r="C589" s="26"/>
      <c r="D589" s="26"/>
      <c r="E589" s="26"/>
      <c r="F589" s="26"/>
      <c r="G589" s="26"/>
      <c r="H589" s="26"/>
      <c r="I589" s="26"/>
      <c r="J589" s="26"/>
      <c r="K589" s="26"/>
      <c r="L589" s="26"/>
      <c r="M589" s="26"/>
      <c r="N589" s="26"/>
      <c r="O589" s="26"/>
      <c r="P589" s="26"/>
      <c r="Q589" s="26"/>
      <c r="R589" s="26"/>
      <c r="S589" s="26"/>
    </row>
    <row r="590" spans="1:19" ht="15.75" customHeight="1" x14ac:dyDescent="0.25">
      <c r="A590" s="26"/>
      <c r="B590" s="26"/>
      <c r="C590" s="26"/>
      <c r="D590" s="26"/>
      <c r="E590" s="26"/>
      <c r="F590" s="26"/>
      <c r="G590" s="26"/>
      <c r="H590" s="26"/>
      <c r="I590" s="26"/>
      <c r="J590" s="26"/>
      <c r="K590" s="26"/>
      <c r="L590" s="26"/>
      <c r="M590" s="26"/>
      <c r="N590" s="26"/>
      <c r="O590" s="26"/>
      <c r="P590" s="26"/>
      <c r="Q590" s="26"/>
      <c r="R590" s="26"/>
      <c r="S590" s="26"/>
    </row>
    <row r="591" spans="1:19" ht="15.75" customHeight="1" x14ac:dyDescent="0.25">
      <c r="A591" s="26"/>
      <c r="B591" s="26"/>
      <c r="C591" s="26"/>
      <c r="D591" s="26"/>
      <c r="E591" s="26"/>
      <c r="F591" s="26"/>
      <c r="G591" s="26"/>
      <c r="H591" s="26"/>
      <c r="I591" s="26"/>
      <c r="J591" s="26"/>
      <c r="K591" s="26"/>
      <c r="L591" s="26"/>
      <c r="M591" s="26"/>
      <c r="N591" s="26"/>
      <c r="O591" s="26"/>
      <c r="P591" s="26"/>
      <c r="Q591" s="26"/>
      <c r="R591" s="26"/>
      <c r="S591" s="26"/>
    </row>
    <row r="592" spans="1:19" ht="15.75" customHeight="1" x14ac:dyDescent="0.25">
      <c r="A592" s="26"/>
      <c r="B592" s="26"/>
      <c r="C592" s="26"/>
      <c r="D592" s="26"/>
      <c r="E592" s="26"/>
      <c r="F592" s="26"/>
      <c r="G592" s="26"/>
      <c r="H592" s="26"/>
      <c r="I592" s="26"/>
      <c r="J592" s="26"/>
      <c r="K592" s="26"/>
      <c r="L592" s="26"/>
      <c r="M592" s="26"/>
      <c r="N592" s="26"/>
      <c r="O592" s="26"/>
      <c r="P592" s="26"/>
      <c r="Q592" s="26"/>
      <c r="R592" s="26"/>
      <c r="S592" s="26"/>
    </row>
    <row r="593" spans="1:19" ht="15.75" customHeight="1" x14ac:dyDescent="0.25">
      <c r="A593" s="26"/>
      <c r="B593" s="26"/>
      <c r="C593" s="26"/>
      <c r="D593" s="26"/>
      <c r="E593" s="26"/>
      <c r="F593" s="26"/>
      <c r="G593" s="26"/>
      <c r="H593" s="26"/>
      <c r="I593" s="26"/>
      <c r="J593" s="26"/>
      <c r="K593" s="26"/>
      <c r="L593" s="26"/>
      <c r="M593" s="26"/>
      <c r="N593" s="26"/>
      <c r="O593" s="26"/>
      <c r="P593" s="26"/>
      <c r="Q593" s="26"/>
      <c r="R593" s="26"/>
      <c r="S593" s="26"/>
    </row>
    <row r="594" spans="1:19" ht="15.75" customHeight="1" x14ac:dyDescent="0.25">
      <c r="A594" s="26"/>
      <c r="B594" s="26"/>
      <c r="C594" s="26"/>
      <c r="D594" s="26"/>
      <c r="E594" s="26"/>
      <c r="F594" s="26"/>
      <c r="G594" s="26"/>
      <c r="H594" s="26"/>
      <c r="I594" s="26"/>
      <c r="J594" s="26"/>
      <c r="K594" s="26"/>
      <c r="L594" s="26"/>
      <c r="M594" s="26"/>
      <c r="N594" s="26"/>
      <c r="O594" s="26"/>
      <c r="P594" s="26"/>
      <c r="Q594" s="26"/>
      <c r="R594" s="26"/>
      <c r="S594" s="26"/>
    </row>
    <row r="595" spans="1:19" ht="15.75" customHeight="1" x14ac:dyDescent="0.25">
      <c r="A595" s="26"/>
      <c r="B595" s="26"/>
      <c r="C595" s="26"/>
      <c r="D595" s="26"/>
      <c r="E595" s="26"/>
      <c r="F595" s="26"/>
      <c r="G595" s="26"/>
      <c r="H595" s="26"/>
      <c r="I595" s="26"/>
      <c r="J595" s="26"/>
      <c r="K595" s="26"/>
      <c r="L595" s="26"/>
      <c r="M595" s="26"/>
      <c r="N595" s="26"/>
      <c r="O595" s="26"/>
      <c r="P595" s="26"/>
      <c r="Q595" s="26"/>
      <c r="R595" s="26"/>
      <c r="S595" s="26"/>
    </row>
    <row r="596" spans="1:19" ht="15.75" customHeight="1" x14ac:dyDescent="0.25">
      <c r="A596" s="26"/>
      <c r="B596" s="26"/>
      <c r="C596" s="26"/>
      <c r="D596" s="26"/>
      <c r="E596" s="26"/>
      <c r="F596" s="26"/>
      <c r="G596" s="26"/>
      <c r="H596" s="26"/>
      <c r="I596" s="26"/>
      <c r="J596" s="26"/>
      <c r="K596" s="26"/>
      <c r="L596" s="26"/>
      <c r="M596" s="26"/>
      <c r="N596" s="26"/>
      <c r="O596" s="26"/>
      <c r="P596" s="26"/>
      <c r="Q596" s="26"/>
      <c r="R596" s="26"/>
      <c r="S596" s="26"/>
    </row>
    <row r="597" spans="1:19" ht="15.75" customHeight="1" x14ac:dyDescent="0.25">
      <c r="A597" s="26"/>
      <c r="B597" s="26"/>
      <c r="C597" s="26"/>
      <c r="D597" s="26"/>
      <c r="E597" s="26"/>
      <c r="F597" s="26"/>
      <c r="G597" s="26"/>
      <c r="H597" s="26"/>
      <c r="I597" s="26"/>
      <c r="J597" s="26"/>
      <c r="K597" s="26"/>
      <c r="L597" s="26"/>
      <c r="M597" s="26"/>
      <c r="N597" s="26"/>
      <c r="O597" s="26"/>
      <c r="P597" s="26"/>
      <c r="Q597" s="26"/>
      <c r="R597" s="26"/>
      <c r="S597" s="26"/>
    </row>
    <row r="598" spans="1:19" ht="15.75" customHeight="1" x14ac:dyDescent="0.25">
      <c r="A598" s="26"/>
      <c r="B598" s="26"/>
      <c r="C598" s="26"/>
      <c r="D598" s="26"/>
      <c r="E598" s="26"/>
      <c r="F598" s="26"/>
      <c r="G598" s="26"/>
      <c r="H598" s="26"/>
      <c r="I598" s="26"/>
      <c r="J598" s="26"/>
      <c r="K598" s="26"/>
      <c r="L598" s="26"/>
      <c r="M598" s="26"/>
      <c r="N598" s="26"/>
      <c r="O598" s="26"/>
      <c r="P598" s="26"/>
      <c r="Q598" s="26"/>
      <c r="R598" s="26"/>
      <c r="S598" s="26"/>
    </row>
    <row r="599" spans="1:19" ht="15.75" customHeight="1" x14ac:dyDescent="0.25">
      <c r="A599" s="26"/>
      <c r="B599" s="26"/>
      <c r="C599" s="26"/>
      <c r="D599" s="26"/>
      <c r="E599" s="26"/>
      <c r="F599" s="26"/>
      <c r="G599" s="26"/>
      <c r="H599" s="26"/>
      <c r="I599" s="26"/>
      <c r="J599" s="26"/>
      <c r="K599" s="26"/>
      <c r="L599" s="26"/>
      <c r="M599" s="26"/>
      <c r="N599" s="26"/>
      <c r="O599" s="26"/>
      <c r="P599" s="26"/>
      <c r="Q599" s="26"/>
      <c r="R599" s="26"/>
      <c r="S599" s="26"/>
    </row>
    <row r="600" spans="1:19" ht="15.75" customHeight="1" x14ac:dyDescent="0.25">
      <c r="A600" s="26"/>
      <c r="B600" s="26"/>
      <c r="C600" s="26"/>
      <c r="D600" s="26"/>
      <c r="E600" s="26"/>
      <c r="F600" s="26"/>
      <c r="G600" s="26"/>
      <c r="H600" s="26"/>
      <c r="I600" s="26"/>
      <c r="J600" s="26"/>
      <c r="K600" s="26"/>
      <c r="L600" s="26"/>
      <c r="M600" s="26"/>
      <c r="N600" s="26"/>
      <c r="O600" s="26"/>
      <c r="P600" s="26"/>
      <c r="Q600" s="26"/>
      <c r="R600" s="26"/>
      <c r="S600" s="26"/>
    </row>
    <row r="601" spans="1:19" ht="15.75" customHeight="1" x14ac:dyDescent="0.25">
      <c r="A601" s="26"/>
      <c r="B601" s="26"/>
      <c r="C601" s="26"/>
      <c r="D601" s="26"/>
      <c r="E601" s="26"/>
      <c r="F601" s="26"/>
      <c r="G601" s="26"/>
      <c r="H601" s="26"/>
      <c r="I601" s="26"/>
      <c r="J601" s="26"/>
      <c r="K601" s="26"/>
      <c r="L601" s="26"/>
      <c r="M601" s="26"/>
      <c r="N601" s="26"/>
      <c r="O601" s="26"/>
      <c r="P601" s="26"/>
      <c r="Q601" s="26"/>
      <c r="R601" s="26"/>
      <c r="S601" s="26"/>
    </row>
    <row r="602" spans="1:19" ht="15.75" customHeight="1" x14ac:dyDescent="0.25">
      <c r="A602" s="26"/>
      <c r="B602" s="26"/>
      <c r="C602" s="26"/>
      <c r="D602" s="26"/>
      <c r="E602" s="26"/>
      <c r="F602" s="26"/>
      <c r="G602" s="26"/>
      <c r="H602" s="26"/>
      <c r="I602" s="26"/>
      <c r="J602" s="26"/>
      <c r="K602" s="26"/>
      <c r="L602" s="26"/>
      <c r="M602" s="26"/>
      <c r="N602" s="26"/>
      <c r="O602" s="26"/>
      <c r="P602" s="26"/>
      <c r="Q602" s="26"/>
      <c r="R602" s="26"/>
      <c r="S602" s="26"/>
    </row>
    <row r="603" spans="1:19" ht="15.75" customHeight="1" x14ac:dyDescent="0.25">
      <c r="A603" s="26"/>
      <c r="B603" s="26"/>
      <c r="C603" s="26"/>
      <c r="D603" s="26"/>
      <c r="E603" s="26"/>
      <c r="F603" s="26"/>
      <c r="G603" s="26"/>
      <c r="H603" s="26"/>
      <c r="I603" s="26"/>
      <c r="J603" s="26"/>
      <c r="K603" s="26"/>
      <c r="L603" s="26"/>
      <c r="M603" s="26"/>
      <c r="N603" s="26"/>
      <c r="O603" s="26"/>
      <c r="P603" s="26"/>
      <c r="Q603" s="26"/>
      <c r="R603" s="26"/>
      <c r="S603" s="26"/>
    </row>
    <row r="604" spans="1:19" ht="15.75" customHeight="1" x14ac:dyDescent="0.25">
      <c r="A604" s="26"/>
      <c r="B604" s="26"/>
      <c r="C604" s="26"/>
      <c r="D604" s="26"/>
      <c r="E604" s="26"/>
      <c r="F604" s="26"/>
      <c r="G604" s="26"/>
      <c r="H604" s="26"/>
      <c r="I604" s="26"/>
      <c r="J604" s="26"/>
      <c r="K604" s="26"/>
      <c r="L604" s="26"/>
      <c r="M604" s="26"/>
      <c r="N604" s="26"/>
      <c r="O604" s="26"/>
      <c r="P604" s="26"/>
      <c r="Q604" s="26"/>
      <c r="R604" s="26"/>
      <c r="S604" s="26"/>
    </row>
    <row r="605" spans="1:19" ht="15.75" customHeight="1" x14ac:dyDescent="0.25">
      <c r="A605" s="26"/>
      <c r="B605" s="26"/>
      <c r="C605" s="26"/>
      <c r="D605" s="26"/>
      <c r="E605" s="26"/>
      <c r="F605" s="26"/>
      <c r="G605" s="26"/>
      <c r="H605" s="26"/>
      <c r="I605" s="26"/>
      <c r="J605" s="26"/>
      <c r="K605" s="26"/>
      <c r="L605" s="26"/>
      <c r="M605" s="26"/>
      <c r="N605" s="26"/>
      <c r="O605" s="26"/>
      <c r="P605" s="26"/>
      <c r="Q605" s="26"/>
      <c r="R605" s="26"/>
      <c r="S605" s="26"/>
    </row>
    <row r="606" spans="1:19" ht="15.75" customHeight="1" x14ac:dyDescent="0.25">
      <c r="A606" s="26"/>
      <c r="B606" s="26"/>
      <c r="C606" s="26"/>
      <c r="D606" s="26"/>
      <c r="E606" s="26"/>
      <c r="F606" s="26"/>
      <c r="G606" s="26"/>
      <c r="H606" s="26"/>
      <c r="I606" s="26"/>
      <c r="J606" s="26"/>
      <c r="K606" s="26"/>
      <c r="L606" s="26"/>
      <c r="M606" s="26"/>
      <c r="N606" s="26"/>
      <c r="O606" s="26"/>
      <c r="P606" s="26"/>
      <c r="Q606" s="26"/>
      <c r="R606" s="26"/>
      <c r="S606" s="26"/>
    </row>
    <row r="607" spans="1:19" ht="15.75" customHeight="1" x14ac:dyDescent="0.25">
      <c r="A607" s="26"/>
      <c r="B607" s="26"/>
      <c r="C607" s="26"/>
      <c r="D607" s="26"/>
      <c r="E607" s="26"/>
      <c r="F607" s="26"/>
      <c r="G607" s="26"/>
      <c r="H607" s="26"/>
      <c r="I607" s="26"/>
      <c r="J607" s="26"/>
      <c r="K607" s="26"/>
      <c r="L607" s="26"/>
      <c r="M607" s="26"/>
      <c r="N607" s="26"/>
      <c r="O607" s="26"/>
      <c r="P607" s="26"/>
      <c r="Q607" s="26"/>
      <c r="R607" s="26"/>
      <c r="S607" s="26"/>
    </row>
    <row r="608" spans="1:19" ht="15.75" customHeight="1" x14ac:dyDescent="0.25">
      <c r="A608" s="26"/>
      <c r="B608" s="26"/>
      <c r="C608" s="26"/>
      <c r="D608" s="26"/>
      <c r="E608" s="26"/>
      <c r="F608" s="26"/>
      <c r="G608" s="26"/>
      <c r="H608" s="26"/>
      <c r="I608" s="26"/>
      <c r="J608" s="26"/>
      <c r="K608" s="26"/>
      <c r="L608" s="26"/>
      <c r="M608" s="26"/>
      <c r="N608" s="26"/>
      <c r="O608" s="26"/>
      <c r="P608" s="26"/>
      <c r="Q608" s="26"/>
      <c r="R608" s="26"/>
      <c r="S608" s="26"/>
    </row>
    <row r="609" spans="1:19" ht="15.75" customHeight="1" x14ac:dyDescent="0.25">
      <c r="A609" s="26"/>
      <c r="B609" s="26"/>
      <c r="C609" s="26"/>
      <c r="D609" s="26"/>
      <c r="E609" s="26"/>
      <c r="F609" s="26"/>
      <c r="G609" s="26"/>
      <c r="H609" s="26"/>
      <c r="I609" s="26"/>
      <c r="J609" s="26"/>
      <c r="K609" s="26"/>
      <c r="L609" s="26"/>
      <c r="M609" s="26"/>
      <c r="N609" s="26"/>
      <c r="O609" s="26"/>
      <c r="P609" s="26"/>
      <c r="Q609" s="26"/>
      <c r="R609" s="26"/>
      <c r="S609" s="26"/>
    </row>
    <row r="610" spans="1:19" ht="15.75" customHeight="1" x14ac:dyDescent="0.25">
      <c r="A610" s="26"/>
      <c r="B610" s="26"/>
      <c r="C610" s="26"/>
      <c r="D610" s="26"/>
      <c r="E610" s="26"/>
      <c r="F610" s="26"/>
      <c r="G610" s="26"/>
      <c r="H610" s="26"/>
      <c r="I610" s="26"/>
      <c r="J610" s="26"/>
      <c r="K610" s="26"/>
      <c r="L610" s="26"/>
      <c r="M610" s="26"/>
      <c r="N610" s="26"/>
      <c r="O610" s="26"/>
      <c r="P610" s="26"/>
      <c r="Q610" s="26"/>
      <c r="R610" s="26"/>
      <c r="S610" s="26"/>
    </row>
    <row r="611" spans="1:19" ht="15.75" customHeight="1" x14ac:dyDescent="0.25">
      <c r="A611" s="26"/>
      <c r="B611" s="26"/>
      <c r="C611" s="26"/>
      <c r="D611" s="26"/>
      <c r="E611" s="26"/>
      <c r="F611" s="26"/>
      <c r="G611" s="26"/>
      <c r="H611" s="26"/>
      <c r="I611" s="26"/>
      <c r="J611" s="26"/>
      <c r="K611" s="26"/>
      <c r="L611" s="26"/>
      <c r="M611" s="26"/>
      <c r="N611" s="26"/>
      <c r="O611" s="26"/>
      <c r="P611" s="26"/>
      <c r="Q611" s="26"/>
      <c r="R611" s="26"/>
      <c r="S611" s="26"/>
    </row>
    <row r="612" spans="1:19" ht="15.75" customHeight="1" x14ac:dyDescent="0.25">
      <c r="A612" s="26"/>
      <c r="B612" s="26"/>
      <c r="C612" s="26"/>
      <c r="D612" s="26"/>
      <c r="E612" s="26"/>
      <c r="F612" s="26"/>
      <c r="G612" s="26"/>
      <c r="H612" s="26"/>
      <c r="I612" s="26"/>
      <c r="J612" s="26"/>
      <c r="K612" s="26"/>
      <c r="L612" s="26"/>
      <c r="M612" s="26"/>
      <c r="N612" s="26"/>
      <c r="O612" s="26"/>
      <c r="P612" s="26"/>
      <c r="Q612" s="26"/>
      <c r="R612" s="26"/>
      <c r="S612" s="26"/>
    </row>
    <row r="613" spans="1:19" ht="15.75" customHeight="1" x14ac:dyDescent="0.25">
      <c r="A613" s="26"/>
      <c r="B613" s="26"/>
      <c r="C613" s="26"/>
      <c r="D613" s="26"/>
      <c r="E613" s="26"/>
      <c r="F613" s="26"/>
      <c r="G613" s="26"/>
      <c r="H613" s="26"/>
      <c r="I613" s="26"/>
      <c r="J613" s="26"/>
      <c r="K613" s="26"/>
      <c r="L613" s="26"/>
      <c r="M613" s="26"/>
      <c r="N613" s="26"/>
      <c r="O613" s="26"/>
      <c r="P613" s="26"/>
      <c r="Q613" s="26"/>
      <c r="R613" s="26"/>
      <c r="S613" s="26"/>
    </row>
    <row r="614" spans="1:19" ht="15.75" customHeight="1" x14ac:dyDescent="0.25">
      <c r="A614" s="26"/>
      <c r="B614" s="26"/>
      <c r="C614" s="26"/>
      <c r="D614" s="26"/>
      <c r="E614" s="26"/>
      <c r="F614" s="26"/>
      <c r="G614" s="26"/>
      <c r="H614" s="26"/>
      <c r="I614" s="26"/>
      <c r="J614" s="26"/>
      <c r="K614" s="26"/>
      <c r="L614" s="26"/>
      <c r="M614" s="26"/>
      <c r="N614" s="26"/>
      <c r="O614" s="26"/>
      <c r="P614" s="26"/>
      <c r="Q614" s="26"/>
      <c r="R614" s="26"/>
      <c r="S614" s="26"/>
    </row>
    <row r="615" spans="1:19" ht="15.75" customHeight="1" x14ac:dyDescent="0.25">
      <c r="A615" s="26"/>
      <c r="B615" s="26"/>
      <c r="C615" s="26"/>
      <c r="D615" s="26"/>
      <c r="E615" s="26"/>
      <c r="F615" s="26"/>
      <c r="G615" s="26"/>
      <c r="H615" s="26"/>
      <c r="I615" s="26"/>
      <c r="J615" s="26"/>
      <c r="K615" s="26"/>
      <c r="L615" s="26"/>
      <c r="M615" s="26"/>
      <c r="N615" s="26"/>
      <c r="O615" s="26"/>
      <c r="P615" s="26"/>
      <c r="Q615" s="26"/>
      <c r="R615" s="26"/>
      <c r="S615" s="26"/>
    </row>
    <row r="616" spans="1:19" ht="15.75" customHeight="1" x14ac:dyDescent="0.25">
      <c r="A616" s="26"/>
      <c r="B616" s="26"/>
      <c r="C616" s="26"/>
      <c r="D616" s="26"/>
      <c r="E616" s="26"/>
      <c r="F616" s="26"/>
      <c r="G616" s="26"/>
      <c r="H616" s="26"/>
      <c r="I616" s="26"/>
      <c r="J616" s="26"/>
      <c r="K616" s="26"/>
      <c r="L616" s="26"/>
      <c r="M616" s="26"/>
      <c r="N616" s="26"/>
      <c r="O616" s="26"/>
      <c r="P616" s="26"/>
      <c r="Q616" s="26"/>
      <c r="R616" s="26"/>
      <c r="S616" s="26"/>
    </row>
    <row r="617" spans="1:19" ht="15.75" customHeight="1" x14ac:dyDescent="0.25">
      <c r="A617" s="26"/>
      <c r="B617" s="26"/>
      <c r="C617" s="26"/>
      <c r="D617" s="26"/>
      <c r="E617" s="26"/>
      <c r="F617" s="26"/>
      <c r="G617" s="26"/>
      <c r="H617" s="26"/>
      <c r="I617" s="26"/>
      <c r="J617" s="26"/>
      <c r="K617" s="26"/>
      <c r="L617" s="26"/>
      <c r="M617" s="26"/>
      <c r="N617" s="26"/>
      <c r="O617" s="26"/>
      <c r="P617" s="26"/>
      <c r="Q617" s="26"/>
      <c r="R617" s="26"/>
      <c r="S617" s="26"/>
    </row>
    <row r="618" spans="1:19" ht="15.75" customHeight="1" x14ac:dyDescent="0.25">
      <c r="A618" s="26"/>
      <c r="B618" s="26"/>
      <c r="C618" s="26"/>
      <c r="D618" s="26"/>
      <c r="E618" s="26"/>
      <c r="F618" s="26"/>
      <c r="G618" s="26"/>
      <c r="H618" s="26"/>
      <c r="I618" s="26"/>
      <c r="J618" s="26"/>
      <c r="K618" s="26"/>
      <c r="L618" s="26"/>
      <c r="M618" s="26"/>
      <c r="N618" s="26"/>
      <c r="O618" s="26"/>
      <c r="P618" s="26"/>
      <c r="Q618" s="26"/>
      <c r="R618" s="26"/>
      <c r="S618" s="26"/>
    </row>
    <row r="619" spans="1:19" ht="15.75" customHeight="1" x14ac:dyDescent="0.25">
      <c r="A619" s="26"/>
      <c r="B619" s="26"/>
      <c r="C619" s="26"/>
      <c r="D619" s="26"/>
      <c r="E619" s="26"/>
      <c r="F619" s="26"/>
      <c r="G619" s="26"/>
      <c r="H619" s="26"/>
      <c r="I619" s="26"/>
      <c r="J619" s="26"/>
      <c r="K619" s="26"/>
      <c r="L619" s="26"/>
      <c r="M619" s="26"/>
      <c r="N619" s="26"/>
      <c r="O619" s="26"/>
      <c r="P619" s="26"/>
      <c r="Q619" s="26"/>
      <c r="R619" s="26"/>
      <c r="S619" s="26"/>
    </row>
    <row r="620" spans="1:19" ht="15.75" customHeight="1" x14ac:dyDescent="0.25">
      <c r="A620" s="26"/>
      <c r="B620" s="26"/>
      <c r="C620" s="26"/>
      <c r="D620" s="26"/>
      <c r="E620" s="26"/>
      <c r="F620" s="26"/>
      <c r="G620" s="26"/>
      <c r="H620" s="26"/>
      <c r="I620" s="26"/>
      <c r="J620" s="26"/>
      <c r="K620" s="26"/>
      <c r="L620" s="26"/>
      <c r="M620" s="26"/>
      <c r="N620" s="26"/>
      <c r="O620" s="26"/>
      <c r="P620" s="26"/>
      <c r="Q620" s="26"/>
      <c r="R620" s="26"/>
      <c r="S620" s="26"/>
    </row>
    <row r="621" spans="1:19" ht="15.75" customHeight="1" x14ac:dyDescent="0.25">
      <c r="A621" s="26"/>
      <c r="B621" s="26"/>
      <c r="C621" s="26"/>
      <c r="D621" s="26"/>
      <c r="E621" s="26"/>
      <c r="F621" s="26"/>
      <c r="G621" s="26"/>
      <c r="H621" s="26"/>
      <c r="I621" s="26"/>
      <c r="J621" s="26"/>
      <c r="K621" s="26"/>
      <c r="L621" s="26"/>
      <c r="M621" s="26"/>
      <c r="N621" s="26"/>
      <c r="O621" s="26"/>
      <c r="P621" s="26"/>
      <c r="Q621" s="26"/>
      <c r="R621" s="26"/>
      <c r="S621" s="26"/>
    </row>
    <row r="622" spans="1:19" ht="15.75" customHeight="1" x14ac:dyDescent="0.25">
      <c r="A622" s="26"/>
      <c r="B622" s="26"/>
      <c r="C622" s="26"/>
      <c r="D622" s="26"/>
      <c r="E622" s="26"/>
      <c r="F622" s="26"/>
      <c r="G622" s="26"/>
      <c r="H622" s="26"/>
      <c r="I622" s="26"/>
      <c r="J622" s="26"/>
      <c r="K622" s="26"/>
      <c r="L622" s="26"/>
      <c r="M622" s="26"/>
      <c r="N622" s="26"/>
      <c r="O622" s="26"/>
      <c r="P622" s="26"/>
      <c r="Q622" s="26"/>
      <c r="R622" s="26"/>
      <c r="S622" s="26"/>
    </row>
    <row r="623" spans="1:19" ht="15.75" customHeight="1" x14ac:dyDescent="0.25">
      <c r="A623" s="26"/>
      <c r="B623" s="26"/>
      <c r="C623" s="26"/>
      <c r="D623" s="26"/>
      <c r="E623" s="26"/>
      <c r="F623" s="26"/>
      <c r="G623" s="26"/>
      <c r="H623" s="26"/>
      <c r="I623" s="26"/>
      <c r="J623" s="26"/>
      <c r="K623" s="26"/>
      <c r="L623" s="26"/>
      <c r="M623" s="26"/>
      <c r="N623" s="26"/>
      <c r="O623" s="26"/>
      <c r="P623" s="26"/>
      <c r="Q623" s="26"/>
      <c r="R623" s="26"/>
      <c r="S623" s="26"/>
    </row>
    <row r="624" spans="1:19" ht="15.75" customHeight="1" x14ac:dyDescent="0.25">
      <c r="A624" s="26"/>
      <c r="B624" s="26"/>
      <c r="C624" s="26"/>
      <c r="D624" s="26"/>
      <c r="E624" s="26"/>
      <c r="F624" s="26"/>
      <c r="G624" s="26"/>
      <c r="H624" s="26"/>
      <c r="I624" s="26"/>
      <c r="J624" s="26"/>
      <c r="K624" s="26"/>
      <c r="L624" s="26"/>
      <c r="M624" s="26"/>
      <c r="N624" s="26"/>
      <c r="O624" s="26"/>
      <c r="P624" s="26"/>
      <c r="Q624" s="26"/>
      <c r="R624" s="26"/>
      <c r="S624" s="26"/>
    </row>
    <row r="625" spans="1:19" ht="15.75" customHeight="1" x14ac:dyDescent="0.25">
      <c r="A625" s="26"/>
      <c r="B625" s="26"/>
      <c r="C625" s="26"/>
      <c r="D625" s="26"/>
      <c r="E625" s="26"/>
      <c r="F625" s="26"/>
      <c r="G625" s="26"/>
      <c r="H625" s="26"/>
      <c r="I625" s="26"/>
      <c r="J625" s="26"/>
      <c r="K625" s="26"/>
      <c r="L625" s="26"/>
      <c r="M625" s="26"/>
      <c r="N625" s="26"/>
      <c r="O625" s="26"/>
      <c r="P625" s="26"/>
      <c r="Q625" s="26"/>
      <c r="R625" s="26"/>
      <c r="S625" s="26"/>
    </row>
    <row r="626" spans="1:19" ht="15.75" customHeight="1" x14ac:dyDescent="0.25">
      <c r="A626" s="26"/>
      <c r="B626" s="26"/>
      <c r="C626" s="26"/>
      <c r="D626" s="26"/>
      <c r="E626" s="26"/>
      <c r="F626" s="26"/>
      <c r="G626" s="26"/>
      <c r="H626" s="26"/>
      <c r="I626" s="26"/>
      <c r="J626" s="26"/>
      <c r="K626" s="26"/>
      <c r="L626" s="26"/>
      <c r="M626" s="26"/>
      <c r="N626" s="26"/>
      <c r="O626" s="26"/>
      <c r="P626" s="26"/>
      <c r="Q626" s="26"/>
      <c r="R626" s="26"/>
      <c r="S626" s="26"/>
    </row>
    <row r="627" spans="1:19" ht="15.75" customHeight="1" x14ac:dyDescent="0.25">
      <c r="A627" s="26"/>
      <c r="B627" s="26"/>
      <c r="C627" s="26"/>
      <c r="D627" s="26"/>
      <c r="E627" s="26"/>
      <c r="F627" s="26"/>
      <c r="G627" s="26"/>
      <c r="H627" s="26"/>
      <c r="I627" s="26"/>
      <c r="J627" s="26"/>
      <c r="K627" s="26"/>
      <c r="L627" s="26"/>
      <c r="M627" s="26"/>
      <c r="N627" s="26"/>
      <c r="O627" s="26"/>
      <c r="P627" s="26"/>
      <c r="Q627" s="26"/>
      <c r="R627" s="26"/>
      <c r="S627" s="26"/>
    </row>
    <row r="628" spans="1:19" ht="15.75" customHeight="1" x14ac:dyDescent="0.25">
      <c r="A628" s="26"/>
      <c r="B628" s="26"/>
      <c r="C628" s="26"/>
      <c r="D628" s="26"/>
      <c r="E628" s="26"/>
      <c r="F628" s="26"/>
      <c r="G628" s="26"/>
      <c r="H628" s="26"/>
      <c r="I628" s="26"/>
      <c r="J628" s="26"/>
      <c r="K628" s="26"/>
      <c r="L628" s="26"/>
      <c r="M628" s="26"/>
      <c r="N628" s="26"/>
      <c r="O628" s="26"/>
      <c r="P628" s="26"/>
      <c r="Q628" s="26"/>
      <c r="R628" s="26"/>
      <c r="S628" s="26"/>
    </row>
    <row r="629" spans="1:19" ht="15.75" customHeight="1" x14ac:dyDescent="0.25">
      <c r="A629" s="26"/>
      <c r="B629" s="26"/>
      <c r="C629" s="26"/>
      <c r="D629" s="26"/>
      <c r="E629" s="26"/>
      <c r="F629" s="26"/>
      <c r="G629" s="26"/>
      <c r="H629" s="26"/>
      <c r="I629" s="26"/>
      <c r="J629" s="26"/>
      <c r="K629" s="26"/>
      <c r="L629" s="26"/>
      <c r="M629" s="26"/>
      <c r="N629" s="26"/>
      <c r="O629" s="26"/>
      <c r="P629" s="26"/>
      <c r="Q629" s="26"/>
      <c r="R629" s="26"/>
      <c r="S629" s="26"/>
    </row>
    <row r="630" spans="1:19" ht="15.75" customHeight="1" x14ac:dyDescent="0.25">
      <c r="A630" s="26"/>
      <c r="B630" s="26"/>
      <c r="C630" s="26"/>
      <c r="D630" s="26"/>
      <c r="E630" s="26"/>
      <c r="F630" s="26"/>
      <c r="G630" s="26"/>
      <c r="H630" s="26"/>
      <c r="I630" s="26"/>
      <c r="J630" s="26"/>
      <c r="K630" s="26"/>
      <c r="L630" s="26"/>
      <c r="M630" s="26"/>
      <c r="N630" s="26"/>
      <c r="O630" s="26"/>
      <c r="P630" s="26"/>
      <c r="Q630" s="26"/>
      <c r="R630" s="26"/>
      <c r="S630" s="26"/>
    </row>
    <row r="631" spans="1:19" ht="15.75" customHeight="1" x14ac:dyDescent="0.25">
      <c r="A631" s="26"/>
      <c r="B631" s="26"/>
      <c r="C631" s="26"/>
      <c r="D631" s="26"/>
      <c r="E631" s="26"/>
      <c r="F631" s="26"/>
      <c r="G631" s="26"/>
      <c r="H631" s="26"/>
      <c r="I631" s="26"/>
      <c r="J631" s="26"/>
      <c r="K631" s="26"/>
      <c r="L631" s="26"/>
      <c r="M631" s="26"/>
      <c r="N631" s="26"/>
      <c r="O631" s="26"/>
      <c r="P631" s="26"/>
      <c r="Q631" s="26"/>
      <c r="R631" s="26"/>
      <c r="S631" s="26"/>
    </row>
    <row r="632" spans="1:19" ht="15.75" customHeight="1" x14ac:dyDescent="0.25">
      <c r="A632" s="26"/>
      <c r="B632" s="26"/>
      <c r="C632" s="26"/>
      <c r="D632" s="26"/>
      <c r="E632" s="26"/>
      <c r="F632" s="26"/>
      <c r="G632" s="26"/>
      <c r="H632" s="26"/>
      <c r="I632" s="26"/>
      <c r="J632" s="26"/>
      <c r="K632" s="26"/>
      <c r="L632" s="26"/>
      <c r="M632" s="26"/>
      <c r="N632" s="26"/>
      <c r="O632" s="26"/>
      <c r="P632" s="26"/>
      <c r="Q632" s="26"/>
      <c r="R632" s="26"/>
      <c r="S632" s="26"/>
    </row>
    <row r="633" spans="1:19" ht="15.75" customHeight="1" x14ac:dyDescent="0.25">
      <c r="A633" s="26"/>
      <c r="B633" s="26"/>
      <c r="C633" s="26"/>
      <c r="D633" s="26"/>
      <c r="E633" s="26"/>
      <c r="F633" s="26"/>
      <c r="G633" s="26"/>
      <c r="H633" s="26"/>
      <c r="I633" s="26"/>
      <c r="J633" s="26"/>
      <c r="K633" s="26"/>
      <c r="L633" s="26"/>
      <c r="M633" s="26"/>
      <c r="N633" s="26"/>
      <c r="O633" s="26"/>
      <c r="P633" s="26"/>
      <c r="Q633" s="26"/>
      <c r="R633" s="26"/>
      <c r="S633" s="26"/>
    </row>
    <row r="634" spans="1:19" ht="15.75" customHeight="1" x14ac:dyDescent="0.25">
      <c r="A634" s="26"/>
      <c r="B634" s="26"/>
      <c r="C634" s="26"/>
      <c r="D634" s="26"/>
      <c r="E634" s="26"/>
      <c r="F634" s="26"/>
      <c r="G634" s="26"/>
      <c r="H634" s="26"/>
      <c r="I634" s="26"/>
      <c r="J634" s="26"/>
      <c r="K634" s="26"/>
      <c r="L634" s="26"/>
      <c r="M634" s="26"/>
      <c r="N634" s="26"/>
      <c r="O634" s="26"/>
      <c r="P634" s="26"/>
      <c r="Q634" s="26"/>
      <c r="R634" s="26"/>
      <c r="S634" s="26"/>
    </row>
    <row r="635" spans="1:19" ht="15.75" customHeight="1" x14ac:dyDescent="0.25">
      <c r="A635" s="26"/>
      <c r="B635" s="26"/>
      <c r="C635" s="26"/>
      <c r="D635" s="26"/>
      <c r="E635" s="26"/>
      <c r="F635" s="26"/>
      <c r="G635" s="26"/>
      <c r="H635" s="26"/>
      <c r="I635" s="26"/>
      <c r="J635" s="26"/>
      <c r="K635" s="26"/>
      <c r="L635" s="26"/>
      <c r="M635" s="26"/>
      <c r="N635" s="26"/>
      <c r="O635" s="26"/>
      <c r="P635" s="26"/>
      <c r="Q635" s="26"/>
      <c r="R635" s="26"/>
      <c r="S635" s="26"/>
    </row>
    <row r="636" spans="1:19" ht="15.75" customHeight="1" x14ac:dyDescent="0.25">
      <c r="A636" s="26"/>
      <c r="B636" s="26"/>
      <c r="C636" s="26"/>
      <c r="D636" s="26"/>
      <c r="E636" s="26"/>
      <c r="F636" s="26"/>
      <c r="G636" s="26"/>
      <c r="H636" s="26"/>
      <c r="I636" s="26"/>
      <c r="J636" s="26"/>
      <c r="K636" s="26"/>
      <c r="L636" s="26"/>
      <c r="M636" s="26"/>
      <c r="N636" s="26"/>
      <c r="O636" s="26"/>
      <c r="P636" s="26"/>
      <c r="Q636" s="26"/>
      <c r="R636" s="26"/>
      <c r="S636" s="26"/>
    </row>
    <row r="637" spans="1:19" ht="15.75" customHeight="1" x14ac:dyDescent="0.25">
      <c r="A637" s="26"/>
      <c r="B637" s="26"/>
      <c r="C637" s="26"/>
      <c r="D637" s="26"/>
      <c r="E637" s="26"/>
      <c r="F637" s="26"/>
      <c r="G637" s="26"/>
      <c r="H637" s="26"/>
      <c r="I637" s="26"/>
      <c r="J637" s="26"/>
      <c r="K637" s="26"/>
      <c r="L637" s="26"/>
      <c r="M637" s="26"/>
      <c r="N637" s="26"/>
      <c r="O637" s="26"/>
      <c r="P637" s="26"/>
      <c r="Q637" s="26"/>
      <c r="R637" s="26"/>
      <c r="S637" s="26"/>
    </row>
    <row r="638" spans="1:19" ht="15.75" customHeight="1" x14ac:dyDescent="0.25">
      <c r="A638" s="26"/>
      <c r="B638" s="26"/>
      <c r="C638" s="26"/>
      <c r="D638" s="26"/>
      <c r="E638" s="26"/>
      <c r="F638" s="26"/>
      <c r="G638" s="26"/>
      <c r="H638" s="26"/>
      <c r="I638" s="26"/>
      <c r="J638" s="26"/>
      <c r="K638" s="26"/>
      <c r="L638" s="26"/>
      <c r="M638" s="26"/>
      <c r="N638" s="26"/>
      <c r="O638" s="26"/>
      <c r="P638" s="26"/>
      <c r="Q638" s="26"/>
      <c r="R638" s="26"/>
      <c r="S638" s="26"/>
    </row>
    <row r="639" spans="1:19" ht="15.75" customHeight="1" x14ac:dyDescent="0.25">
      <c r="A639" s="26"/>
      <c r="B639" s="26"/>
      <c r="C639" s="26"/>
      <c r="D639" s="26"/>
      <c r="E639" s="26"/>
      <c r="F639" s="26"/>
      <c r="G639" s="26"/>
      <c r="H639" s="26"/>
      <c r="I639" s="26"/>
      <c r="J639" s="26"/>
      <c r="K639" s="26"/>
      <c r="L639" s="26"/>
      <c r="M639" s="26"/>
      <c r="N639" s="26"/>
      <c r="O639" s="26"/>
      <c r="P639" s="26"/>
      <c r="Q639" s="26"/>
      <c r="R639" s="26"/>
      <c r="S639" s="26"/>
    </row>
    <row r="640" spans="1:19" ht="15.75" customHeight="1" x14ac:dyDescent="0.25">
      <c r="A640" s="26"/>
      <c r="B640" s="26"/>
      <c r="C640" s="26"/>
      <c r="D640" s="26"/>
      <c r="E640" s="26"/>
      <c r="F640" s="26"/>
      <c r="G640" s="26"/>
      <c r="H640" s="26"/>
      <c r="I640" s="26"/>
      <c r="J640" s="26"/>
      <c r="K640" s="26"/>
      <c r="L640" s="26"/>
      <c r="M640" s="26"/>
      <c r="N640" s="26"/>
      <c r="O640" s="26"/>
      <c r="P640" s="26"/>
      <c r="Q640" s="26"/>
      <c r="R640" s="26"/>
      <c r="S640" s="26"/>
    </row>
    <row r="641" spans="1:19" ht="15.75" customHeight="1" x14ac:dyDescent="0.25">
      <c r="A641" s="26"/>
      <c r="B641" s="26"/>
      <c r="C641" s="26"/>
      <c r="D641" s="26"/>
      <c r="E641" s="26"/>
      <c r="F641" s="26"/>
      <c r="G641" s="26"/>
      <c r="H641" s="26"/>
      <c r="I641" s="26"/>
      <c r="J641" s="26"/>
      <c r="K641" s="26"/>
      <c r="L641" s="26"/>
      <c r="M641" s="26"/>
      <c r="N641" s="26"/>
      <c r="O641" s="26"/>
      <c r="P641" s="26"/>
      <c r="Q641" s="26"/>
      <c r="R641" s="26"/>
      <c r="S641" s="26"/>
    </row>
    <row r="642" spans="1:19" ht="15.75" customHeight="1" x14ac:dyDescent="0.25">
      <c r="A642" s="26"/>
      <c r="B642" s="26"/>
      <c r="C642" s="26"/>
      <c r="D642" s="26"/>
      <c r="E642" s="26"/>
      <c r="F642" s="26"/>
      <c r="G642" s="26"/>
      <c r="H642" s="26"/>
      <c r="I642" s="26"/>
      <c r="J642" s="26"/>
      <c r="K642" s="26"/>
      <c r="L642" s="26"/>
      <c r="M642" s="26"/>
      <c r="N642" s="26"/>
      <c r="O642" s="26"/>
      <c r="P642" s="26"/>
      <c r="Q642" s="26"/>
      <c r="R642" s="26"/>
      <c r="S642" s="26"/>
    </row>
    <row r="643" spans="1:19" ht="15.75" customHeight="1" x14ac:dyDescent="0.25">
      <c r="A643" s="26"/>
      <c r="B643" s="26"/>
      <c r="C643" s="26"/>
      <c r="D643" s="26"/>
      <c r="E643" s="26"/>
      <c r="F643" s="26"/>
      <c r="G643" s="26"/>
      <c r="H643" s="26"/>
      <c r="I643" s="26"/>
      <c r="J643" s="26"/>
      <c r="K643" s="26"/>
      <c r="L643" s="26"/>
      <c r="M643" s="26"/>
      <c r="N643" s="26"/>
      <c r="O643" s="26"/>
      <c r="P643" s="26"/>
      <c r="Q643" s="26"/>
      <c r="R643" s="26"/>
      <c r="S643" s="26"/>
    </row>
    <row r="644" spans="1:19" ht="15.75" customHeight="1" x14ac:dyDescent="0.25">
      <c r="A644" s="26"/>
      <c r="B644" s="26"/>
      <c r="C644" s="26"/>
      <c r="D644" s="26"/>
      <c r="E644" s="26"/>
      <c r="F644" s="26"/>
      <c r="G644" s="26"/>
      <c r="H644" s="26"/>
      <c r="I644" s="26"/>
      <c r="J644" s="26"/>
      <c r="K644" s="26"/>
      <c r="L644" s="26"/>
      <c r="M644" s="26"/>
      <c r="N644" s="26"/>
      <c r="O644" s="26"/>
      <c r="P644" s="26"/>
      <c r="Q644" s="26"/>
      <c r="R644" s="26"/>
      <c r="S644" s="26"/>
    </row>
    <row r="645" spans="1:19" ht="15.75" customHeight="1" x14ac:dyDescent="0.25">
      <c r="A645" s="26"/>
      <c r="B645" s="26"/>
      <c r="C645" s="26"/>
      <c r="D645" s="26"/>
      <c r="E645" s="26"/>
      <c r="F645" s="26"/>
      <c r="G645" s="26"/>
      <c r="H645" s="26"/>
      <c r="I645" s="26"/>
      <c r="J645" s="26"/>
      <c r="K645" s="26"/>
      <c r="L645" s="26"/>
      <c r="M645" s="26"/>
      <c r="N645" s="26"/>
      <c r="O645" s="26"/>
      <c r="P645" s="26"/>
      <c r="Q645" s="26"/>
      <c r="R645" s="26"/>
      <c r="S645" s="26"/>
    </row>
    <row r="646" spans="1:19" ht="15.75" customHeight="1" x14ac:dyDescent="0.25">
      <c r="A646" s="26"/>
      <c r="B646" s="26"/>
      <c r="C646" s="26"/>
      <c r="D646" s="26"/>
      <c r="E646" s="26"/>
      <c r="F646" s="26"/>
      <c r="G646" s="26"/>
      <c r="H646" s="26"/>
      <c r="I646" s="26"/>
      <c r="J646" s="26"/>
      <c r="K646" s="26"/>
      <c r="L646" s="26"/>
      <c r="M646" s="26"/>
      <c r="N646" s="26"/>
      <c r="O646" s="26"/>
      <c r="P646" s="26"/>
      <c r="Q646" s="26"/>
      <c r="R646" s="26"/>
      <c r="S646" s="26"/>
    </row>
    <row r="647" spans="1:19" ht="15.75" customHeight="1" x14ac:dyDescent="0.25">
      <c r="A647" s="26"/>
      <c r="B647" s="26"/>
      <c r="C647" s="26"/>
      <c r="D647" s="26"/>
      <c r="E647" s="26"/>
      <c r="F647" s="26"/>
      <c r="G647" s="26"/>
      <c r="H647" s="26"/>
      <c r="I647" s="26"/>
      <c r="J647" s="26"/>
      <c r="K647" s="26"/>
      <c r="L647" s="26"/>
      <c r="M647" s="26"/>
      <c r="N647" s="26"/>
      <c r="O647" s="26"/>
      <c r="P647" s="26"/>
      <c r="Q647" s="26"/>
      <c r="R647" s="26"/>
      <c r="S647" s="26"/>
    </row>
    <row r="648" spans="1:19" ht="15.75" customHeight="1" x14ac:dyDescent="0.25">
      <c r="A648" s="26"/>
      <c r="B648" s="26"/>
      <c r="C648" s="26"/>
      <c r="D648" s="26"/>
      <c r="E648" s="26"/>
      <c r="F648" s="26"/>
      <c r="G648" s="26"/>
      <c r="H648" s="26"/>
      <c r="I648" s="26"/>
      <c r="J648" s="26"/>
      <c r="K648" s="26"/>
      <c r="L648" s="26"/>
      <c r="M648" s="26"/>
      <c r="N648" s="26"/>
      <c r="O648" s="26"/>
      <c r="P648" s="26"/>
      <c r="Q648" s="26"/>
      <c r="R648" s="26"/>
      <c r="S648" s="26"/>
    </row>
    <row r="649" spans="1:19" ht="15.75" customHeight="1" x14ac:dyDescent="0.25">
      <c r="A649" s="26"/>
      <c r="B649" s="26"/>
      <c r="C649" s="26"/>
      <c r="D649" s="26"/>
      <c r="E649" s="26"/>
      <c r="F649" s="26"/>
      <c r="G649" s="26"/>
      <c r="H649" s="26"/>
      <c r="I649" s="26"/>
      <c r="J649" s="26"/>
      <c r="K649" s="26"/>
      <c r="L649" s="26"/>
      <c r="M649" s="26"/>
      <c r="N649" s="26"/>
      <c r="O649" s="26"/>
      <c r="P649" s="26"/>
      <c r="Q649" s="26"/>
      <c r="R649" s="26"/>
      <c r="S649" s="26"/>
    </row>
    <row r="650" spans="1:19" ht="15.75" customHeight="1" x14ac:dyDescent="0.25">
      <c r="A650" s="26"/>
      <c r="B650" s="26"/>
      <c r="C650" s="26"/>
      <c r="D650" s="26"/>
      <c r="E650" s="26"/>
      <c r="F650" s="26"/>
      <c r="G650" s="26"/>
      <c r="H650" s="26"/>
      <c r="I650" s="26"/>
      <c r="J650" s="26"/>
      <c r="K650" s="26"/>
      <c r="L650" s="26"/>
      <c r="M650" s="26"/>
      <c r="N650" s="26"/>
      <c r="O650" s="26"/>
      <c r="P650" s="26"/>
      <c r="Q650" s="26"/>
      <c r="R650" s="26"/>
      <c r="S650" s="26"/>
    </row>
    <row r="651" spans="1:19" ht="15.75" customHeight="1" x14ac:dyDescent="0.25">
      <c r="A651" s="26"/>
      <c r="B651" s="26"/>
      <c r="C651" s="26"/>
      <c r="D651" s="26"/>
      <c r="E651" s="26"/>
      <c r="F651" s="26"/>
      <c r="G651" s="26"/>
      <c r="H651" s="26"/>
      <c r="I651" s="26"/>
      <c r="J651" s="26"/>
      <c r="K651" s="26"/>
      <c r="L651" s="26"/>
      <c r="M651" s="26"/>
      <c r="N651" s="26"/>
      <c r="O651" s="26"/>
      <c r="P651" s="26"/>
      <c r="Q651" s="26"/>
      <c r="R651" s="26"/>
      <c r="S651" s="26"/>
    </row>
    <row r="652" spans="1:19" ht="15.75" customHeight="1" x14ac:dyDescent="0.25">
      <c r="A652" s="26"/>
      <c r="B652" s="26"/>
      <c r="C652" s="26"/>
      <c r="D652" s="26"/>
      <c r="E652" s="26"/>
      <c r="F652" s="26"/>
      <c r="G652" s="26"/>
      <c r="H652" s="26"/>
      <c r="I652" s="26"/>
      <c r="J652" s="26"/>
      <c r="K652" s="26"/>
      <c r="L652" s="26"/>
      <c r="M652" s="26"/>
      <c r="N652" s="26"/>
      <c r="O652" s="26"/>
      <c r="P652" s="26"/>
      <c r="Q652" s="26"/>
      <c r="R652" s="26"/>
      <c r="S652" s="26"/>
    </row>
    <row r="653" spans="1:19" ht="15.75" customHeight="1" x14ac:dyDescent="0.25">
      <c r="A653" s="26"/>
      <c r="B653" s="26"/>
      <c r="C653" s="26"/>
      <c r="D653" s="26"/>
      <c r="E653" s="26"/>
      <c r="F653" s="26"/>
      <c r="G653" s="26"/>
      <c r="H653" s="26"/>
      <c r="I653" s="26"/>
      <c r="J653" s="26"/>
      <c r="K653" s="26"/>
      <c r="L653" s="26"/>
      <c r="M653" s="26"/>
      <c r="N653" s="26"/>
      <c r="O653" s="26"/>
      <c r="P653" s="26"/>
      <c r="Q653" s="26"/>
      <c r="R653" s="26"/>
      <c r="S653" s="26"/>
    </row>
    <row r="654" spans="1:19" ht="15.75" customHeight="1" x14ac:dyDescent="0.25">
      <c r="A654" s="26"/>
      <c r="B654" s="26"/>
      <c r="C654" s="26"/>
      <c r="D654" s="26"/>
      <c r="E654" s="26"/>
      <c r="F654" s="26"/>
      <c r="G654" s="26"/>
      <c r="H654" s="26"/>
      <c r="I654" s="26"/>
      <c r="J654" s="26"/>
      <c r="K654" s="26"/>
      <c r="L654" s="26"/>
      <c r="M654" s="26"/>
      <c r="N654" s="26"/>
      <c r="O654" s="26"/>
      <c r="P654" s="26"/>
      <c r="Q654" s="26"/>
      <c r="R654" s="26"/>
      <c r="S654" s="26"/>
    </row>
    <row r="655" spans="1:19" ht="15.75" customHeight="1" x14ac:dyDescent="0.25">
      <c r="A655" s="26"/>
      <c r="B655" s="26"/>
      <c r="C655" s="26"/>
      <c r="D655" s="26"/>
      <c r="E655" s="26"/>
      <c r="F655" s="26"/>
      <c r="G655" s="26"/>
      <c r="H655" s="26"/>
      <c r="I655" s="26"/>
      <c r="J655" s="26"/>
      <c r="K655" s="26"/>
      <c r="L655" s="26"/>
      <c r="M655" s="26"/>
      <c r="N655" s="26"/>
      <c r="O655" s="26"/>
      <c r="P655" s="26"/>
      <c r="Q655" s="26"/>
      <c r="R655" s="26"/>
      <c r="S655" s="26"/>
    </row>
    <row r="656" spans="1:19" ht="15.75" customHeight="1" x14ac:dyDescent="0.25">
      <c r="A656" s="26"/>
      <c r="B656" s="26"/>
      <c r="C656" s="26"/>
      <c r="D656" s="26"/>
      <c r="E656" s="26"/>
      <c r="F656" s="26"/>
      <c r="G656" s="26"/>
      <c r="H656" s="26"/>
      <c r="I656" s="26"/>
      <c r="J656" s="26"/>
      <c r="K656" s="26"/>
      <c r="L656" s="26"/>
      <c r="M656" s="26"/>
      <c r="N656" s="26"/>
      <c r="O656" s="26"/>
      <c r="P656" s="26"/>
      <c r="Q656" s="26"/>
      <c r="R656" s="26"/>
      <c r="S656" s="26"/>
    </row>
    <row r="657" spans="1:19" ht="15.75" customHeight="1" x14ac:dyDescent="0.25">
      <c r="A657" s="26"/>
      <c r="B657" s="26"/>
      <c r="C657" s="26"/>
      <c r="D657" s="26"/>
      <c r="E657" s="26"/>
      <c r="F657" s="26"/>
      <c r="G657" s="26"/>
      <c r="H657" s="26"/>
      <c r="I657" s="26"/>
      <c r="J657" s="26"/>
      <c r="K657" s="26"/>
      <c r="L657" s="26"/>
      <c r="M657" s="26"/>
      <c r="N657" s="26"/>
      <c r="O657" s="26"/>
      <c r="P657" s="26"/>
      <c r="Q657" s="26"/>
      <c r="R657" s="26"/>
      <c r="S657" s="26"/>
    </row>
    <row r="658" spans="1:19" ht="15.75" customHeight="1" x14ac:dyDescent="0.25">
      <c r="A658" s="26"/>
      <c r="B658" s="26"/>
      <c r="C658" s="26"/>
      <c r="D658" s="26"/>
      <c r="E658" s="26"/>
      <c r="F658" s="26"/>
      <c r="G658" s="26"/>
      <c r="H658" s="26"/>
      <c r="I658" s="26"/>
      <c r="J658" s="26"/>
      <c r="K658" s="26"/>
      <c r="L658" s="26"/>
      <c r="M658" s="26"/>
      <c r="N658" s="26"/>
      <c r="O658" s="26"/>
      <c r="P658" s="26"/>
      <c r="Q658" s="26"/>
      <c r="R658" s="26"/>
      <c r="S658" s="26"/>
    </row>
    <row r="659" spans="1:19" ht="15.75" customHeight="1" x14ac:dyDescent="0.25">
      <c r="A659" s="26"/>
      <c r="B659" s="26"/>
      <c r="C659" s="26"/>
      <c r="D659" s="26"/>
      <c r="E659" s="26"/>
      <c r="F659" s="26"/>
      <c r="G659" s="26"/>
      <c r="H659" s="26"/>
      <c r="I659" s="26"/>
      <c r="J659" s="26"/>
      <c r="K659" s="26"/>
      <c r="L659" s="26"/>
      <c r="M659" s="26"/>
      <c r="N659" s="26"/>
      <c r="O659" s="26"/>
      <c r="P659" s="26"/>
      <c r="Q659" s="26"/>
      <c r="R659" s="26"/>
      <c r="S659" s="26"/>
    </row>
    <row r="660" spans="1:19" ht="15.75" customHeight="1" x14ac:dyDescent="0.25">
      <c r="A660" s="26"/>
      <c r="B660" s="26"/>
      <c r="C660" s="26"/>
      <c r="D660" s="26"/>
      <c r="E660" s="26"/>
      <c r="F660" s="26"/>
      <c r="G660" s="26"/>
      <c r="H660" s="26"/>
      <c r="I660" s="26"/>
      <c r="J660" s="26"/>
      <c r="K660" s="26"/>
      <c r="L660" s="26"/>
      <c r="M660" s="26"/>
      <c r="N660" s="26"/>
      <c r="O660" s="26"/>
      <c r="P660" s="26"/>
      <c r="Q660" s="26"/>
      <c r="R660" s="26"/>
      <c r="S660" s="26"/>
    </row>
    <row r="661" spans="1:19" ht="15.75" customHeight="1" x14ac:dyDescent="0.25">
      <c r="A661" s="26"/>
      <c r="B661" s="26"/>
      <c r="C661" s="26"/>
      <c r="D661" s="26"/>
      <c r="E661" s="26"/>
      <c r="F661" s="26"/>
      <c r="G661" s="26"/>
      <c r="H661" s="26"/>
      <c r="I661" s="26"/>
      <c r="J661" s="26"/>
      <c r="K661" s="26"/>
      <c r="L661" s="26"/>
      <c r="M661" s="26"/>
      <c r="N661" s="26"/>
      <c r="O661" s="26"/>
      <c r="P661" s="26"/>
      <c r="Q661" s="26"/>
      <c r="R661" s="26"/>
      <c r="S661" s="26"/>
    </row>
    <row r="662" spans="1:19" ht="15.75" customHeight="1" x14ac:dyDescent="0.25">
      <c r="A662" s="26"/>
      <c r="B662" s="26"/>
      <c r="C662" s="26"/>
      <c r="D662" s="26"/>
      <c r="E662" s="26"/>
      <c r="F662" s="26"/>
      <c r="G662" s="26"/>
      <c r="H662" s="26"/>
      <c r="I662" s="26"/>
      <c r="J662" s="26"/>
      <c r="K662" s="26"/>
      <c r="L662" s="26"/>
      <c r="M662" s="26"/>
      <c r="N662" s="26"/>
      <c r="O662" s="26"/>
      <c r="P662" s="26"/>
      <c r="Q662" s="26"/>
      <c r="R662" s="26"/>
      <c r="S662" s="26"/>
    </row>
    <row r="663" spans="1:19" ht="15.75" customHeight="1" x14ac:dyDescent="0.25">
      <c r="A663" s="26"/>
      <c r="B663" s="26"/>
      <c r="C663" s="26"/>
      <c r="D663" s="26"/>
      <c r="E663" s="26"/>
      <c r="F663" s="26"/>
      <c r="G663" s="26"/>
      <c r="H663" s="26"/>
      <c r="I663" s="26"/>
      <c r="J663" s="26"/>
      <c r="K663" s="26"/>
      <c r="L663" s="26"/>
      <c r="M663" s="26"/>
      <c r="N663" s="26"/>
      <c r="O663" s="26"/>
      <c r="P663" s="26"/>
      <c r="Q663" s="26"/>
      <c r="R663" s="26"/>
      <c r="S663" s="26"/>
    </row>
    <row r="664" spans="1:19" ht="15.75" customHeight="1" x14ac:dyDescent="0.25">
      <c r="A664" s="26"/>
      <c r="B664" s="26"/>
      <c r="C664" s="26"/>
      <c r="D664" s="26"/>
      <c r="E664" s="26"/>
      <c r="F664" s="26"/>
      <c r="G664" s="26"/>
      <c r="H664" s="26"/>
      <c r="I664" s="26"/>
      <c r="J664" s="26"/>
      <c r="K664" s="26"/>
      <c r="L664" s="26"/>
      <c r="M664" s="26"/>
      <c r="N664" s="26"/>
      <c r="O664" s="26"/>
      <c r="P664" s="26"/>
      <c r="Q664" s="26"/>
      <c r="R664" s="26"/>
      <c r="S664" s="26"/>
    </row>
    <row r="665" spans="1:19" ht="15.75" customHeight="1" x14ac:dyDescent="0.25">
      <c r="A665" s="26"/>
      <c r="B665" s="26"/>
      <c r="C665" s="26"/>
      <c r="D665" s="26"/>
      <c r="E665" s="26"/>
      <c r="F665" s="26"/>
      <c r="G665" s="26"/>
      <c r="H665" s="26"/>
      <c r="I665" s="26"/>
      <c r="J665" s="26"/>
      <c r="K665" s="26"/>
      <c r="L665" s="26"/>
      <c r="M665" s="26"/>
      <c r="N665" s="26"/>
      <c r="O665" s="26"/>
      <c r="P665" s="26"/>
      <c r="Q665" s="26"/>
      <c r="R665" s="26"/>
      <c r="S665" s="26"/>
    </row>
    <row r="666" spans="1:19" ht="15.75" customHeight="1" x14ac:dyDescent="0.25">
      <c r="A666" s="26"/>
      <c r="B666" s="26"/>
      <c r="C666" s="26"/>
      <c r="D666" s="26"/>
      <c r="E666" s="26"/>
      <c r="F666" s="26"/>
      <c r="G666" s="26"/>
      <c r="H666" s="26"/>
      <c r="I666" s="26"/>
      <c r="J666" s="26"/>
      <c r="K666" s="26"/>
      <c r="L666" s="26"/>
      <c r="M666" s="26"/>
      <c r="N666" s="26"/>
      <c r="O666" s="26"/>
      <c r="P666" s="26"/>
      <c r="Q666" s="26"/>
      <c r="R666" s="26"/>
      <c r="S666" s="26"/>
    </row>
    <row r="667" spans="1:19" ht="15.75" customHeight="1" x14ac:dyDescent="0.25">
      <c r="A667" s="26"/>
      <c r="B667" s="26"/>
      <c r="C667" s="26"/>
      <c r="D667" s="26"/>
      <c r="E667" s="26"/>
      <c r="F667" s="26"/>
      <c r="G667" s="26"/>
      <c r="H667" s="26"/>
      <c r="I667" s="26"/>
      <c r="J667" s="26"/>
      <c r="K667" s="26"/>
      <c r="L667" s="26"/>
      <c r="M667" s="26"/>
      <c r="N667" s="26"/>
      <c r="O667" s="26"/>
      <c r="P667" s="26"/>
      <c r="Q667" s="26"/>
      <c r="R667" s="26"/>
      <c r="S667" s="26"/>
    </row>
    <row r="668" spans="1:19" ht="15.75" customHeight="1" x14ac:dyDescent="0.25">
      <c r="A668" s="26"/>
      <c r="B668" s="26"/>
      <c r="C668" s="26"/>
      <c r="D668" s="26"/>
      <c r="E668" s="26"/>
      <c r="F668" s="26"/>
      <c r="G668" s="26"/>
      <c r="H668" s="26"/>
      <c r="I668" s="26"/>
      <c r="J668" s="26"/>
      <c r="K668" s="26"/>
      <c r="L668" s="26"/>
      <c r="M668" s="26"/>
      <c r="N668" s="26"/>
      <c r="O668" s="26"/>
      <c r="P668" s="26"/>
      <c r="Q668" s="26"/>
      <c r="R668" s="26"/>
      <c r="S668" s="26"/>
    </row>
    <row r="669" spans="1:19" ht="15.75" customHeight="1" x14ac:dyDescent="0.25">
      <c r="A669" s="26"/>
      <c r="B669" s="26"/>
      <c r="C669" s="26"/>
      <c r="D669" s="26"/>
      <c r="E669" s="26"/>
      <c r="F669" s="26"/>
      <c r="G669" s="26"/>
      <c r="H669" s="26"/>
      <c r="I669" s="26"/>
      <c r="J669" s="26"/>
      <c r="K669" s="26"/>
      <c r="L669" s="26"/>
      <c r="M669" s="26"/>
      <c r="N669" s="26"/>
      <c r="O669" s="26"/>
      <c r="P669" s="26"/>
      <c r="Q669" s="26"/>
      <c r="R669" s="26"/>
      <c r="S669" s="26"/>
    </row>
    <row r="670" spans="1:19" ht="15.75" customHeight="1" x14ac:dyDescent="0.25">
      <c r="A670" s="26"/>
      <c r="B670" s="26"/>
      <c r="C670" s="26"/>
      <c r="D670" s="26"/>
      <c r="E670" s="26"/>
      <c r="F670" s="26"/>
      <c r="G670" s="26"/>
      <c r="H670" s="26"/>
      <c r="I670" s="26"/>
      <c r="J670" s="26"/>
      <c r="K670" s="26"/>
      <c r="L670" s="26"/>
      <c r="M670" s="26"/>
      <c r="N670" s="26"/>
      <c r="O670" s="26"/>
      <c r="P670" s="26"/>
      <c r="Q670" s="26"/>
      <c r="R670" s="26"/>
      <c r="S670" s="26"/>
    </row>
    <row r="671" spans="1:19" ht="15.75" customHeight="1" x14ac:dyDescent="0.25">
      <c r="A671" s="26"/>
      <c r="B671" s="26"/>
      <c r="C671" s="26"/>
      <c r="D671" s="26"/>
      <c r="E671" s="26"/>
      <c r="F671" s="26"/>
      <c r="G671" s="26"/>
      <c r="H671" s="26"/>
      <c r="I671" s="26"/>
      <c r="J671" s="26"/>
      <c r="K671" s="26"/>
      <c r="L671" s="26"/>
      <c r="M671" s="26"/>
      <c r="N671" s="26"/>
      <c r="O671" s="26"/>
      <c r="P671" s="26"/>
      <c r="Q671" s="26"/>
      <c r="R671" s="26"/>
      <c r="S671" s="26"/>
    </row>
    <row r="672" spans="1:19" ht="15.75" customHeight="1" x14ac:dyDescent="0.25">
      <c r="A672" s="26"/>
      <c r="B672" s="26"/>
      <c r="C672" s="26"/>
      <c r="D672" s="26"/>
      <c r="E672" s="26"/>
      <c r="F672" s="26"/>
      <c r="G672" s="26"/>
      <c r="H672" s="26"/>
      <c r="I672" s="26"/>
      <c r="J672" s="26"/>
      <c r="K672" s="26"/>
      <c r="L672" s="26"/>
      <c r="M672" s="26"/>
      <c r="N672" s="26"/>
      <c r="O672" s="26"/>
      <c r="P672" s="26"/>
      <c r="Q672" s="26"/>
      <c r="R672" s="26"/>
      <c r="S672" s="26"/>
    </row>
    <row r="673" spans="1:19" ht="15.75" customHeight="1" x14ac:dyDescent="0.25">
      <c r="A673" s="26"/>
      <c r="B673" s="26"/>
      <c r="C673" s="26"/>
      <c r="D673" s="26"/>
      <c r="E673" s="26"/>
      <c r="F673" s="26"/>
      <c r="G673" s="26"/>
      <c r="H673" s="26"/>
      <c r="I673" s="26"/>
      <c r="J673" s="26"/>
      <c r="K673" s="26"/>
      <c r="L673" s="26"/>
      <c r="M673" s="26"/>
      <c r="N673" s="26"/>
      <c r="O673" s="26"/>
      <c r="P673" s="26"/>
      <c r="Q673" s="26"/>
      <c r="R673" s="26"/>
      <c r="S673" s="26"/>
    </row>
    <row r="674" spans="1:19" ht="15.75" customHeight="1" x14ac:dyDescent="0.25">
      <c r="A674" s="26"/>
      <c r="B674" s="26"/>
      <c r="C674" s="26"/>
      <c r="D674" s="26"/>
      <c r="E674" s="26"/>
      <c r="F674" s="26"/>
      <c r="G674" s="26"/>
      <c r="H674" s="26"/>
      <c r="I674" s="26"/>
      <c r="J674" s="26"/>
      <c r="K674" s="26"/>
      <c r="L674" s="26"/>
      <c r="M674" s="26"/>
      <c r="N674" s="26"/>
      <c r="O674" s="26"/>
      <c r="P674" s="26"/>
      <c r="Q674" s="26"/>
      <c r="R674" s="26"/>
      <c r="S674" s="26"/>
    </row>
    <row r="675" spans="1:19" ht="15.75" customHeight="1" x14ac:dyDescent="0.25">
      <c r="A675" s="26"/>
      <c r="B675" s="26"/>
      <c r="C675" s="26"/>
      <c r="D675" s="26"/>
      <c r="E675" s="26"/>
      <c r="F675" s="26"/>
      <c r="G675" s="26"/>
      <c r="H675" s="26"/>
      <c r="I675" s="26"/>
      <c r="J675" s="26"/>
      <c r="K675" s="26"/>
      <c r="L675" s="26"/>
      <c r="M675" s="26"/>
      <c r="N675" s="26"/>
      <c r="O675" s="26"/>
      <c r="P675" s="26"/>
      <c r="Q675" s="26"/>
      <c r="R675" s="26"/>
      <c r="S675" s="26"/>
    </row>
    <row r="676" spans="1:19" ht="15.75" customHeight="1" x14ac:dyDescent="0.25">
      <c r="A676" s="26"/>
      <c r="B676" s="26"/>
      <c r="C676" s="26"/>
      <c r="D676" s="26"/>
      <c r="E676" s="26"/>
      <c r="F676" s="26"/>
      <c r="G676" s="26"/>
      <c r="H676" s="26"/>
      <c r="I676" s="26"/>
      <c r="J676" s="26"/>
      <c r="K676" s="26"/>
      <c r="L676" s="26"/>
      <c r="M676" s="26"/>
      <c r="N676" s="26"/>
      <c r="O676" s="26"/>
      <c r="P676" s="26"/>
      <c r="Q676" s="26"/>
      <c r="R676" s="26"/>
      <c r="S676" s="26"/>
    </row>
    <row r="677" spans="1:19" ht="15.75" customHeight="1" x14ac:dyDescent="0.25">
      <c r="A677" s="26"/>
      <c r="B677" s="26"/>
      <c r="C677" s="26"/>
      <c r="D677" s="26"/>
      <c r="E677" s="26"/>
      <c r="F677" s="26"/>
      <c r="G677" s="26"/>
      <c r="H677" s="26"/>
      <c r="I677" s="26"/>
      <c r="J677" s="26"/>
      <c r="K677" s="26"/>
      <c r="L677" s="26"/>
      <c r="M677" s="26"/>
      <c r="N677" s="26"/>
      <c r="O677" s="26"/>
      <c r="P677" s="26"/>
      <c r="Q677" s="26"/>
      <c r="R677" s="26"/>
      <c r="S677" s="26"/>
    </row>
    <row r="678" spans="1:19" ht="15.75" customHeight="1" x14ac:dyDescent="0.25">
      <c r="A678" s="26"/>
      <c r="B678" s="26"/>
      <c r="C678" s="26"/>
      <c r="D678" s="26"/>
      <c r="E678" s="26"/>
      <c r="F678" s="26"/>
      <c r="G678" s="26"/>
      <c r="H678" s="26"/>
      <c r="I678" s="26"/>
      <c r="J678" s="26"/>
      <c r="K678" s="26"/>
      <c r="L678" s="26"/>
      <c r="M678" s="26"/>
      <c r="N678" s="26"/>
      <c r="O678" s="26"/>
      <c r="P678" s="26"/>
      <c r="Q678" s="26"/>
      <c r="R678" s="26"/>
      <c r="S678" s="26"/>
    </row>
    <row r="679" spans="1:19" ht="15.75" customHeight="1" x14ac:dyDescent="0.25">
      <c r="A679" s="26"/>
      <c r="B679" s="26"/>
      <c r="C679" s="26"/>
      <c r="D679" s="26"/>
      <c r="E679" s="26"/>
      <c r="F679" s="26"/>
      <c r="G679" s="26"/>
      <c r="H679" s="26"/>
      <c r="I679" s="26"/>
      <c r="J679" s="26"/>
      <c r="K679" s="26"/>
      <c r="L679" s="26"/>
      <c r="M679" s="26"/>
      <c r="N679" s="26"/>
      <c r="O679" s="26"/>
      <c r="P679" s="26"/>
      <c r="Q679" s="26"/>
      <c r="R679" s="26"/>
      <c r="S679" s="26"/>
    </row>
    <row r="680" spans="1:19" ht="15.75" customHeight="1" x14ac:dyDescent="0.25">
      <c r="A680" s="26"/>
      <c r="B680" s="26"/>
      <c r="C680" s="26"/>
      <c r="D680" s="26"/>
      <c r="E680" s="26"/>
      <c r="F680" s="26"/>
      <c r="G680" s="26"/>
      <c r="H680" s="26"/>
      <c r="I680" s="26"/>
      <c r="J680" s="26"/>
      <c r="K680" s="26"/>
      <c r="L680" s="26"/>
      <c r="M680" s="26"/>
      <c r="N680" s="26"/>
      <c r="O680" s="26"/>
      <c r="P680" s="26"/>
      <c r="Q680" s="26"/>
      <c r="R680" s="26"/>
      <c r="S680" s="26"/>
    </row>
    <row r="681" spans="1:19" ht="15.75" customHeight="1" x14ac:dyDescent="0.25">
      <c r="A681" s="26"/>
      <c r="B681" s="26"/>
      <c r="C681" s="26"/>
      <c r="D681" s="26"/>
      <c r="E681" s="26"/>
      <c r="F681" s="26"/>
      <c r="G681" s="26"/>
      <c r="H681" s="26"/>
      <c r="I681" s="26"/>
      <c r="J681" s="26"/>
      <c r="K681" s="26"/>
      <c r="L681" s="26"/>
      <c r="M681" s="26"/>
      <c r="N681" s="26"/>
      <c r="O681" s="26"/>
      <c r="P681" s="26"/>
      <c r="Q681" s="26"/>
      <c r="R681" s="26"/>
      <c r="S681" s="26"/>
    </row>
    <row r="682" spans="1:19" ht="15.75" customHeight="1" x14ac:dyDescent="0.25">
      <c r="A682" s="26"/>
      <c r="B682" s="26"/>
      <c r="C682" s="26"/>
      <c r="D682" s="26"/>
      <c r="E682" s="26"/>
      <c r="F682" s="26"/>
      <c r="G682" s="26"/>
      <c r="H682" s="26"/>
      <c r="I682" s="26"/>
      <c r="J682" s="26"/>
      <c r="K682" s="26"/>
      <c r="L682" s="26"/>
      <c r="M682" s="26"/>
      <c r="N682" s="26"/>
      <c r="O682" s="26"/>
      <c r="P682" s="26"/>
      <c r="Q682" s="26"/>
      <c r="R682" s="26"/>
      <c r="S682" s="26"/>
    </row>
    <row r="683" spans="1:19" ht="15.75" customHeight="1" x14ac:dyDescent="0.25">
      <c r="A683" s="26"/>
      <c r="B683" s="26"/>
      <c r="C683" s="26"/>
      <c r="D683" s="26"/>
      <c r="E683" s="26"/>
      <c r="F683" s="26"/>
      <c r="G683" s="26"/>
      <c r="H683" s="26"/>
      <c r="I683" s="26"/>
      <c r="J683" s="26"/>
      <c r="K683" s="26"/>
      <c r="L683" s="26"/>
      <c r="M683" s="26"/>
      <c r="N683" s="26"/>
      <c r="O683" s="26"/>
      <c r="P683" s="26"/>
      <c r="Q683" s="26"/>
      <c r="R683" s="26"/>
      <c r="S683" s="26"/>
    </row>
    <row r="684" spans="1:19" ht="15.75" customHeight="1" x14ac:dyDescent="0.25">
      <c r="A684" s="26"/>
      <c r="B684" s="26"/>
      <c r="C684" s="26"/>
      <c r="D684" s="26"/>
      <c r="E684" s="26"/>
      <c r="F684" s="26"/>
      <c r="G684" s="26"/>
      <c r="H684" s="26"/>
      <c r="I684" s="26"/>
      <c r="J684" s="26"/>
      <c r="K684" s="26"/>
      <c r="L684" s="26"/>
      <c r="M684" s="26"/>
      <c r="N684" s="26"/>
      <c r="O684" s="26"/>
      <c r="P684" s="26"/>
      <c r="Q684" s="26"/>
      <c r="R684" s="26"/>
      <c r="S684" s="26"/>
    </row>
    <row r="685" spans="1:19" ht="15.75" customHeight="1" x14ac:dyDescent="0.25">
      <c r="A685" s="26"/>
      <c r="B685" s="26"/>
      <c r="C685" s="26"/>
      <c r="D685" s="26"/>
      <c r="E685" s="26"/>
      <c r="F685" s="26"/>
      <c r="G685" s="26"/>
      <c r="H685" s="26"/>
      <c r="I685" s="26"/>
      <c r="J685" s="26"/>
      <c r="K685" s="26"/>
      <c r="L685" s="26"/>
      <c r="M685" s="26"/>
      <c r="N685" s="26"/>
      <c r="O685" s="26"/>
      <c r="P685" s="26"/>
      <c r="Q685" s="26"/>
      <c r="R685" s="26"/>
      <c r="S685" s="26"/>
    </row>
    <row r="686" spans="1:19" ht="15.75" customHeight="1" x14ac:dyDescent="0.25">
      <c r="A686" s="26"/>
      <c r="B686" s="26"/>
      <c r="C686" s="26"/>
      <c r="D686" s="26"/>
      <c r="E686" s="26"/>
      <c r="F686" s="26"/>
      <c r="G686" s="26"/>
      <c r="H686" s="26"/>
      <c r="I686" s="26"/>
      <c r="J686" s="26"/>
      <c r="K686" s="26"/>
      <c r="L686" s="26"/>
      <c r="M686" s="26"/>
      <c r="N686" s="26"/>
      <c r="O686" s="26"/>
      <c r="P686" s="26"/>
      <c r="Q686" s="26"/>
      <c r="R686" s="26"/>
      <c r="S686" s="26"/>
    </row>
    <row r="687" spans="1:19" ht="15.75" customHeight="1" x14ac:dyDescent="0.25">
      <c r="A687" s="26"/>
      <c r="B687" s="26"/>
      <c r="C687" s="26"/>
      <c r="D687" s="26"/>
      <c r="E687" s="26"/>
      <c r="F687" s="26"/>
      <c r="G687" s="26"/>
      <c r="H687" s="26"/>
      <c r="I687" s="26"/>
      <c r="J687" s="26"/>
      <c r="K687" s="26"/>
      <c r="L687" s="26"/>
      <c r="M687" s="26"/>
      <c r="N687" s="26"/>
      <c r="O687" s="26"/>
      <c r="P687" s="26"/>
      <c r="Q687" s="26"/>
      <c r="R687" s="26"/>
      <c r="S687" s="26"/>
    </row>
    <row r="688" spans="1:19" ht="15.75" customHeight="1" x14ac:dyDescent="0.25">
      <c r="A688" s="26"/>
      <c r="B688" s="26"/>
      <c r="C688" s="26"/>
      <c r="D688" s="26"/>
      <c r="E688" s="26"/>
      <c r="F688" s="26"/>
      <c r="G688" s="26"/>
      <c r="H688" s="26"/>
      <c r="I688" s="26"/>
      <c r="J688" s="26"/>
      <c r="K688" s="26"/>
      <c r="L688" s="26"/>
      <c r="M688" s="26"/>
      <c r="N688" s="26"/>
      <c r="O688" s="26"/>
      <c r="P688" s="26"/>
      <c r="Q688" s="26"/>
      <c r="R688" s="26"/>
      <c r="S688" s="26"/>
    </row>
    <row r="689" spans="1:19" ht="15.75" customHeight="1" x14ac:dyDescent="0.25">
      <c r="A689" s="26"/>
      <c r="B689" s="26"/>
      <c r="C689" s="26"/>
      <c r="D689" s="26"/>
      <c r="E689" s="26"/>
      <c r="F689" s="26"/>
      <c r="G689" s="26"/>
      <c r="H689" s="26"/>
      <c r="I689" s="26"/>
      <c r="J689" s="26"/>
      <c r="K689" s="26"/>
      <c r="L689" s="26"/>
      <c r="M689" s="26"/>
      <c r="N689" s="26"/>
      <c r="O689" s="26"/>
      <c r="P689" s="26"/>
      <c r="Q689" s="26"/>
      <c r="R689" s="26"/>
      <c r="S689" s="26"/>
    </row>
    <row r="690" spans="1:19" ht="15.75" customHeight="1" x14ac:dyDescent="0.25">
      <c r="A690" s="26"/>
      <c r="B690" s="26"/>
      <c r="C690" s="26"/>
      <c r="D690" s="26"/>
      <c r="E690" s="26"/>
      <c r="F690" s="26"/>
      <c r="G690" s="26"/>
      <c r="H690" s="26"/>
      <c r="I690" s="26"/>
      <c r="J690" s="26"/>
      <c r="K690" s="26"/>
      <c r="L690" s="26"/>
      <c r="M690" s="26"/>
      <c r="N690" s="26"/>
      <c r="O690" s="26"/>
      <c r="P690" s="26"/>
      <c r="Q690" s="26"/>
      <c r="R690" s="26"/>
      <c r="S690" s="26"/>
    </row>
    <row r="691" spans="1:19" ht="15.75" customHeight="1" x14ac:dyDescent="0.25">
      <c r="A691" s="26"/>
      <c r="B691" s="26"/>
      <c r="C691" s="26"/>
      <c r="D691" s="26"/>
      <c r="E691" s="26"/>
      <c r="F691" s="26"/>
      <c r="G691" s="26"/>
      <c r="H691" s="26"/>
      <c r="I691" s="26"/>
      <c r="J691" s="26"/>
      <c r="K691" s="26"/>
      <c r="L691" s="26"/>
      <c r="M691" s="26"/>
      <c r="N691" s="26"/>
      <c r="O691" s="26"/>
      <c r="P691" s="26"/>
      <c r="Q691" s="26"/>
      <c r="R691" s="26"/>
      <c r="S691" s="26"/>
    </row>
    <row r="692" spans="1:19" ht="15.75" customHeight="1" x14ac:dyDescent="0.25">
      <c r="A692" s="26"/>
      <c r="B692" s="26"/>
      <c r="C692" s="26"/>
      <c r="D692" s="26"/>
      <c r="E692" s="26"/>
      <c r="F692" s="26"/>
      <c r="G692" s="26"/>
      <c r="H692" s="26"/>
      <c r="I692" s="26"/>
      <c r="J692" s="26"/>
      <c r="K692" s="26"/>
      <c r="L692" s="26"/>
      <c r="M692" s="26"/>
      <c r="N692" s="26"/>
      <c r="O692" s="26"/>
      <c r="P692" s="26"/>
      <c r="Q692" s="26"/>
      <c r="R692" s="26"/>
      <c r="S692" s="26"/>
    </row>
    <row r="693" spans="1:19" ht="15.75" customHeight="1" x14ac:dyDescent="0.25">
      <c r="A693" s="26"/>
      <c r="B693" s="26"/>
      <c r="C693" s="26"/>
      <c r="D693" s="26"/>
      <c r="E693" s="26"/>
      <c r="F693" s="26"/>
      <c r="G693" s="26"/>
      <c r="H693" s="26"/>
      <c r="I693" s="26"/>
      <c r="J693" s="26"/>
      <c r="K693" s="26"/>
      <c r="L693" s="26"/>
      <c r="M693" s="26"/>
      <c r="N693" s="26"/>
      <c r="O693" s="26"/>
      <c r="P693" s="26"/>
      <c r="Q693" s="26"/>
      <c r="R693" s="26"/>
      <c r="S693" s="26"/>
    </row>
    <row r="694" spans="1:19" ht="15.75" customHeight="1" x14ac:dyDescent="0.25">
      <c r="A694" s="26"/>
      <c r="B694" s="26"/>
      <c r="C694" s="26"/>
      <c r="D694" s="26"/>
      <c r="E694" s="26"/>
      <c r="F694" s="26"/>
      <c r="G694" s="26"/>
      <c r="H694" s="26"/>
      <c r="I694" s="26"/>
      <c r="J694" s="26"/>
      <c r="K694" s="26"/>
      <c r="L694" s="26"/>
      <c r="M694" s="26"/>
      <c r="N694" s="26"/>
      <c r="O694" s="26"/>
      <c r="P694" s="26"/>
      <c r="Q694" s="26"/>
      <c r="R694" s="26"/>
      <c r="S694" s="26"/>
    </row>
    <row r="695" spans="1:19" ht="15.75" customHeight="1" x14ac:dyDescent="0.25">
      <c r="A695" s="26"/>
      <c r="B695" s="26"/>
      <c r="C695" s="26"/>
      <c r="D695" s="26"/>
      <c r="E695" s="26"/>
      <c r="F695" s="26"/>
      <c r="G695" s="26"/>
      <c r="H695" s="26"/>
      <c r="I695" s="26"/>
      <c r="J695" s="26"/>
      <c r="K695" s="26"/>
      <c r="L695" s="26"/>
      <c r="M695" s="26"/>
      <c r="N695" s="26"/>
      <c r="O695" s="26"/>
      <c r="P695" s="26"/>
      <c r="Q695" s="26"/>
      <c r="R695" s="26"/>
      <c r="S695" s="26"/>
    </row>
    <row r="696" spans="1:19" ht="15.75" customHeight="1" x14ac:dyDescent="0.25">
      <c r="A696" s="26"/>
      <c r="B696" s="26"/>
      <c r="C696" s="26"/>
      <c r="D696" s="26"/>
      <c r="E696" s="26"/>
      <c r="F696" s="26"/>
      <c r="G696" s="26"/>
      <c r="H696" s="26"/>
      <c r="I696" s="26"/>
      <c r="J696" s="26"/>
      <c r="K696" s="26"/>
      <c r="L696" s="26"/>
      <c r="M696" s="26"/>
      <c r="N696" s="26"/>
      <c r="O696" s="26"/>
      <c r="P696" s="26"/>
      <c r="Q696" s="26"/>
      <c r="R696" s="26"/>
      <c r="S696" s="26"/>
    </row>
    <row r="697" spans="1:19" ht="15.75" customHeight="1" x14ac:dyDescent="0.25">
      <c r="A697" s="26"/>
      <c r="B697" s="26"/>
      <c r="C697" s="26"/>
      <c r="D697" s="26"/>
      <c r="E697" s="26"/>
      <c r="F697" s="26"/>
      <c r="G697" s="26"/>
      <c r="H697" s="26"/>
      <c r="I697" s="26"/>
      <c r="J697" s="26"/>
      <c r="K697" s="26"/>
      <c r="L697" s="26"/>
      <c r="M697" s="26"/>
      <c r="N697" s="26"/>
      <c r="O697" s="26"/>
      <c r="P697" s="26"/>
      <c r="Q697" s="26"/>
      <c r="R697" s="26"/>
      <c r="S697" s="26"/>
    </row>
    <row r="698" spans="1:19" ht="15.75" customHeight="1" x14ac:dyDescent="0.25">
      <c r="A698" s="26"/>
      <c r="B698" s="26"/>
      <c r="C698" s="26"/>
      <c r="D698" s="26"/>
      <c r="E698" s="26"/>
      <c r="F698" s="26"/>
      <c r="G698" s="26"/>
      <c r="H698" s="26"/>
      <c r="I698" s="26"/>
      <c r="J698" s="26"/>
      <c r="K698" s="26"/>
      <c r="L698" s="26"/>
      <c r="M698" s="26"/>
      <c r="N698" s="26"/>
      <c r="O698" s="26"/>
      <c r="P698" s="26"/>
      <c r="Q698" s="26"/>
      <c r="R698" s="26"/>
      <c r="S698" s="26"/>
    </row>
    <row r="699" spans="1:19" ht="15.75" customHeight="1" x14ac:dyDescent="0.25">
      <c r="A699" s="26"/>
      <c r="B699" s="26"/>
      <c r="C699" s="26"/>
      <c r="D699" s="26"/>
      <c r="E699" s="26"/>
      <c r="F699" s="26"/>
      <c r="G699" s="26"/>
      <c r="H699" s="26"/>
      <c r="I699" s="26"/>
      <c r="J699" s="26"/>
      <c r="K699" s="26"/>
      <c r="L699" s="26"/>
      <c r="M699" s="26"/>
      <c r="N699" s="26"/>
      <c r="O699" s="26"/>
      <c r="P699" s="26"/>
      <c r="Q699" s="26"/>
      <c r="R699" s="26"/>
      <c r="S699" s="26"/>
    </row>
    <row r="700" spans="1:19" ht="15.75" customHeight="1" x14ac:dyDescent="0.25">
      <c r="A700" s="26"/>
      <c r="B700" s="26"/>
      <c r="C700" s="26"/>
      <c r="D700" s="26"/>
      <c r="E700" s="26"/>
      <c r="F700" s="26"/>
      <c r="G700" s="26"/>
      <c r="H700" s="26"/>
      <c r="I700" s="26"/>
      <c r="J700" s="26"/>
      <c r="K700" s="26"/>
      <c r="L700" s="26"/>
      <c r="M700" s="26"/>
      <c r="N700" s="26"/>
      <c r="O700" s="26"/>
      <c r="P700" s="26"/>
      <c r="Q700" s="26"/>
      <c r="R700" s="26"/>
      <c r="S700" s="26"/>
    </row>
    <row r="701" spans="1:19" ht="15.75" customHeight="1" x14ac:dyDescent="0.25">
      <c r="A701" s="26"/>
      <c r="B701" s="26"/>
      <c r="C701" s="26"/>
      <c r="D701" s="26"/>
      <c r="E701" s="26"/>
      <c r="F701" s="26"/>
      <c r="G701" s="26"/>
      <c r="H701" s="26"/>
      <c r="I701" s="26"/>
      <c r="J701" s="26"/>
      <c r="K701" s="26"/>
      <c r="L701" s="26"/>
      <c r="M701" s="26"/>
      <c r="N701" s="26"/>
      <c r="O701" s="26"/>
      <c r="P701" s="26"/>
      <c r="Q701" s="26"/>
      <c r="R701" s="26"/>
      <c r="S701" s="26"/>
    </row>
    <row r="702" spans="1:19" ht="15.75" customHeight="1" x14ac:dyDescent="0.25">
      <c r="A702" s="26"/>
      <c r="B702" s="26"/>
      <c r="C702" s="26"/>
      <c r="D702" s="26"/>
      <c r="E702" s="26"/>
      <c r="F702" s="26"/>
      <c r="G702" s="26"/>
      <c r="H702" s="26"/>
      <c r="I702" s="26"/>
      <c r="J702" s="26"/>
      <c r="K702" s="26"/>
      <c r="L702" s="26"/>
      <c r="M702" s="26"/>
      <c r="N702" s="26"/>
      <c r="O702" s="26"/>
      <c r="P702" s="26"/>
      <c r="Q702" s="26"/>
      <c r="R702" s="26"/>
      <c r="S702" s="26"/>
    </row>
    <row r="703" spans="1:19" ht="15.75" customHeight="1" x14ac:dyDescent="0.25">
      <c r="A703" s="26"/>
      <c r="B703" s="26"/>
      <c r="C703" s="26"/>
      <c r="D703" s="26"/>
      <c r="E703" s="26"/>
      <c r="F703" s="26"/>
      <c r="G703" s="26"/>
      <c r="H703" s="26"/>
      <c r="I703" s="26"/>
      <c r="J703" s="26"/>
      <c r="K703" s="26"/>
      <c r="L703" s="26"/>
      <c r="M703" s="26"/>
      <c r="N703" s="26"/>
      <c r="O703" s="26"/>
      <c r="P703" s="26"/>
      <c r="Q703" s="26"/>
      <c r="R703" s="26"/>
      <c r="S703" s="26"/>
    </row>
    <row r="704" spans="1:19" ht="15.75" customHeight="1" x14ac:dyDescent="0.25">
      <c r="A704" s="26"/>
      <c r="B704" s="26"/>
      <c r="C704" s="26"/>
      <c r="D704" s="26"/>
      <c r="E704" s="26"/>
      <c r="F704" s="26"/>
      <c r="G704" s="26"/>
      <c r="H704" s="26"/>
      <c r="I704" s="26"/>
      <c r="J704" s="26"/>
      <c r="K704" s="26"/>
      <c r="L704" s="26"/>
      <c r="M704" s="26"/>
      <c r="N704" s="26"/>
      <c r="O704" s="26"/>
      <c r="P704" s="26"/>
      <c r="Q704" s="26"/>
      <c r="R704" s="26"/>
      <c r="S704" s="26"/>
    </row>
    <row r="705" spans="1:19" ht="15.75" customHeight="1" x14ac:dyDescent="0.25">
      <c r="A705" s="26"/>
      <c r="B705" s="26"/>
      <c r="C705" s="26"/>
      <c r="D705" s="26"/>
      <c r="E705" s="26"/>
      <c r="F705" s="26"/>
      <c r="G705" s="26"/>
      <c r="H705" s="26"/>
      <c r="I705" s="26"/>
      <c r="J705" s="26"/>
      <c r="K705" s="26"/>
      <c r="L705" s="26"/>
      <c r="M705" s="26"/>
      <c r="N705" s="26"/>
      <c r="O705" s="26"/>
      <c r="P705" s="26"/>
      <c r="Q705" s="26"/>
      <c r="R705" s="26"/>
      <c r="S705" s="26"/>
    </row>
    <row r="706" spans="1:19" ht="15.75" customHeight="1" x14ac:dyDescent="0.25">
      <c r="A706" s="26"/>
      <c r="B706" s="26"/>
      <c r="C706" s="26"/>
      <c r="D706" s="26"/>
      <c r="E706" s="26"/>
      <c r="F706" s="26"/>
      <c r="G706" s="26"/>
      <c r="H706" s="26"/>
      <c r="I706" s="26"/>
      <c r="J706" s="26"/>
      <c r="K706" s="26"/>
      <c r="L706" s="26"/>
      <c r="M706" s="26"/>
      <c r="N706" s="26"/>
      <c r="O706" s="26"/>
      <c r="P706" s="26"/>
      <c r="Q706" s="26"/>
      <c r="R706" s="26"/>
      <c r="S706" s="26"/>
    </row>
    <row r="707" spans="1:19" ht="15.75" customHeight="1" x14ac:dyDescent="0.25">
      <c r="A707" s="26"/>
      <c r="B707" s="26"/>
      <c r="C707" s="26"/>
      <c r="D707" s="26"/>
      <c r="E707" s="26"/>
      <c r="F707" s="26"/>
      <c r="G707" s="26"/>
      <c r="H707" s="26"/>
      <c r="I707" s="26"/>
      <c r="J707" s="26"/>
      <c r="K707" s="26"/>
      <c r="L707" s="26"/>
      <c r="M707" s="26"/>
      <c r="N707" s="26"/>
      <c r="O707" s="26"/>
      <c r="P707" s="26"/>
      <c r="Q707" s="26"/>
      <c r="R707" s="26"/>
      <c r="S707" s="26"/>
    </row>
    <row r="708" spans="1:19" ht="15.75" customHeight="1" x14ac:dyDescent="0.25">
      <c r="A708" s="26"/>
      <c r="B708" s="26"/>
      <c r="C708" s="26"/>
      <c r="D708" s="26"/>
      <c r="E708" s="26"/>
      <c r="F708" s="26"/>
      <c r="G708" s="26"/>
      <c r="H708" s="26"/>
      <c r="I708" s="26"/>
      <c r="J708" s="26"/>
      <c r="K708" s="26"/>
      <c r="L708" s="26"/>
      <c r="M708" s="26"/>
      <c r="N708" s="26"/>
      <c r="O708" s="26"/>
      <c r="P708" s="26"/>
      <c r="Q708" s="26"/>
      <c r="R708" s="26"/>
      <c r="S708" s="26"/>
    </row>
    <row r="709" spans="1:19" ht="15.75" customHeight="1" x14ac:dyDescent="0.25">
      <c r="A709" s="26"/>
      <c r="B709" s="26"/>
      <c r="C709" s="26"/>
      <c r="D709" s="26"/>
      <c r="E709" s="26"/>
      <c r="F709" s="26"/>
      <c r="G709" s="26"/>
      <c r="H709" s="26"/>
      <c r="I709" s="26"/>
      <c r="J709" s="26"/>
      <c r="K709" s="26"/>
      <c r="L709" s="26"/>
      <c r="M709" s="26"/>
      <c r="N709" s="26"/>
      <c r="O709" s="26"/>
      <c r="P709" s="26"/>
      <c r="Q709" s="26"/>
      <c r="R709" s="26"/>
      <c r="S709" s="26"/>
    </row>
    <row r="710" spans="1:19" ht="15.75" customHeight="1" x14ac:dyDescent="0.25">
      <c r="A710" s="26"/>
      <c r="B710" s="26"/>
      <c r="C710" s="26"/>
      <c r="D710" s="26"/>
      <c r="E710" s="26"/>
      <c r="F710" s="26"/>
      <c r="G710" s="26"/>
      <c r="H710" s="26"/>
      <c r="I710" s="26"/>
      <c r="J710" s="26"/>
      <c r="K710" s="26"/>
      <c r="L710" s="26"/>
      <c r="M710" s="26"/>
      <c r="N710" s="26"/>
      <c r="O710" s="26"/>
      <c r="P710" s="26"/>
      <c r="Q710" s="26"/>
      <c r="R710" s="26"/>
      <c r="S710" s="26"/>
    </row>
    <row r="711" spans="1:19" ht="15.75" customHeight="1" x14ac:dyDescent="0.25">
      <c r="A711" s="26"/>
      <c r="B711" s="26"/>
      <c r="C711" s="26"/>
      <c r="D711" s="26"/>
      <c r="E711" s="26"/>
      <c r="F711" s="26"/>
      <c r="G711" s="26"/>
      <c r="H711" s="26"/>
      <c r="I711" s="26"/>
      <c r="J711" s="26"/>
      <c r="K711" s="26"/>
      <c r="L711" s="26"/>
      <c r="M711" s="26"/>
      <c r="N711" s="26"/>
      <c r="O711" s="26"/>
      <c r="P711" s="26"/>
      <c r="Q711" s="26"/>
      <c r="R711" s="26"/>
      <c r="S711" s="26"/>
    </row>
    <row r="712" spans="1:19" ht="15.75" customHeight="1" x14ac:dyDescent="0.25">
      <c r="A712" s="26"/>
      <c r="B712" s="26"/>
      <c r="C712" s="26"/>
      <c r="D712" s="26"/>
      <c r="E712" s="26"/>
      <c r="F712" s="26"/>
      <c r="G712" s="26"/>
      <c r="H712" s="26"/>
      <c r="I712" s="26"/>
      <c r="J712" s="26"/>
      <c r="K712" s="26"/>
      <c r="L712" s="26"/>
      <c r="M712" s="26"/>
      <c r="N712" s="26"/>
      <c r="O712" s="26"/>
      <c r="P712" s="26"/>
      <c r="Q712" s="26"/>
      <c r="R712" s="26"/>
      <c r="S712" s="26"/>
    </row>
    <row r="713" spans="1:19" ht="15.75" customHeight="1" x14ac:dyDescent="0.25">
      <c r="A713" s="26"/>
      <c r="B713" s="26"/>
      <c r="C713" s="26"/>
      <c r="D713" s="26"/>
      <c r="E713" s="26"/>
      <c r="F713" s="26"/>
      <c r="G713" s="26"/>
      <c r="H713" s="26"/>
      <c r="I713" s="26"/>
      <c r="J713" s="26"/>
      <c r="K713" s="26"/>
      <c r="L713" s="26"/>
      <c r="M713" s="26"/>
      <c r="N713" s="26"/>
      <c r="O713" s="26"/>
      <c r="P713" s="26"/>
      <c r="Q713" s="26"/>
      <c r="R713" s="26"/>
      <c r="S713" s="26"/>
    </row>
    <row r="714" spans="1:19" ht="15.75" customHeight="1" x14ac:dyDescent="0.25">
      <c r="A714" s="26"/>
      <c r="B714" s="26"/>
      <c r="C714" s="26"/>
      <c r="D714" s="26"/>
      <c r="E714" s="26"/>
      <c r="F714" s="26"/>
      <c r="G714" s="26"/>
      <c r="H714" s="26"/>
      <c r="I714" s="26"/>
      <c r="J714" s="26"/>
      <c r="K714" s="26"/>
      <c r="L714" s="26"/>
      <c r="M714" s="26"/>
      <c r="N714" s="26"/>
      <c r="O714" s="26"/>
      <c r="P714" s="26"/>
      <c r="Q714" s="26"/>
      <c r="R714" s="26"/>
      <c r="S714" s="26"/>
    </row>
    <row r="715" spans="1:19" ht="15.75" customHeight="1" x14ac:dyDescent="0.25">
      <c r="A715" s="26"/>
      <c r="B715" s="26"/>
      <c r="C715" s="26"/>
      <c r="D715" s="26"/>
      <c r="E715" s="26"/>
      <c r="F715" s="26"/>
      <c r="G715" s="26"/>
      <c r="H715" s="26"/>
      <c r="I715" s="26"/>
      <c r="J715" s="26"/>
      <c r="K715" s="26"/>
      <c r="L715" s="26"/>
      <c r="M715" s="26"/>
      <c r="N715" s="26"/>
      <c r="O715" s="26"/>
      <c r="P715" s="26"/>
      <c r="Q715" s="26"/>
      <c r="R715" s="26"/>
      <c r="S715" s="26"/>
    </row>
    <row r="716" spans="1:19" ht="15.75" customHeight="1" x14ac:dyDescent="0.25">
      <c r="A716" s="26"/>
      <c r="B716" s="26"/>
      <c r="C716" s="26"/>
      <c r="D716" s="26"/>
      <c r="E716" s="26"/>
      <c r="F716" s="26"/>
      <c r="G716" s="26"/>
      <c r="H716" s="26"/>
      <c r="I716" s="26"/>
      <c r="J716" s="26"/>
      <c r="K716" s="26"/>
      <c r="L716" s="26"/>
      <c r="M716" s="26"/>
      <c r="N716" s="26"/>
      <c r="O716" s="26"/>
      <c r="P716" s="26"/>
      <c r="Q716" s="26"/>
      <c r="R716" s="26"/>
      <c r="S716" s="26"/>
    </row>
    <row r="717" spans="1:19" ht="15.75" customHeight="1" x14ac:dyDescent="0.25">
      <c r="A717" s="26"/>
      <c r="B717" s="26"/>
      <c r="C717" s="26"/>
      <c r="D717" s="26"/>
      <c r="E717" s="26"/>
      <c r="F717" s="26"/>
      <c r="G717" s="26"/>
      <c r="H717" s="26"/>
      <c r="I717" s="26"/>
      <c r="J717" s="26"/>
      <c r="K717" s="26"/>
      <c r="L717" s="26"/>
      <c r="M717" s="26"/>
      <c r="N717" s="26"/>
      <c r="O717" s="26"/>
      <c r="P717" s="26"/>
      <c r="Q717" s="26"/>
      <c r="R717" s="26"/>
      <c r="S717" s="26"/>
    </row>
    <row r="718" spans="1:19" ht="15.75" customHeight="1" x14ac:dyDescent="0.25">
      <c r="A718" s="26"/>
      <c r="B718" s="26"/>
      <c r="C718" s="26"/>
      <c r="D718" s="26"/>
      <c r="E718" s="26"/>
      <c r="F718" s="26"/>
      <c r="G718" s="26"/>
      <c r="H718" s="26"/>
      <c r="I718" s="26"/>
      <c r="J718" s="26"/>
      <c r="K718" s="26"/>
      <c r="L718" s="26"/>
      <c r="M718" s="26"/>
      <c r="N718" s="26"/>
      <c r="O718" s="26"/>
      <c r="P718" s="26"/>
      <c r="Q718" s="26"/>
      <c r="R718" s="26"/>
      <c r="S718" s="26"/>
    </row>
    <row r="719" spans="1:19" ht="15.75" customHeight="1" x14ac:dyDescent="0.25">
      <c r="A719" s="26"/>
      <c r="B719" s="26"/>
      <c r="C719" s="26"/>
      <c r="D719" s="26"/>
      <c r="E719" s="26"/>
      <c r="F719" s="26"/>
      <c r="G719" s="26"/>
      <c r="H719" s="26"/>
      <c r="I719" s="26"/>
      <c r="J719" s="26"/>
      <c r="K719" s="26"/>
      <c r="L719" s="26"/>
      <c r="M719" s="26"/>
      <c r="N719" s="26"/>
      <c r="O719" s="26"/>
      <c r="P719" s="26"/>
      <c r="Q719" s="26"/>
      <c r="R719" s="26"/>
      <c r="S719" s="26"/>
    </row>
    <row r="720" spans="1:19" ht="15.75" customHeight="1" x14ac:dyDescent="0.25">
      <c r="A720" s="26"/>
      <c r="B720" s="26"/>
      <c r="C720" s="26"/>
      <c r="D720" s="26"/>
      <c r="E720" s="26"/>
      <c r="F720" s="26"/>
      <c r="G720" s="26"/>
      <c r="H720" s="26"/>
      <c r="I720" s="26"/>
      <c r="J720" s="26"/>
      <c r="K720" s="26"/>
      <c r="L720" s="26"/>
      <c r="M720" s="26"/>
      <c r="N720" s="26"/>
      <c r="O720" s="26"/>
      <c r="P720" s="26"/>
      <c r="Q720" s="26"/>
      <c r="R720" s="26"/>
      <c r="S720" s="26"/>
    </row>
    <row r="721" spans="1:19" ht="15.75" customHeight="1" x14ac:dyDescent="0.25">
      <c r="A721" s="26"/>
      <c r="B721" s="26"/>
      <c r="C721" s="26"/>
      <c r="D721" s="26"/>
      <c r="E721" s="26"/>
      <c r="F721" s="26"/>
      <c r="G721" s="26"/>
      <c r="H721" s="26"/>
      <c r="I721" s="26"/>
      <c r="J721" s="26"/>
      <c r="K721" s="26"/>
      <c r="L721" s="26"/>
      <c r="M721" s="26"/>
      <c r="N721" s="26"/>
      <c r="O721" s="26"/>
      <c r="P721" s="26"/>
      <c r="Q721" s="26"/>
      <c r="R721" s="26"/>
      <c r="S721" s="26"/>
    </row>
    <row r="722" spans="1:19" ht="15.75" customHeight="1" x14ac:dyDescent="0.25">
      <c r="A722" s="26"/>
      <c r="B722" s="26"/>
      <c r="C722" s="26"/>
      <c r="D722" s="26"/>
      <c r="E722" s="26"/>
      <c r="F722" s="26"/>
      <c r="G722" s="26"/>
      <c r="H722" s="26"/>
      <c r="I722" s="26"/>
      <c r="J722" s="26"/>
      <c r="K722" s="26"/>
      <c r="L722" s="26"/>
      <c r="M722" s="26"/>
      <c r="N722" s="26"/>
      <c r="O722" s="26"/>
      <c r="P722" s="26"/>
      <c r="Q722" s="26"/>
      <c r="R722" s="26"/>
      <c r="S722" s="26"/>
    </row>
    <row r="723" spans="1:19" ht="15.75" customHeight="1" x14ac:dyDescent="0.25">
      <c r="A723" s="26"/>
      <c r="B723" s="26"/>
      <c r="C723" s="26"/>
      <c r="D723" s="26"/>
      <c r="E723" s="26"/>
      <c r="F723" s="26"/>
      <c r="G723" s="26"/>
      <c r="H723" s="26"/>
      <c r="I723" s="26"/>
      <c r="J723" s="26"/>
      <c r="K723" s="26"/>
      <c r="L723" s="26"/>
      <c r="M723" s="26"/>
      <c r="N723" s="26"/>
      <c r="O723" s="26"/>
      <c r="P723" s="26"/>
      <c r="Q723" s="26"/>
      <c r="R723" s="26"/>
      <c r="S723" s="26"/>
    </row>
    <row r="724" spans="1:19" ht="15.75" customHeight="1" x14ac:dyDescent="0.25">
      <c r="A724" s="26"/>
      <c r="B724" s="26"/>
      <c r="C724" s="26"/>
      <c r="D724" s="26"/>
      <c r="E724" s="26"/>
      <c r="F724" s="26"/>
      <c r="G724" s="26"/>
      <c r="H724" s="26"/>
      <c r="I724" s="26"/>
      <c r="J724" s="26"/>
      <c r="K724" s="26"/>
      <c r="L724" s="26"/>
      <c r="M724" s="26"/>
      <c r="N724" s="26"/>
      <c r="O724" s="26"/>
      <c r="P724" s="26"/>
      <c r="Q724" s="26"/>
      <c r="R724" s="26"/>
      <c r="S724" s="26"/>
    </row>
    <row r="725" spans="1:19" ht="15.75" customHeight="1" x14ac:dyDescent="0.25">
      <c r="A725" s="26"/>
      <c r="B725" s="26"/>
      <c r="C725" s="26"/>
      <c r="D725" s="26"/>
      <c r="E725" s="26"/>
      <c r="F725" s="26"/>
      <c r="G725" s="26"/>
      <c r="H725" s="26"/>
      <c r="I725" s="26"/>
      <c r="J725" s="26"/>
      <c r="K725" s="26"/>
      <c r="L725" s="26"/>
      <c r="M725" s="26"/>
      <c r="N725" s="26"/>
      <c r="O725" s="26"/>
      <c r="P725" s="26"/>
      <c r="Q725" s="26"/>
      <c r="R725" s="26"/>
      <c r="S725" s="26"/>
    </row>
    <row r="726" spans="1:19" ht="15.75" customHeight="1" x14ac:dyDescent="0.25">
      <c r="A726" s="26"/>
      <c r="B726" s="26"/>
      <c r="C726" s="26"/>
      <c r="D726" s="26"/>
      <c r="E726" s="26"/>
      <c r="F726" s="26"/>
      <c r="G726" s="26"/>
      <c r="H726" s="26"/>
      <c r="I726" s="26"/>
      <c r="J726" s="26"/>
      <c r="K726" s="26"/>
      <c r="L726" s="26"/>
      <c r="M726" s="26"/>
      <c r="N726" s="26"/>
      <c r="O726" s="26"/>
      <c r="P726" s="26"/>
      <c r="Q726" s="26"/>
      <c r="R726" s="26"/>
      <c r="S726" s="26"/>
    </row>
    <row r="727" spans="1:19" ht="15.75" customHeight="1" x14ac:dyDescent="0.25">
      <c r="A727" s="26"/>
      <c r="B727" s="26"/>
      <c r="C727" s="26"/>
      <c r="D727" s="26"/>
      <c r="E727" s="26"/>
      <c r="F727" s="26"/>
      <c r="G727" s="26"/>
      <c r="H727" s="26"/>
      <c r="I727" s="26"/>
      <c r="J727" s="26"/>
      <c r="K727" s="26"/>
      <c r="L727" s="26"/>
      <c r="M727" s="26"/>
      <c r="N727" s="26"/>
      <c r="O727" s="26"/>
      <c r="P727" s="26"/>
      <c r="Q727" s="26"/>
      <c r="R727" s="26"/>
      <c r="S727" s="26"/>
    </row>
    <row r="728" spans="1:19" ht="15.75" customHeight="1" x14ac:dyDescent="0.25">
      <c r="A728" s="26"/>
      <c r="B728" s="26"/>
      <c r="C728" s="26"/>
      <c r="D728" s="26"/>
      <c r="E728" s="26"/>
      <c r="F728" s="26"/>
      <c r="G728" s="26"/>
      <c r="H728" s="26"/>
      <c r="I728" s="26"/>
      <c r="J728" s="26"/>
      <c r="K728" s="26"/>
      <c r="L728" s="26"/>
      <c r="M728" s="26"/>
      <c r="N728" s="26"/>
      <c r="O728" s="26"/>
      <c r="P728" s="26"/>
      <c r="Q728" s="26"/>
      <c r="R728" s="26"/>
      <c r="S728" s="26"/>
    </row>
    <row r="729" spans="1:19" ht="15.75" customHeight="1" x14ac:dyDescent="0.25">
      <c r="A729" s="26"/>
      <c r="B729" s="26"/>
      <c r="C729" s="26"/>
      <c r="D729" s="26"/>
      <c r="E729" s="26"/>
      <c r="F729" s="26"/>
      <c r="G729" s="26"/>
      <c r="H729" s="26"/>
      <c r="I729" s="26"/>
      <c r="J729" s="26"/>
      <c r="K729" s="26"/>
      <c r="L729" s="26"/>
      <c r="M729" s="26"/>
      <c r="N729" s="26"/>
      <c r="O729" s="26"/>
      <c r="P729" s="26"/>
      <c r="Q729" s="26"/>
      <c r="R729" s="26"/>
      <c r="S729" s="26"/>
    </row>
    <row r="730" spans="1:19" ht="15.75" customHeight="1" x14ac:dyDescent="0.25">
      <c r="A730" s="26"/>
      <c r="B730" s="26"/>
      <c r="C730" s="26"/>
      <c r="D730" s="26"/>
      <c r="E730" s="26"/>
      <c r="F730" s="26"/>
      <c r="G730" s="26"/>
      <c r="H730" s="26"/>
      <c r="I730" s="26"/>
      <c r="J730" s="26"/>
      <c r="K730" s="26"/>
      <c r="L730" s="26"/>
      <c r="M730" s="26"/>
      <c r="N730" s="26"/>
      <c r="O730" s="26"/>
      <c r="P730" s="26"/>
      <c r="Q730" s="26"/>
      <c r="R730" s="26"/>
      <c r="S730" s="26"/>
    </row>
    <row r="731" spans="1:19" ht="15.75" customHeight="1" x14ac:dyDescent="0.25">
      <c r="A731" s="26"/>
      <c r="B731" s="26"/>
      <c r="C731" s="26"/>
      <c r="D731" s="26"/>
      <c r="E731" s="26"/>
      <c r="F731" s="26"/>
      <c r="G731" s="26"/>
      <c r="H731" s="26"/>
      <c r="I731" s="26"/>
      <c r="J731" s="26"/>
      <c r="K731" s="26"/>
      <c r="L731" s="26"/>
      <c r="M731" s="26"/>
      <c r="N731" s="26"/>
      <c r="O731" s="26"/>
      <c r="P731" s="26"/>
      <c r="Q731" s="26"/>
      <c r="R731" s="26"/>
      <c r="S731" s="26"/>
    </row>
    <row r="732" spans="1:19" ht="15.75" customHeight="1" x14ac:dyDescent="0.25">
      <c r="A732" s="26"/>
      <c r="B732" s="26"/>
      <c r="C732" s="26"/>
      <c r="D732" s="26"/>
      <c r="E732" s="26"/>
      <c r="F732" s="26"/>
      <c r="G732" s="26"/>
      <c r="H732" s="26"/>
      <c r="I732" s="26"/>
      <c r="J732" s="26"/>
      <c r="K732" s="26"/>
      <c r="L732" s="26"/>
      <c r="M732" s="26"/>
      <c r="N732" s="26"/>
      <c r="O732" s="26"/>
      <c r="P732" s="26"/>
      <c r="Q732" s="26"/>
      <c r="R732" s="26"/>
      <c r="S732" s="26"/>
    </row>
    <row r="733" spans="1:19" ht="15.75" customHeight="1" x14ac:dyDescent="0.25">
      <c r="A733" s="26"/>
      <c r="B733" s="26"/>
      <c r="C733" s="26"/>
      <c r="D733" s="26"/>
      <c r="E733" s="26"/>
      <c r="F733" s="26"/>
      <c r="G733" s="26"/>
      <c r="H733" s="26"/>
      <c r="I733" s="26"/>
      <c r="J733" s="26"/>
      <c r="K733" s="26"/>
      <c r="L733" s="26"/>
      <c r="M733" s="26"/>
      <c r="N733" s="26"/>
      <c r="O733" s="26"/>
      <c r="P733" s="26"/>
      <c r="Q733" s="26"/>
      <c r="R733" s="26"/>
      <c r="S733" s="26"/>
    </row>
    <row r="734" spans="1:19" ht="15.75" customHeight="1" x14ac:dyDescent="0.25">
      <c r="A734" s="26"/>
      <c r="B734" s="26"/>
      <c r="C734" s="26"/>
      <c r="D734" s="26"/>
      <c r="E734" s="26"/>
      <c r="F734" s="26"/>
      <c r="G734" s="26"/>
      <c r="H734" s="26"/>
      <c r="I734" s="26"/>
      <c r="J734" s="26"/>
      <c r="K734" s="26"/>
      <c r="L734" s="26"/>
      <c r="M734" s="26"/>
      <c r="N734" s="26"/>
      <c r="O734" s="26"/>
      <c r="P734" s="26"/>
      <c r="Q734" s="26"/>
      <c r="R734" s="26"/>
      <c r="S734" s="26"/>
    </row>
    <row r="735" spans="1:19" ht="15.75" customHeight="1" x14ac:dyDescent="0.25">
      <c r="A735" s="26"/>
      <c r="B735" s="26"/>
      <c r="C735" s="26"/>
      <c r="D735" s="26"/>
      <c r="E735" s="26"/>
      <c r="F735" s="26"/>
      <c r="G735" s="26"/>
      <c r="H735" s="26"/>
      <c r="I735" s="26"/>
      <c r="J735" s="26"/>
      <c r="K735" s="26"/>
      <c r="L735" s="26"/>
      <c r="M735" s="26"/>
      <c r="N735" s="26"/>
      <c r="O735" s="26"/>
      <c r="P735" s="26"/>
      <c r="Q735" s="26"/>
      <c r="R735" s="26"/>
      <c r="S735" s="26"/>
    </row>
    <row r="736" spans="1:19" ht="15.75" customHeight="1" x14ac:dyDescent="0.25">
      <c r="A736" s="26"/>
      <c r="B736" s="26"/>
      <c r="C736" s="26"/>
      <c r="D736" s="26"/>
      <c r="E736" s="26"/>
      <c r="F736" s="26"/>
      <c r="G736" s="26"/>
      <c r="H736" s="26"/>
      <c r="I736" s="26"/>
      <c r="J736" s="26"/>
      <c r="K736" s="26"/>
      <c r="L736" s="26"/>
      <c r="M736" s="26"/>
      <c r="N736" s="26"/>
      <c r="O736" s="26"/>
      <c r="P736" s="26"/>
      <c r="Q736" s="26"/>
      <c r="R736" s="26"/>
      <c r="S736" s="26"/>
    </row>
    <row r="737" spans="1:19" ht="15.75" customHeight="1" x14ac:dyDescent="0.25">
      <c r="A737" s="26"/>
      <c r="B737" s="26"/>
      <c r="C737" s="26"/>
      <c r="D737" s="26"/>
      <c r="E737" s="26"/>
      <c r="F737" s="26"/>
      <c r="G737" s="26"/>
      <c r="H737" s="26"/>
      <c r="I737" s="26"/>
      <c r="J737" s="26"/>
      <c r="K737" s="26"/>
      <c r="L737" s="26"/>
      <c r="M737" s="26"/>
      <c r="N737" s="26"/>
      <c r="O737" s="26"/>
      <c r="P737" s="26"/>
      <c r="Q737" s="26"/>
      <c r="R737" s="26"/>
      <c r="S737" s="26"/>
    </row>
    <row r="738" spans="1:19" ht="15.75" customHeight="1" x14ac:dyDescent="0.25">
      <c r="A738" s="26"/>
      <c r="B738" s="26"/>
      <c r="C738" s="26"/>
      <c r="D738" s="26"/>
      <c r="E738" s="26"/>
      <c r="F738" s="26"/>
      <c r="G738" s="26"/>
      <c r="H738" s="26"/>
      <c r="I738" s="26"/>
      <c r="J738" s="26"/>
      <c r="K738" s="26"/>
      <c r="L738" s="26"/>
      <c r="M738" s="26"/>
      <c r="N738" s="26"/>
      <c r="O738" s="26"/>
      <c r="P738" s="26"/>
      <c r="Q738" s="26"/>
      <c r="R738" s="26"/>
      <c r="S738" s="26"/>
    </row>
    <row r="739" spans="1:19" ht="15.75" customHeight="1" x14ac:dyDescent="0.25">
      <c r="A739" s="26"/>
      <c r="B739" s="26"/>
      <c r="C739" s="26"/>
      <c r="D739" s="26"/>
      <c r="E739" s="26"/>
      <c r="F739" s="26"/>
      <c r="G739" s="26"/>
      <c r="H739" s="26"/>
      <c r="I739" s="26"/>
      <c r="J739" s="26"/>
      <c r="K739" s="26"/>
      <c r="L739" s="26"/>
      <c r="M739" s="26"/>
      <c r="N739" s="26"/>
      <c r="O739" s="26"/>
      <c r="P739" s="26"/>
      <c r="Q739" s="26"/>
      <c r="R739" s="26"/>
      <c r="S739" s="26"/>
    </row>
    <row r="740" spans="1:19" ht="15.75" customHeight="1" x14ac:dyDescent="0.25">
      <c r="A740" s="26"/>
      <c r="B740" s="26"/>
      <c r="C740" s="26"/>
      <c r="D740" s="26"/>
      <c r="E740" s="26"/>
      <c r="F740" s="26"/>
      <c r="G740" s="26"/>
      <c r="H740" s="26"/>
      <c r="I740" s="26"/>
      <c r="J740" s="26"/>
      <c r="K740" s="26"/>
      <c r="L740" s="26"/>
      <c r="M740" s="26"/>
      <c r="N740" s="26"/>
      <c r="O740" s="26"/>
      <c r="P740" s="26"/>
      <c r="Q740" s="26"/>
      <c r="R740" s="26"/>
      <c r="S740" s="26"/>
    </row>
    <row r="741" spans="1:19" ht="15.75" customHeight="1" x14ac:dyDescent="0.25">
      <c r="A741" s="26"/>
      <c r="B741" s="26"/>
      <c r="C741" s="26"/>
      <c r="D741" s="26"/>
      <c r="E741" s="26"/>
      <c r="F741" s="26"/>
      <c r="G741" s="26"/>
      <c r="H741" s="26"/>
      <c r="I741" s="26"/>
      <c r="J741" s="26"/>
      <c r="K741" s="26"/>
      <c r="L741" s="26"/>
      <c r="M741" s="26"/>
      <c r="N741" s="26"/>
      <c r="O741" s="26"/>
      <c r="P741" s="26"/>
      <c r="Q741" s="26"/>
      <c r="R741" s="26"/>
      <c r="S741" s="26"/>
    </row>
    <row r="742" spans="1:19" ht="15.75" customHeight="1" x14ac:dyDescent="0.25">
      <c r="A742" s="26"/>
      <c r="B742" s="26"/>
      <c r="C742" s="26"/>
      <c r="D742" s="26"/>
      <c r="E742" s="26"/>
      <c r="F742" s="26"/>
      <c r="G742" s="26"/>
      <c r="H742" s="26"/>
      <c r="I742" s="26"/>
      <c r="J742" s="26"/>
      <c r="K742" s="26"/>
      <c r="L742" s="26"/>
      <c r="M742" s="26"/>
      <c r="N742" s="26"/>
      <c r="O742" s="26"/>
      <c r="P742" s="26"/>
      <c r="Q742" s="26"/>
      <c r="R742" s="26"/>
      <c r="S742" s="26"/>
    </row>
    <row r="743" spans="1:19" ht="15.75" customHeight="1" x14ac:dyDescent="0.25">
      <c r="A743" s="26"/>
      <c r="B743" s="26"/>
      <c r="C743" s="26"/>
      <c r="D743" s="26"/>
      <c r="E743" s="26"/>
      <c r="F743" s="26"/>
      <c r="G743" s="26"/>
      <c r="H743" s="26"/>
      <c r="I743" s="26"/>
      <c r="J743" s="26"/>
      <c r="K743" s="26"/>
      <c r="L743" s="26"/>
      <c r="M743" s="26"/>
      <c r="N743" s="26"/>
      <c r="O743" s="26"/>
      <c r="P743" s="26"/>
      <c r="Q743" s="26"/>
      <c r="R743" s="26"/>
      <c r="S743" s="26"/>
    </row>
    <row r="744" spans="1:19" ht="15.75" customHeight="1" x14ac:dyDescent="0.25">
      <c r="A744" s="26"/>
      <c r="B744" s="26"/>
      <c r="C744" s="26"/>
      <c r="D744" s="26"/>
      <c r="E744" s="26"/>
      <c r="F744" s="26"/>
      <c r="G744" s="26"/>
      <c r="H744" s="26"/>
      <c r="I744" s="26"/>
      <c r="J744" s="26"/>
      <c r="K744" s="26"/>
      <c r="L744" s="26"/>
      <c r="M744" s="26"/>
      <c r="N744" s="26"/>
      <c r="O744" s="26"/>
      <c r="P744" s="26"/>
      <c r="Q744" s="26"/>
      <c r="R744" s="26"/>
      <c r="S744" s="26"/>
    </row>
    <row r="745" spans="1:19" ht="15.75" customHeight="1" x14ac:dyDescent="0.25">
      <c r="A745" s="26"/>
      <c r="B745" s="26"/>
      <c r="C745" s="26"/>
      <c r="D745" s="26"/>
      <c r="E745" s="26"/>
      <c r="F745" s="26"/>
      <c r="G745" s="26"/>
      <c r="H745" s="26"/>
      <c r="I745" s="26"/>
      <c r="J745" s="26"/>
      <c r="K745" s="26"/>
      <c r="L745" s="26"/>
      <c r="M745" s="26"/>
      <c r="N745" s="26"/>
      <c r="O745" s="26"/>
      <c r="P745" s="26"/>
      <c r="Q745" s="26"/>
      <c r="R745" s="26"/>
      <c r="S745" s="26"/>
    </row>
    <row r="746" spans="1:19" ht="15.75" customHeight="1" x14ac:dyDescent="0.25">
      <c r="A746" s="26"/>
      <c r="B746" s="26"/>
      <c r="C746" s="26"/>
      <c r="D746" s="26"/>
      <c r="E746" s="26"/>
      <c r="F746" s="26"/>
      <c r="G746" s="26"/>
      <c r="H746" s="26"/>
      <c r="I746" s="26"/>
      <c r="J746" s="26"/>
      <c r="K746" s="26"/>
      <c r="L746" s="26"/>
      <c r="M746" s="26"/>
      <c r="N746" s="26"/>
      <c r="O746" s="26"/>
      <c r="P746" s="26"/>
      <c r="Q746" s="26"/>
      <c r="R746" s="26"/>
      <c r="S746" s="26"/>
    </row>
    <row r="747" spans="1:19" ht="15.75" customHeight="1" x14ac:dyDescent="0.25">
      <c r="A747" s="26"/>
      <c r="B747" s="26"/>
      <c r="C747" s="26"/>
      <c r="D747" s="26"/>
      <c r="E747" s="26"/>
      <c r="F747" s="26"/>
      <c r="G747" s="26"/>
      <c r="H747" s="26"/>
      <c r="I747" s="26"/>
      <c r="J747" s="26"/>
      <c r="K747" s="26"/>
      <c r="L747" s="26"/>
      <c r="M747" s="26"/>
      <c r="N747" s="26"/>
      <c r="O747" s="26"/>
      <c r="P747" s="26"/>
      <c r="Q747" s="26"/>
      <c r="R747" s="26"/>
      <c r="S747" s="26"/>
    </row>
    <row r="748" spans="1:19" ht="15.75" customHeight="1" x14ac:dyDescent="0.25">
      <c r="A748" s="26"/>
      <c r="B748" s="26"/>
      <c r="C748" s="26"/>
      <c r="D748" s="26"/>
      <c r="E748" s="26"/>
      <c r="F748" s="26"/>
      <c r="G748" s="26"/>
      <c r="H748" s="26"/>
      <c r="I748" s="26"/>
      <c r="J748" s="26"/>
      <c r="K748" s="26"/>
      <c r="L748" s="26"/>
      <c r="M748" s="26"/>
      <c r="N748" s="26"/>
      <c r="O748" s="26"/>
      <c r="P748" s="26"/>
      <c r="Q748" s="26"/>
      <c r="R748" s="26"/>
      <c r="S748" s="26"/>
    </row>
    <row r="749" spans="1:19" ht="15.75" customHeight="1" x14ac:dyDescent="0.25">
      <c r="A749" s="26"/>
      <c r="B749" s="26"/>
      <c r="C749" s="26"/>
      <c r="D749" s="26"/>
      <c r="E749" s="26"/>
      <c r="F749" s="26"/>
      <c r="G749" s="26"/>
      <c r="H749" s="26"/>
      <c r="I749" s="26"/>
      <c r="J749" s="26"/>
      <c r="K749" s="26"/>
      <c r="L749" s="26"/>
      <c r="M749" s="26"/>
      <c r="N749" s="26"/>
      <c r="O749" s="26"/>
      <c r="P749" s="26"/>
      <c r="Q749" s="26"/>
      <c r="R749" s="26"/>
      <c r="S749" s="26"/>
    </row>
    <row r="750" spans="1:19" ht="15.75" customHeight="1" x14ac:dyDescent="0.25">
      <c r="A750" s="26"/>
      <c r="B750" s="26"/>
      <c r="C750" s="26"/>
      <c r="D750" s="26"/>
      <c r="E750" s="26"/>
      <c r="F750" s="26"/>
      <c r="G750" s="26"/>
      <c r="H750" s="26"/>
      <c r="I750" s="26"/>
      <c r="J750" s="26"/>
      <c r="K750" s="26"/>
      <c r="L750" s="26"/>
      <c r="M750" s="26"/>
      <c r="N750" s="26"/>
      <c r="O750" s="26"/>
      <c r="P750" s="26"/>
      <c r="Q750" s="26"/>
      <c r="R750" s="26"/>
      <c r="S750" s="26"/>
    </row>
    <row r="751" spans="1:19" ht="15.75" customHeight="1" x14ac:dyDescent="0.25">
      <c r="A751" s="26"/>
      <c r="B751" s="26"/>
      <c r="C751" s="26"/>
      <c r="D751" s="26"/>
      <c r="E751" s="26"/>
      <c r="F751" s="26"/>
      <c r="G751" s="26"/>
      <c r="H751" s="26"/>
      <c r="I751" s="26"/>
      <c r="J751" s="26"/>
      <c r="K751" s="26"/>
      <c r="L751" s="26"/>
      <c r="M751" s="26"/>
      <c r="N751" s="26"/>
      <c r="O751" s="26"/>
      <c r="P751" s="26"/>
      <c r="Q751" s="26"/>
      <c r="R751" s="26"/>
      <c r="S751" s="26"/>
    </row>
    <row r="752" spans="1:19" ht="15.75" customHeight="1" x14ac:dyDescent="0.25">
      <c r="A752" s="26"/>
      <c r="B752" s="26"/>
      <c r="C752" s="26"/>
      <c r="D752" s="26"/>
      <c r="E752" s="26"/>
      <c r="F752" s="26"/>
      <c r="G752" s="26"/>
      <c r="H752" s="26"/>
      <c r="I752" s="26"/>
      <c r="J752" s="26"/>
      <c r="K752" s="26"/>
      <c r="L752" s="26"/>
      <c r="M752" s="26"/>
      <c r="N752" s="26"/>
      <c r="O752" s="26"/>
      <c r="P752" s="26"/>
      <c r="Q752" s="26"/>
      <c r="R752" s="26"/>
      <c r="S752" s="26"/>
    </row>
    <row r="753" spans="1:19" ht="15.75" customHeight="1" x14ac:dyDescent="0.25">
      <c r="A753" s="26"/>
      <c r="B753" s="26"/>
      <c r="C753" s="26"/>
      <c r="D753" s="26"/>
      <c r="E753" s="26"/>
      <c r="F753" s="26"/>
      <c r="G753" s="26"/>
      <c r="H753" s="26"/>
      <c r="I753" s="26"/>
      <c r="J753" s="26"/>
      <c r="K753" s="26"/>
      <c r="L753" s="26"/>
      <c r="M753" s="26"/>
      <c r="N753" s="26"/>
      <c r="O753" s="26"/>
      <c r="P753" s="26"/>
      <c r="Q753" s="26"/>
      <c r="R753" s="26"/>
      <c r="S753" s="26"/>
    </row>
    <row r="754" spans="1:19" ht="15.75" customHeight="1" x14ac:dyDescent="0.25">
      <c r="A754" s="26"/>
      <c r="B754" s="26"/>
      <c r="C754" s="26"/>
      <c r="D754" s="26"/>
      <c r="E754" s="26"/>
      <c r="F754" s="26"/>
      <c r="G754" s="26"/>
      <c r="H754" s="26"/>
      <c r="I754" s="26"/>
      <c r="J754" s="26"/>
      <c r="K754" s="26"/>
      <c r="L754" s="26"/>
      <c r="M754" s="26"/>
      <c r="N754" s="26"/>
      <c r="O754" s="26"/>
      <c r="P754" s="26"/>
      <c r="Q754" s="26"/>
      <c r="R754" s="26"/>
      <c r="S754" s="26"/>
    </row>
    <row r="755" spans="1:19" ht="15.75" customHeight="1" x14ac:dyDescent="0.25">
      <c r="A755" s="26"/>
      <c r="B755" s="26"/>
      <c r="C755" s="26"/>
      <c r="D755" s="26"/>
      <c r="E755" s="26"/>
      <c r="F755" s="26"/>
      <c r="G755" s="26"/>
      <c r="H755" s="26"/>
      <c r="I755" s="26"/>
      <c r="J755" s="26"/>
      <c r="K755" s="26"/>
      <c r="L755" s="26"/>
      <c r="M755" s="26"/>
      <c r="N755" s="26"/>
      <c r="O755" s="26"/>
      <c r="P755" s="26"/>
      <c r="Q755" s="26"/>
      <c r="R755" s="26"/>
      <c r="S755" s="26"/>
    </row>
    <row r="756" spans="1:19" ht="15.75" customHeight="1" x14ac:dyDescent="0.25">
      <c r="A756" s="26"/>
      <c r="B756" s="26"/>
      <c r="C756" s="26"/>
      <c r="D756" s="26"/>
      <c r="E756" s="26"/>
      <c r="F756" s="26"/>
      <c r="G756" s="26"/>
      <c r="H756" s="26"/>
      <c r="I756" s="26"/>
      <c r="J756" s="26"/>
      <c r="K756" s="26"/>
      <c r="L756" s="26"/>
      <c r="M756" s="26"/>
      <c r="N756" s="26"/>
      <c r="O756" s="26"/>
      <c r="P756" s="26"/>
      <c r="Q756" s="26"/>
      <c r="R756" s="26"/>
      <c r="S756" s="26"/>
    </row>
    <row r="757" spans="1:19" ht="15.75" customHeight="1" x14ac:dyDescent="0.25">
      <c r="A757" s="26"/>
      <c r="B757" s="26"/>
      <c r="C757" s="26"/>
      <c r="D757" s="26"/>
      <c r="E757" s="26"/>
      <c r="F757" s="26"/>
      <c r="G757" s="26"/>
      <c r="H757" s="26"/>
      <c r="I757" s="26"/>
      <c r="J757" s="26"/>
      <c r="K757" s="26"/>
      <c r="L757" s="26"/>
      <c r="M757" s="26"/>
      <c r="N757" s="26"/>
      <c r="O757" s="26"/>
      <c r="P757" s="26"/>
      <c r="Q757" s="26"/>
      <c r="R757" s="26"/>
      <c r="S757" s="26"/>
    </row>
    <row r="758" spans="1:19" ht="15.75" customHeight="1" x14ac:dyDescent="0.25">
      <c r="A758" s="26"/>
      <c r="B758" s="26"/>
      <c r="C758" s="26"/>
      <c r="D758" s="26"/>
      <c r="E758" s="26"/>
      <c r="F758" s="26"/>
      <c r="G758" s="26"/>
      <c r="H758" s="26"/>
      <c r="I758" s="26"/>
      <c r="J758" s="26"/>
      <c r="K758" s="26"/>
      <c r="L758" s="26"/>
      <c r="M758" s="26"/>
      <c r="N758" s="26"/>
      <c r="O758" s="26"/>
      <c r="P758" s="26"/>
      <c r="Q758" s="26"/>
      <c r="R758" s="26"/>
      <c r="S758" s="26"/>
    </row>
    <row r="759" spans="1:19" ht="15.75" customHeight="1" x14ac:dyDescent="0.25">
      <c r="A759" s="26"/>
      <c r="B759" s="26"/>
      <c r="C759" s="26"/>
      <c r="D759" s="26"/>
      <c r="E759" s="26"/>
      <c r="F759" s="26"/>
      <c r="G759" s="26"/>
      <c r="H759" s="26"/>
      <c r="I759" s="26"/>
      <c r="J759" s="26"/>
      <c r="K759" s="26"/>
      <c r="L759" s="26"/>
      <c r="M759" s="26"/>
      <c r="N759" s="26"/>
      <c r="O759" s="26"/>
      <c r="P759" s="26"/>
      <c r="Q759" s="26"/>
      <c r="R759" s="26"/>
      <c r="S759" s="26"/>
    </row>
    <row r="760" spans="1:19" ht="15.75" customHeight="1" x14ac:dyDescent="0.25">
      <c r="A760" s="26"/>
      <c r="B760" s="26"/>
      <c r="C760" s="26"/>
      <c r="D760" s="26"/>
      <c r="E760" s="26"/>
      <c r="F760" s="26"/>
      <c r="G760" s="26"/>
      <c r="H760" s="26"/>
      <c r="I760" s="26"/>
      <c r="J760" s="26"/>
      <c r="K760" s="26"/>
      <c r="L760" s="26"/>
      <c r="M760" s="26"/>
      <c r="N760" s="26"/>
      <c r="O760" s="26"/>
      <c r="P760" s="26"/>
      <c r="Q760" s="26"/>
      <c r="R760" s="26"/>
      <c r="S760" s="26"/>
    </row>
    <row r="761" spans="1:19" ht="15.75" customHeight="1" x14ac:dyDescent="0.25">
      <c r="A761" s="26"/>
      <c r="B761" s="26"/>
      <c r="C761" s="26"/>
      <c r="D761" s="26"/>
      <c r="E761" s="26"/>
      <c r="F761" s="26"/>
      <c r="G761" s="26"/>
      <c r="H761" s="26"/>
      <c r="I761" s="26"/>
      <c r="J761" s="26"/>
      <c r="K761" s="26"/>
      <c r="L761" s="26"/>
      <c r="M761" s="26"/>
      <c r="N761" s="26"/>
      <c r="O761" s="26"/>
      <c r="P761" s="26"/>
      <c r="Q761" s="26"/>
      <c r="R761" s="26"/>
      <c r="S761" s="26"/>
    </row>
    <row r="762" spans="1:19" ht="15.75" customHeight="1" x14ac:dyDescent="0.25">
      <c r="A762" s="26"/>
      <c r="B762" s="26"/>
      <c r="C762" s="26"/>
      <c r="D762" s="26"/>
      <c r="E762" s="26"/>
      <c r="F762" s="26"/>
      <c r="G762" s="26"/>
      <c r="H762" s="26"/>
      <c r="I762" s="26"/>
      <c r="J762" s="26"/>
      <c r="K762" s="26"/>
      <c r="L762" s="26"/>
      <c r="M762" s="26"/>
      <c r="N762" s="26"/>
      <c r="O762" s="26"/>
      <c r="P762" s="26"/>
      <c r="Q762" s="26"/>
      <c r="R762" s="26"/>
      <c r="S762" s="26"/>
    </row>
    <row r="763" spans="1:19" ht="15.75" customHeight="1" x14ac:dyDescent="0.25">
      <c r="A763" s="26"/>
      <c r="B763" s="26"/>
      <c r="C763" s="26"/>
      <c r="D763" s="26"/>
      <c r="E763" s="26"/>
      <c r="F763" s="26"/>
      <c r="G763" s="26"/>
      <c r="H763" s="26"/>
      <c r="I763" s="26"/>
      <c r="J763" s="26"/>
      <c r="K763" s="26"/>
      <c r="L763" s="26"/>
      <c r="M763" s="26"/>
      <c r="N763" s="26"/>
      <c r="O763" s="26"/>
      <c r="P763" s="26"/>
      <c r="Q763" s="26"/>
      <c r="R763" s="26"/>
      <c r="S763" s="26"/>
    </row>
    <row r="764" spans="1:19" ht="15.75" customHeight="1" x14ac:dyDescent="0.25">
      <c r="A764" s="26"/>
      <c r="B764" s="26"/>
      <c r="C764" s="26"/>
      <c r="D764" s="26"/>
      <c r="E764" s="26"/>
      <c r="F764" s="26"/>
      <c r="G764" s="26"/>
      <c r="H764" s="26"/>
      <c r="I764" s="26"/>
      <c r="J764" s="26"/>
      <c r="K764" s="26"/>
      <c r="L764" s="26"/>
      <c r="M764" s="26"/>
      <c r="N764" s="26"/>
      <c r="O764" s="26"/>
      <c r="P764" s="26"/>
      <c r="Q764" s="26"/>
      <c r="R764" s="26"/>
      <c r="S764" s="26"/>
    </row>
    <row r="765" spans="1:19" ht="15.75" customHeight="1" x14ac:dyDescent="0.25">
      <c r="A765" s="26"/>
      <c r="B765" s="26"/>
      <c r="C765" s="26"/>
      <c r="D765" s="26"/>
      <c r="E765" s="26"/>
      <c r="F765" s="26"/>
      <c r="G765" s="26"/>
      <c r="H765" s="26"/>
      <c r="I765" s="26"/>
      <c r="J765" s="26"/>
      <c r="K765" s="26"/>
      <c r="L765" s="26"/>
      <c r="M765" s="26"/>
      <c r="N765" s="26"/>
      <c r="O765" s="26"/>
      <c r="P765" s="26"/>
      <c r="Q765" s="26"/>
      <c r="R765" s="26"/>
      <c r="S765" s="26"/>
    </row>
    <row r="766" spans="1:19" ht="15.75" customHeight="1" x14ac:dyDescent="0.25">
      <c r="A766" s="26"/>
      <c r="B766" s="26"/>
      <c r="C766" s="26"/>
      <c r="D766" s="26"/>
      <c r="E766" s="26"/>
      <c r="F766" s="26"/>
      <c r="G766" s="26"/>
      <c r="H766" s="26"/>
      <c r="I766" s="26"/>
      <c r="J766" s="26"/>
      <c r="K766" s="26"/>
      <c r="L766" s="26"/>
      <c r="M766" s="26"/>
      <c r="N766" s="26"/>
      <c r="O766" s="26"/>
      <c r="P766" s="26"/>
      <c r="Q766" s="26"/>
      <c r="R766" s="26"/>
      <c r="S766" s="26"/>
    </row>
    <row r="767" spans="1:19" ht="15.75" customHeight="1" x14ac:dyDescent="0.25">
      <c r="A767" s="26"/>
      <c r="B767" s="26"/>
      <c r="C767" s="26"/>
      <c r="D767" s="26"/>
      <c r="E767" s="26"/>
      <c r="F767" s="26"/>
      <c r="G767" s="26"/>
      <c r="H767" s="26"/>
      <c r="I767" s="26"/>
      <c r="J767" s="26"/>
      <c r="K767" s="26"/>
      <c r="L767" s="26"/>
      <c r="M767" s="26"/>
      <c r="N767" s="26"/>
      <c r="O767" s="26"/>
      <c r="P767" s="26"/>
      <c r="Q767" s="26"/>
      <c r="R767" s="26"/>
      <c r="S767" s="26"/>
    </row>
    <row r="768" spans="1:19" ht="15.75" customHeight="1" x14ac:dyDescent="0.25">
      <c r="A768" s="26"/>
      <c r="B768" s="26"/>
      <c r="C768" s="26"/>
      <c r="D768" s="26"/>
      <c r="E768" s="26"/>
      <c r="F768" s="26"/>
      <c r="G768" s="26"/>
      <c r="H768" s="26"/>
      <c r="I768" s="26"/>
      <c r="J768" s="26"/>
      <c r="K768" s="26"/>
      <c r="L768" s="26"/>
      <c r="M768" s="26"/>
      <c r="N768" s="26"/>
      <c r="O768" s="26"/>
      <c r="P768" s="26"/>
      <c r="Q768" s="26"/>
      <c r="R768" s="26"/>
      <c r="S768" s="26"/>
    </row>
    <row r="769" spans="1:19" ht="15.75" customHeight="1" x14ac:dyDescent="0.25">
      <c r="A769" s="26"/>
      <c r="B769" s="26"/>
      <c r="C769" s="26"/>
      <c r="D769" s="26"/>
      <c r="E769" s="26"/>
      <c r="F769" s="26"/>
      <c r="G769" s="26"/>
      <c r="H769" s="26"/>
      <c r="I769" s="26"/>
      <c r="J769" s="26"/>
      <c r="K769" s="26"/>
      <c r="L769" s="26"/>
      <c r="M769" s="26"/>
      <c r="N769" s="26"/>
      <c r="O769" s="26"/>
      <c r="P769" s="26"/>
      <c r="Q769" s="26"/>
      <c r="R769" s="26"/>
      <c r="S769" s="26"/>
    </row>
    <row r="770" spans="1:19" ht="15.75" customHeight="1" x14ac:dyDescent="0.25">
      <c r="A770" s="26"/>
      <c r="B770" s="26"/>
      <c r="C770" s="26"/>
      <c r="D770" s="26"/>
      <c r="E770" s="26"/>
      <c r="F770" s="26"/>
      <c r="G770" s="26"/>
      <c r="H770" s="26"/>
      <c r="I770" s="26"/>
      <c r="J770" s="26"/>
      <c r="K770" s="26"/>
      <c r="L770" s="26"/>
      <c r="M770" s="26"/>
      <c r="N770" s="26"/>
      <c r="O770" s="26"/>
      <c r="P770" s="26"/>
      <c r="Q770" s="26"/>
      <c r="R770" s="26"/>
      <c r="S770" s="26"/>
    </row>
    <row r="771" spans="1:19" ht="15.75" customHeight="1" x14ac:dyDescent="0.25">
      <c r="A771" s="26"/>
      <c r="B771" s="26"/>
      <c r="C771" s="26"/>
      <c r="D771" s="26"/>
      <c r="E771" s="26"/>
      <c r="F771" s="26"/>
      <c r="G771" s="26"/>
      <c r="H771" s="26"/>
      <c r="I771" s="26"/>
      <c r="J771" s="26"/>
      <c r="K771" s="26"/>
      <c r="L771" s="26"/>
      <c r="M771" s="26"/>
      <c r="N771" s="26"/>
      <c r="O771" s="26"/>
      <c r="P771" s="26"/>
      <c r="Q771" s="26"/>
      <c r="R771" s="26"/>
      <c r="S771" s="26"/>
    </row>
    <row r="772" spans="1:19" ht="15.75" customHeight="1" x14ac:dyDescent="0.25">
      <c r="A772" s="26"/>
      <c r="B772" s="26"/>
      <c r="C772" s="26"/>
      <c r="D772" s="26"/>
      <c r="E772" s="26"/>
      <c r="F772" s="26"/>
      <c r="G772" s="26"/>
      <c r="H772" s="26"/>
      <c r="I772" s="26"/>
      <c r="J772" s="26"/>
      <c r="K772" s="26"/>
      <c r="L772" s="26"/>
      <c r="M772" s="26"/>
      <c r="N772" s="26"/>
      <c r="O772" s="26"/>
      <c r="P772" s="26"/>
      <c r="Q772" s="26"/>
      <c r="R772" s="26"/>
      <c r="S772" s="26"/>
    </row>
    <row r="773" spans="1:19" ht="15.75" customHeight="1" x14ac:dyDescent="0.25">
      <c r="A773" s="26"/>
      <c r="B773" s="26"/>
      <c r="C773" s="26"/>
      <c r="D773" s="26"/>
      <c r="E773" s="26"/>
      <c r="F773" s="26"/>
      <c r="G773" s="26"/>
      <c r="H773" s="26"/>
      <c r="I773" s="26"/>
      <c r="J773" s="26"/>
      <c r="K773" s="26"/>
      <c r="L773" s="26"/>
      <c r="M773" s="26"/>
      <c r="N773" s="26"/>
      <c r="O773" s="26"/>
      <c r="P773" s="26"/>
      <c r="Q773" s="26"/>
      <c r="R773" s="26"/>
      <c r="S773" s="26"/>
    </row>
    <row r="774" spans="1:19" ht="15.75" customHeight="1" x14ac:dyDescent="0.25">
      <c r="A774" s="26"/>
      <c r="B774" s="26"/>
      <c r="C774" s="26"/>
      <c r="D774" s="26"/>
      <c r="E774" s="26"/>
      <c r="F774" s="26"/>
      <c r="G774" s="26"/>
      <c r="H774" s="26"/>
      <c r="I774" s="26"/>
      <c r="J774" s="26"/>
      <c r="K774" s="26"/>
      <c r="L774" s="26"/>
      <c r="M774" s="26"/>
      <c r="N774" s="26"/>
      <c r="O774" s="26"/>
      <c r="P774" s="26"/>
      <c r="Q774" s="26"/>
      <c r="R774" s="26"/>
      <c r="S774" s="26"/>
    </row>
    <row r="775" spans="1:19" ht="15.75" customHeight="1" x14ac:dyDescent="0.25">
      <c r="A775" s="26"/>
      <c r="B775" s="26"/>
      <c r="C775" s="26"/>
      <c r="D775" s="26"/>
      <c r="E775" s="26"/>
      <c r="F775" s="26"/>
      <c r="G775" s="26"/>
      <c r="H775" s="26"/>
      <c r="I775" s="26"/>
      <c r="J775" s="26"/>
      <c r="K775" s="26"/>
      <c r="L775" s="26"/>
      <c r="M775" s="26"/>
      <c r="N775" s="26"/>
      <c r="O775" s="26"/>
      <c r="P775" s="26"/>
      <c r="Q775" s="26"/>
      <c r="R775" s="26"/>
      <c r="S775" s="26"/>
    </row>
    <row r="776" spans="1:19" ht="15.75" customHeight="1" x14ac:dyDescent="0.25">
      <c r="A776" s="26"/>
      <c r="B776" s="26"/>
      <c r="C776" s="26"/>
      <c r="D776" s="26"/>
      <c r="E776" s="26"/>
      <c r="F776" s="26"/>
      <c r="G776" s="26"/>
      <c r="H776" s="26"/>
      <c r="I776" s="26"/>
      <c r="J776" s="26"/>
      <c r="K776" s="26"/>
      <c r="L776" s="26"/>
      <c r="M776" s="26"/>
      <c r="N776" s="26"/>
      <c r="O776" s="26"/>
      <c r="P776" s="26"/>
      <c r="Q776" s="26"/>
      <c r="R776" s="26"/>
      <c r="S776" s="26"/>
    </row>
    <row r="777" spans="1:19" ht="15.75" customHeight="1" x14ac:dyDescent="0.25">
      <c r="A777" s="26"/>
      <c r="B777" s="26"/>
      <c r="C777" s="26"/>
      <c r="D777" s="26"/>
      <c r="E777" s="26"/>
      <c r="F777" s="26"/>
      <c r="G777" s="26"/>
      <c r="H777" s="26"/>
      <c r="I777" s="26"/>
      <c r="J777" s="26"/>
      <c r="K777" s="26"/>
      <c r="L777" s="26"/>
      <c r="M777" s="26"/>
      <c r="N777" s="26"/>
      <c r="O777" s="26"/>
      <c r="P777" s="26"/>
      <c r="Q777" s="26"/>
      <c r="R777" s="26"/>
      <c r="S777" s="26"/>
    </row>
    <row r="778" spans="1:19" ht="15.75" customHeight="1" x14ac:dyDescent="0.25">
      <c r="A778" s="26"/>
      <c r="B778" s="26"/>
      <c r="C778" s="26"/>
      <c r="D778" s="26"/>
      <c r="E778" s="26"/>
      <c r="F778" s="26"/>
      <c r="G778" s="26"/>
      <c r="H778" s="26"/>
      <c r="I778" s="26"/>
      <c r="J778" s="26"/>
      <c r="K778" s="26"/>
      <c r="L778" s="26"/>
      <c r="M778" s="26"/>
      <c r="N778" s="26"/>
      <c r="O778" s="26"/>
      <c r="P778" s="26"/>
      <c r="Q778" s="26"/>
      <c r="R778" s="26"/>
      <c r="S778" s="26"/>
    </row>
    <row r="779" spans="1:19" ht="15.75" customHeight="1" x14ac:dyDescent="0.25">
      <c r="A779" s="26"/>
      <c r="B779" s="26"/>
      <c r="C779" s="26"/>
      <c r="D779" s="26"/>
      <c r="E779" s="26"/>
      <c r="F779" s="26"/>
      <c r="G779" s="26"/>
      <c r="H779" s="26"/>
      <c r="I779" s="26"/>
      <c r="J779" s="26"/>
      <c r="K779" s="26"/>
      <c r="L779" s="26"/>
      <c r="M779" s="26"/>
      <c r="N779" s="26"/>
      <c r="O779" s="26"/>
      <c r="P779" s="26"/>
      <c r="Q779" s="26"/>
      <c r="R779" s="26"/>
      <c r="S779" s="26"/>
    </row>
    <row r="780" spans="1:19" ht="15.75" customHeight="1" x14ac:dyDescent="0.25">
      <c r="A780" s="26"/>
      <c r="B780" s="26"/>
      <c r="C780" s="26"/>
      <c r="D780" s="26"/>
      <c r="E780" s="26"/>
      <c r="F780" s="26"/>
      <c r="G780" s="26"/>
      <c r="H780" s="26"/>
      <c r="I780" s="26"/>
      <c r="J780" s="26"/>
      <c r="K780" s="26"/>
      <c r="L780" s="26"/>
      <c r="M780" s="26"/>
      <c r="N780" s="26"/>
      <c r="O780" s="26"/>
      <c r="P780" s="26"/>
      <c r="Q780" s="26"/>
      <c r="R780" s="26"/>
      <c r="S780" s="26"/>
    </row>
    <row r="781" spans="1:19" ht="15.75" customHeight="1" x14ac:dyDescent="0.25">
      <c r="A781" s="26"/>
      <c r="B781" s="26"/>
      <c r="C781" s="26"/>
      <c r="D781" s="26"/>
      <c r="E781" s="26"/>
      <c r="F781" s="26"/>
      <c r="G781" s="26"/>
      <c r="H781" s="26"/>
      <c r="I781" s="26"/>
      <c r="J781" s="26"/>
      <c r="K781" s="26"/>
      <c r="L781" s="26"/>
      <c r="M781" s="26"/>
      <c r="N781" s="26"/>
      <c r="O781" s="26"/>
      <c r="P781" s="26"/>
      <c r="Q781" s="26"/>
      <c r="R781" s="26"/>
      <c r="S781" s="26"/>
    </row>
    <row r="782" spans="1:19" ht="15.75" customHeight="1" x14ac:dyDescent="0.25">
      <c r="A782" s="26"/>
      <c r="B782" s="26"/>
      <c r="C782" s="26"/>
      <c r="D782" s="26"/>
      <c r="E782" s="26"/>
      <c r="F782" s="26"/>
      <c r="G782" s="26"/>
      <c r="H782" s="26"/>
      <c r="I782" s="26"/>
      <c r="J782" s="26"/>
      <c r="K782" s="26"/>
      <c r="L782" s="26"/>
      <c r="M782" s="26"/>
      <c r="N782" s="26"/>
      <c r="O782" s="26"/>
      <c r="P782" s="26"/>
      <c r="Q782" s="26"/>
      <c r="R782" s="26"/>
      <c r="S782" s="26"/>
    </row>
    <row r="783" spans="1:19" ht="15.75" customHeight="1" x14ac:dyDescent="0.25">
      <c r="A783" s="26"/>
      <c r="B783" s="26"/>
      <c r="C783" s="26"/>
      <c r="D783" s="26"/>
      <c r="E783" s="26"/>
      <c r="F783" s="26"/>
      <c r="G783" s="26"/>
      <c r="H783" s="26"/>
      <c r="I783" s="26"/>
      <c r="J783" s="26"/>
      <c r="K783" s="26"/>
      <c r="L783" s="26"/>
      <c r="M783" s="26"/>
      <c r="N783" s="26"/>
      <c r="O783" s="26"/>
      <c r="P783" s="26"/>
      <c r="Q783" s="26"/>
      <c r="R783" s="26"/>
      <c r="S783" s="26"/>
    </row>
    <row r="784" spans="1:19" ht="15.75" customHeight="1" x14ac:dyDescent="0.25">
      <c r="A784" s="26"/>
      <c r="B784" s="26"/>
      <c r="C784" s="26"/>
      <c r="D784" s="26"/>
      <c r="E784" s="26"/>
      <c r="F784" s="26"/>
      <c r="G784" s="26"/>
      <c r="H784" s="26"/>
      <c r="I784" s="26"/>
      <c r="J784" s="26"/>
      <c r="K784" s="26"/>
      <c r="L784" s="26"/>
      <c r="M784" s="26"/>
      <c r="N784" s="26"/>
      <c r="O784" s="26"/>
      <c r="P784" s="26"/>
      <c r="Q784" s="26"/>
      <c r="R784" s="26"/>
      <c r="S784" s="26"/>
    </row>
    <row r="785" spans="1:19" ht="15.75" customHeight="1" x14ac:dyDescent="0.25">
      <c r="A785" s="26"/>
      <c r="B785" s="26"/>
      <c r="C785" s="26"/>
      <c r="D785" s="26"/>
      <c r="E785" s="26"/>
      <c r="F785" s="26"/>
      <c r="G785" s="26"/>
      <c r="H785" s="26"/>
      <c r="I785" s="26"/>
      <c r="J785" s="26"/>
      <c r="K785" s="26"/>
      <c r="L785" s="26"/>
      <c r="M785" s="26"/>
      <c r="N785" s="26"/>
      <c r="O785" s="26"/>
      <c r="P785" s="26"/>
      <c r="Q785" s="26"/>
      <c r="R785" s="26"/>
      <c r="S785" s="26"/>
    </row>
    <row r="786" spans="1:19" ht="15.75" customHeight="1" x14ac:dyDescent="0.25">
      <c r="A786" s="26"/>
      <c r="B786" s="26"/>
      <c r="C786" s="26"/>
      <c r="D786" s="26"/>
      <c r="E786" s="26"/>
      <c r="F786" s="26"/>
      <c r="G786" s="26"/>
      <c r="H786" s="26"/>
      <c r="I786" s="26"/>
      <c r="J786" s="26"/>
      <c r="K786" s="26"/>
      <c r="L786" s="26"/>
      <c r="M786" s="26"/>
      <c r="N786" s="26"/>
      <c r="O786" s="26"/>
      <c r="P786" s="26"/>
      <c r="Q786" s="26"/>
      <c r="R786" s="26"/>
      <c r="S786" s="26"/>
    </row>
    <row r="787" spans="1:19" ht="15.75" customHeight="1" x14ac:dyDescent="0.25">
      <c r="A787" s="26"/>
      <c r="B787" s="26"/>
      <c r="C787" s="26"/>
      <c r="D787" s="26"/>
      <c r="E787" s="26"/>
      <c r="F787" s="26"/>
      <c r="G787" s="26"/>
      <c r="H787" s="26"/>
      <c r="I787" s="26"/>
      <c r="J787" s="26"/>
      <c r="K787" s="26"/>
      <c r="L787" s="26"/>
      <c r="M787" s="26"/>
      <c r="N787" s="26"/>
      <c r="O787" s="26"/>
      <c r="P787" s="26"/>
      <c r="Q787" s="26"/>
      <c r="R787" s="26"/>
      <c r="S787" s="26"/>
    </row>
    <row r="788" spans="1:19" ht="15.75" customHeight="1" x14ac:dyDescent="0.25">
      <c r="A788" s="26"/>
      <c r="B788" s="26"/>
      <c r="C788" s="26"/>
      <c r="D788" s="26"/>
      <c r="E788" s="26"/>
      <c r="F788" s="26"/>
      <c r="G788" s="26"/>
      <c r="H788" s="26"/>
      <c r="I788" s="26"/>
      <c r="J788" s="26"/>
      <c r="K788" s="26"/>
      <c r="L788" s="26"/>
      <c r="M788" s="26"/>
      <c r="N788" s="26"/>
      <c r="O788" s="26"/>
      <c r="P788" s="26"/>
      <c r="Q788" s="26"/>
      <c r="R788" s="26"/>
      <c r="S788" s="26"/>
    </row>
    <row r="789" spans="1:19" ht="15.75" customHeight="1" x14ac:dyDescent="0.25">
      <c r="A789" s="26"/>
      <c r="B789" s="26"/>
      <c r="C789" s="26"/>
      <c r="D789" s="26"/>
      <c r="E789" s="26"/>
      <c r="F789" s="26"/>
      <c r="G789" s="26"/>
      <c r="H789" s="26"/>
      <c r="I789" s="26"/>
      <c r="J789" s="26"/>
      <c r="K789" s="26"/>
      <c r="L789" s="26"/>
      <c r="M789" s="26"/>
      <c r="N789" s="26"/>
      <c r="O789" s="26"/>
      <c r="P789" s="26"/>
      <c r="Q789" s="26"/>
      <c r="R789" s="26"/>
      <c r="S789" s="26"/>
    </row>
    <row r="790" spans="1:19" ht="15.75" customHeight="1" x14ac:dyDescent="0.25">
      <c r="A790" s="26"/>
      <c r="B790" s="26"/>
      <c r="C790" s="26"/>
      <c r="D790" s="26"/>
      <c r="E790" s="26"/>
      <c r="F790" s="26"/>
      <c r="G790" s="26"/>
      <c r="H790" s="26"/>
      <c r="I790" s="26"/>
      <c r="J790" s="26"/>
      <c r="K790" s="26"/>
      <c r="L790" s="26"/>
      <c r="M790" s="26"/>
      <c r="N790" s="26"/>
      <c r="O790" s="26"/>
      <c r="P790" s="26"/>
      <c r="Q790" s="26"/>
      <c r="R790" s="26"/>
      <c r="S790" s="26"/>
    </row>
    <row r="791" spans="1:19" ht="15.75" customHeight="1" x14ac:dyDescent="0.25">
      <c r="A791" s="26"/>
      <c r="B791" s="26"/>
      <c r="C791" s="26"/>
      <c r="D791" s="26"/>
      <c r="E791" s="26"/>
      <c r="F791" s="26"/>
      <c r="G791" s="26"/>
      <c r="H791" s="26"/>
      <c r="I791" s="26"/>
      <c r="J791" s="26"/>
      <c r="K791" s="26"/>
      <c r="L791" s="26"/>
      <c r="M791" s="26"/>
      <c r="N791" s="26"/>
      <c r="O791" s="26"/>
      <c r="P791" s="26"/>
      <c r="Q791" s="26"/>
      <c r="R791" s="26"/>
      <c r="S791" s="26"/>
    </row>
    <row r="792" spans="1:19" ht="15.75" customHeight="1" x14ac:dyDescent="0.25">
      <c r="A792" s="26"/>
      <c r="B792" s="26"/>
      <c r="C792" s="26"/>
      <c r="D792" s="26"/>
      <c r="E792" s="26"/>
      <c r="F792" s="26"/>
      <c r="G792" s="26"/>
      <c r="H792" s="26"/>
      <c r="I792" s="26"/>
      <c r="J792" s="26"/>
      <c r="K792" s="26"/>
      <c r="L792" s="26"/>
      <c r="M792" s="26"/>
      <c r="N792" s="26"/>
      <c r="O792" s="26"/>
      <c r="P792" s="26"/>
      <c r="Q792" s="26"/>
      <c r="R792" s="26"/>
      <c r="S792" s="26"/>
    </row>
    <row r="793" spans="1:19" ht="15.75" customHeight="1" x14ac:dyDescent="0.25">
      <c r="A793" s="26"/>
      <c r="B793" s="26"/>
      <c r="C793" s="26"/>
      <c r="D793" s="26"/>
      <c r="E793" s="26"/>
      <c r="F793" s="26"/>
      <c r="G793" s="26"/>
      <c r="H793" s="26"/>
      <c r="I793" s="26"/>
      <c r="J793" s="26"/>
      <c r="K793" s="26"/>
      <c r="L793" s="26"/>
      <c r="M793" s="26"/>
      <c r="N793" s="26"/>
      <c r="O793" s="26"/>
      <c r="P793" s="26"/>
      <c r="Q793" s="26"/>
      <c r="R793" s="26"/>
      <c r="S793" s="26"/>
    </row>
    <row r="794" spans="1:19" ht="15.75" customHeight="1" x14ac:dyDescent="0.25">
      <c r="A794" s="26"/>
      <c r="B794" s="26"/>
      <c r="C794" s="26"/>
      <c r="D794" s="26"/>
      <c r="E794" s="26"/>
      <c r="F794" s="26"/>
      <c r="G794" s="26"/>
      <c r="H794" s="26"/>
      <c r="I794" s="26"/>
      <c r="J794" s="26"/>
      <c r="K794" s="26"/>
      <c r="L794" s="26"/>
      <c r="M794" s="26"/>
      <c r="N794" s="26"/>
      <c r="O794" s="26"/>
      <c r="P794" s="26"/>
      <c r="Q794" s="26"/>
      <c r="R794" s="26"/>
      <c r="S794" s="26"/>
    </row>
    <row r="795" spans="1:19" ht="15.75" customHeight="1" x14ac:dyDescent="0.25">
      <c r="A795" s="26"/>
      <c r="B795" s="26"/>
      <c r="C795" s="26"/>
      <c r="D795" s="26"/>
      <c r="E795" s="26"/>
      <c r="F795" s="26"/>
      <c r="G795" s="26"/>
      <c r="H795" s="26"/>
      <c r="I795" s="26"/>
      <c r="J795" s="26"/>
      <c r="K795" s="26"/>
      <c r="L795" s="26"/>
      <c r="M795" s="26"/>
      <c r="N795" s="26"/>
      <c r="O795" s="26"/>
      <c r="P795" s="26"/>
      <c r="Q795" s="26"/>
      <c r="R795" s="26"/>
      <c r="S795" s="26"/>
    </row>
    <row r="796" spans="1:19" ht="15.75" customHeight="1" x14ac:dyDescent="0.25">
      <c r="A796" s="26"/>
      <c r="B796" s="26"/>
      <c r="C796" s="26"/>
      <c r="D796" s="26"/>
      <c r="E796" s="26"/>
      <c r="F796" s="26"/>
      <c r="G796" s="26"/>
      <c r="H796" s="26"/>
      <c r="I796" s="26"/>
      <c r="J796" s="26"/>
      <c r="K796" s="26"/>
      <c r="L796" s="26"/>
      <c r="M796" s="26"/>
      <c r="N796" s="26"/>
      <c r="O796" s="26"/>
      <c r="P796" s="26"/>
      <c r="Q796" s="26"/>
      <c r="R796" s="26"/>
      <c r="S796" s="26"/>
    </row>
    <row r="797" spans="1:19" ht="15.75" customHeight="1" x14ac:dyDescent="0.25">
      <c r="A797" s="26"/>
      <c r="B797" s="26"/>
      <c r="C797" s="26"/>
      <c r="D797" s="26"/>
      <c r="E797" s="26"/>
      <c r="F797" s="26"/>
      <c r="G797" s="26"/>
      <c r="H797" s="26"/>
      <c r="I797" s="26"/>
      <c r="J797" s="26"/>
      <c r="K797" s="26"/>
      <c r="L797" s="26"/>
      <c r="M797" s="26"/>
      <c r="N797" s="26"/>
      <c r="O797" s="26"/>
      <c r="P797" s="26"/>
      <c r="Q797" s="26"/>
      <c r="R797" s="26"/>
      <c r="S797" s="26"/>
    </row>
    <row r="798" spans="1:19" ht="15.75" customHeight="1" x14ac:dyDescent="0.25">
      <c r="A798" s="26"/>
      <c r="B798" s="26"/>
      <c r="C798" s="26"/>
      <c r="D798" s="26"/>
      <c r="E798" s="26"/>
      <c r="F798" s="26"/>
      <c r="G798" s="26"/>
      <c r="H798" s="26"/>
      <c r="I798" s="26"/>
      <c r="J798" s="26"/>
      <c r="K798" s="26"/>
      <c r="L798" s="26"/>
      <c r="M798" s="26"/>
      <c r="N798" s="26"/>
      <c r="O798" s="26"/>
      <c r="P798" s="26"/>
      <c r="Q798" s="26"/>
      <c r="R798" s="26"/>
      <c r="S798" s="26"/>
    </row>
    <row r="799" spans="1:19" ht="15.75" customHeight="1" x14ac:dyDescent="0.25">
      <c r="A799" s="26"/>
      <c r="B799" s="26"/>
      <c r="C799" s="26"/>
      <c r="D799" s="26"/>
      <c r="E799" s="26"/>
      <c r="F799" s="26"/>
      <c r="G799" s="26"/>
      <c r="H799" s="26"/>
      <c r="I799" s="26"/>
      <c r="J799" s="26"/>
      <c r="K799" s="26"/>
      <c r="L799" s="26"/>
      <c r="M799" s="26"/>
      <c r="N799" s="26"/>
      <c r="O799" s="26"/>
      <c r="P799" s="26"/>
      <c r="Q799" s="26"/>
      <c r="R799" s="26"/>
      <c r="S799" s="26"/>
    </row>
    <row r="800" spans="1:19" ht="15.75" customHeight="1" x14ac:dyDescent="0.25">
      <c r="A800" s="26"/>
      <c r="B800" s="26"/>
      <c r="C800" s="26"/>
      <c r="D800" s="26"/>
      <c r="E800" s="26"/>
      <c r="F800" s="26"/>
      <c r="G800" s="26"/>
      <c r="H800" s="26"/>
      <c r="I800" s="26"/>
      <c r="J800" s="26"/>
      <c r="K800" s="26"/>
      <c r="L800" s="26"/>
      <c r="M800" s="26"/>
      <c r="N800" s="26"/>
      <c r="O800" s="26"/>
      <c r="P800" s="26"/>
      <c r="Q800" s="26"/>
      <c r="R800" s="26"/>
      <c r="S800" s="26"/>
    </row>
    <row r="801" spans="1:19" ht="15.75" customHeight="1" x14ac:dyDescent="0.25">
      <c r="A801" s="26"/>
      <c r="B801" s="26"/>
      <c r="C801" s="26"/>
      <c r="D801" s="26"/>
      <c r="E801" s="26"/>
      <c r="F801" s="26"/>
      <c r="G801" s="26"/>
      <c r="H801" s="26"/>
      <c r="I801" s="26"/>
      <c r="J801" s="26"/>
      <c r="K801" s="26"/>
      <c r="L801" s="26"/>
      <c r="M801" s="26"/>
      <c r="N801" s="26"/>
      <c r="O801" s="26"/>
      <c r="P801" s="26"/>
      <c r="Q801" s="26"/>
      <c r="R801" s="26"/>
      <c r="S801" s="26"/>
    </row>
    <row r="802" spans="1:19" ht="15.75" customHeight="1" x14ac:dyDescent="0.25">
      <c r="A802" s="26"/>
      <c r="B802" s="26"/>
      <c r="C802" s="26"/>
      <c r="D802" s="26"/>
      <c r="E802" s="26"/>
      <c r="F802" s="26"/>
      <c r="G802" s="26"/>
      <c r="H802" s="26"/>
      <c r="I802" s="26"/>
      <c r="J802" s="26"/>
      <c r="K802" s="26"/>
      <c r="L802" s="26"/>
      <c r="M802" s="26"/>
      <c r="N802" s="26"/>
      <c r="O802" s="26"/>
      <c r="P802" s="26"/>
      <c r="Q802" s="26"/>
      <c r="R802" s="26"/>
      <c r="S802" s="26"/>
    </row>
    <row r="803" spans="1:19" ht="15.75" customHeight="1" x14ac:dyDescent="0.25">
      <c r="A803" s="26"/>
      <c r="B803" s="26"/>
      <c r="C803" s="26"/>
      <c r="D803" s="26"/>
      <c r="E803" s="26"/>
      <c r="F803" s="26"/>
      <c r="G803" s="26"/>
      <c r="H803" s="26"/>
      <c r="I803" s="26"/>
      <c r="J803" s="26"/>
      <c r="K803" s="26"/>
      <c r="L803" s="26"/>
      <c r="M803" s="26"/>
      <c r="N803" s="26"/>
      <c r="O803" s="26"/>
      <c r="P803" s="26"/>
      <c r="Q803" s="26"/>
      <c r="R803" s="26"/>
      <c r="S803" s="26"/>
    </row>
    <row r="804" spans="1:19" ht="15.75" customHeight="1" x14ac:dyDescent="0.25">
      <c r="A804" s="26"/>
      <c r="B804" s="26"/>
      <c r="C804" s="26"/>
      <c r="D804" s="26"/>
      <c r="E804" s="26"/>
      <c r="F804" s="26"/>
      <c r="G804" s="26"/>
      <c r="H804" s="26"/>
      <c r="I804" s="26"/>
      <c r="J804" s="26"/>
      <c r="K804" s="26"/>
      <c r="L804" s="26"/>
      <c r="M804" s="26"/>
      <c r="N804" s="26"/>
      <c r="O804" s="26"/>
      <c r="P804" s="26"/>
      <c r="Q804" s="26"/>
      <c r="R804" s="26"/>
      <c r="S804" s="26"/>
    </row>
    <row r="805" spans="1:19" ht="15.75" customHeight="1" x14ac:dyDescent="0.25">
      <c r="A805" s="26"/>
      <c r="B805" s="26"/>
      <c r="C805" s="26"/>
      <c r="D805" s="26"/>
      <c r="E805" s="26"/>
      <c r="F805" s="26"/>
      <c r="G805" s="26"/>
      <c r="H805" s="26"/>
      <c r="I805" s="26"/>
      <c r="J805" s="26"/>
      <c r="K805" s="26"/>
      <c r="L805" s="26"/>
      <c r="M805" s="26"/>
      <c r="N805" s="26"/>
      <c r="O805" s="26"/>
      <c r="P805" s="26"/>
      <c r="Q805" s="26"/>
      <c r="R805" s="26"/>
      <c r="S805" s="26"/>
    </row>
    <row r="806" spans="1:19" ht="15.75" customHeight="1" x14ac:dyDescent="0.25">
      <c r="A806" s="26"/>
      <c r="B806" s="26"/>
      <c r="C806" s="26"/>
      <c r="D806" s="26"/>
      <c r="E806" s="26"/>
      <c r="F806" s="26"/>
      <c r="G806" s="26"/>
      <c r="H806" s="26"/>
      <c r="I806" s="26"/>
      <c r="J806" s="26"/>
      <c r="K806" s="26"/>
      <c r="L806" s="26"/>
      <c r="M806" s="26"/>
      <c r="N806" s="26"/>
      <c r="O806" s="26"/>
      <c r="P806" s="26"/>
      <c r="Q806" s="26"/>
      <c r="R806" s="26"/>
      <c r="S806" s="26"/>
    </row>
    <row r="807" spans="1:19" ht="15.75" customHeight="1" x14ac:dyDescent="0.25">
      <c r="A807" s="26"/>
      <c r="B807" s="26"/>
      <c r="C807" s="26"/>
      <c r="D807" s="26"/>
      <c r="E807" s="26"/>
      <c r="F807" s="26"/>
      <c r="G807" s="26"/>
      <c r="H807" s="26"/>
      <c r="I807" s="26"/>
      <c r="J807" s="26"/>
      <c r="K807" s="26"/>
      <c r="L807" s="26"/>
      <c r="M807" s="26"/>
      <c r="N807" s="26"/>
      <c r="O807" s="26"/>
      <c r="P807" s="26"/>
      <c r="Q807" s="26"/>
      <c r="R807" s="26"/>
      <c r="S807" s="26"/>
    </row>
    <row r="808" spans="1:19" ht="15.75" customHeight="1" x14ac:dyDescent="0.25">
      <c r="A808" s="26"/>
      <c r="B808" s="26"/>
      <c r="C808" s="26"/>
      <c r="D808" s="26"/>
      <c r="E808" s="26"/>
      <c r="F808" s="26"/>
      <c r="G808" s="26"/>
      <c r="H808" s="26"/>
      <c r="I808" s="26"/>
      <c r="J808" s="26"/>
      <c r="K808" s="26"/>
      <c r="L808" s="26"/>
      <c r="M808" s="26"/>
      <c r="N808" s="26"/>
      <c r="O808" s="26"/>
      <c r="P808" s="26"/>
      <c r="Q808" s="26"/>
      <c r="R808" s="26"/>
      <c r="S808" s="26"/>
    </row>
    <row r="809" spans="1:19" ht="15.75" customHeight="1" x14ac:dyDescent="0.25">
      <c r="A809" s="26"/>
      <c r="B809" s="26"/>
      <c r="C809" s="26"/>
      <c r="D809" s="26"/>
      <c r="E809" s="26"/>
      <c r="F809" s="26"/>
      <c r="G809" s="26"/>
      <c r="H809" s="26"/>
      <c r="I809" s="26"/>
      <c r="J809" s="26"/>
      <c r="K809" s="26"/>
      <c r="L809" s="26"/>
      <c r="M809" s="26"/>
      <c r="N809" s="26"/>
      <c r="O809" s="26"/>
      <c r="P809" s="26"/>
      <c r="Q809" s="26"/>
      <c r="R809" s="26"/>
      <c r="S809" s="26"/>
    </row>
    <row r="810" spans="1:19" ht="15.75" customHeight="1" x14ac:dyDescent="0.25">
      <c r="A810" s="26"/>
      <c r="B810" s="26"/>
      <c r="C810" s="26"/>
      <c r="D810" s="26"/>
      <c r="E810" s="26"/>
      <c r="F810" s="26"/>
      <c r="G810" s="26"/>
      <c r="H810" s="26"/>
      <c r="I810" s="26"/>
      <c r="J810" s="26"/>
      <c r="K810" s="26"/>
      <c r="L810" s="26"/>
      <c r="M810" s="26"/>
      <c r="N810" s="26"/>
      <c r="O810" s="26"/>
      <c r="P810" s="26"/>
      <c r="Q810" s="26"/>
      <c r="R810" s="26"/>
      <c r="S810" s="26"/>
    </row>
    <row r="811" spans="1:19" ht="15.75" customHeight="1" x14ac:dyDescent="0.25">
      <c r="A811" s="26"/>
      <c r="B811" s="26"/>
      <c r="C811" s="26"/>
      <c r="D811" s="26"/>
      <c r="E811" s="26"/>
      <c r="F811" s="26"/>
      <c r="G811" s="26"/>
      <c r="H811" s="26"/>
      <c r="I811" s="26"/>
      <c r="J811" s="26"/>
      <c r="K811" s="26"/>
      <c r="L811" s="26"/>
      <c r="M811" s="26"/>
      <c r="N811" s="26"/>
      <c r="O811" s="26"/>
      <c r="P811" s="26"/>
      <c r="Q811" s="26"/>
      <c r="R811" s="26"/>
      <c r="S811" s="26"/>
    </row>
    <row r="812" spans="1:19" ht="15.75" customHeight="1" x14ac:dyDescent="0.25">
      <c r="A812" s="26"/>
      <c r="B812" s="26"/>
      <c r="C812" s="26"/>
      <c r="D812" s="26"/>
      <c r="E812" s="26"/>
      <c r="F812" s="26"/>
      <c r="G812" s="26"/>
      <c r="H812" s="26"/>
      <c r="I812" s="26"/>
      <c r="J812" s="26"/>
      <c r="K812" s="26"/>
      <c r="L812" s="26"/>
      <c r="M812" s="26"/>
      <c r="N812" s="26"/>
      <c r="O812" s="26"/>
      <c r="P812" s="26"/>
      <c r="Q812" s="26"/>
      <c r="R812" s="26"/>
      <c r="S812" s="26"/>
    </row>
    <row r="813" spans="1:19" ht="15.75" customHeight="1" x14ac:dyDescent="0.25">
      <c r="A813" s="26"/>
      <c r="B813" s="26"/>
      <c r="C813" s="26"/>
      <c r="D813" s="26"/>
      <c r="E813" s="26"/>
      <c r="F813" s="26"/>
      <c r="G813" s="26"/>
      <c r="H813" s="26"/>
      <c r="I813" s="26"/>
      <c r="J813" s="26"/>
      <c r="K813" s="26"/>
      <c r="L813" s="26"/>
      <c r="M813" s="26"/>
      <c r="N813" s="26"/>
      <c r="O813" s="26"/>
      <c r="P813" s="26"/>
      <c r="Q813" s="26"/>
      <c r="R813" s="26"/>
      <c r="S813" s="26"/>
    </row>
    <row r="814" spans="1:19" ht="15.75" customHeight="1" x14ac:dyDescent="0.25">
      <c r="A814" s="26"/>
      <c r="B814" s="26"/>
      <c r="C814" s="26"/>
      <c r="D814" s="26"/>
      <c r="E814" s="26"/>
      <c r="F814" s="26"/>
      <c r="G814" s="26"/>
      <c r="H814" s="26"/>
      <c r="I814" s="26"/>
      <c r="J814" s="26"/>
      <c r="K814" s="26"/>
      <c r="L814" s="26"/>
      <c r="M814" s="26"/>
      <c r="N814" s="26"/>
      <c r="O814" s="26"/>
      <c r="P814" s="26"/>
      <c r="Q814" s="26"/>
      <c r="R814" s="26"/>
      <c r="S814" s="26"/>
    </row>
    <row r="815" spans="1:19" ht="15.75" customHeight="1" x14ac:dyDescent="0.25">
      <c r="A815" s="26"/>
      <c r="B815" s="26"/>
      <c r="C815" s="26"/>
      <c r="D815" s="26"/>
      <c r="E815" s="26"/>
      <c r="F815" s="26"/>
      <c r="G815" s="26"/>
      <c r="H815" s="26"/>
      <c r="I815" s="26"/>
      <c r="J815" s="26"/>
      <c r="K815" s="26"/>
      <c r="L815" s="26"/>
      <c r="M815" s="26"/>
      <c r="N815" s="26"/>
      <c r="O815" s="26"/>
      <c r="P815" s="26"/>
      <c r="Q815" s="26"/>
      <c r="R815" s="26"/>
      <c r="S815" s="26"/>
    </row>
    <row r="816" spans="1:19" ht="15.75" customHeight="1" x14ac:dyDescent="0.25">
      <c r="A816" s="26"/>
      <c r="B816" s="26"/>
      <c r="C816" s="26"/>
      <c r="D816" s="26"/>
      <c r="E816" s="26"/>
      <c r="F816" s="26"/>
      <c r="G816" s="26"/>
      <c r="H816" s="26"/>
      <c r="I816" s="26"/>
      <c r="J816" s="26"/>
      <c r="K816" s="26"/>
      <c r="L816" s="26"/>
      <c r="M816" s="26"/>
      <c r="N816" s="26"/>
      <c r="O816" s="26"/>
      <c r="P816" s="26"/>
      <c r="Q816" s="26"/>
      <c r="R816" s="26"/>
      <c r="S816" s="26"/>
    </row>
    <row r="817" spans="1:19" ht="15.75" customHeight="1" x14ac:dyDescent="0.25">
      <c r="A817" s="26"/>
      <c r="B817" s="26"/>
      <c r="C817" s="26"/>
      <c r="D817" s="26"/>
      <c r="E817" s="26"/>
      <c r="F817" s="26"/>
      <c r="G817" s="26"/>
      <c r="H817" s="26"/>
      <c r="I817" s="26"/>
      <c r="J817" s="26"/>
      <c r="K817" s="26"/>
      <c r="L817" s="26"/>
      <c r="M817" s="26"/>
      <c r="N817" s="26"/>
      <c r="O817" s="26"/>
      <c r="P817" s="26"/>
      <c r="Q817" s="26"/>
      <c r="R817" s="26"/>
      <c r="S817" s="26"/>
    </row>
    <row r="818" spans="1:19" ht="15.75" customHeight="1" x14ac:dyDescent="0.25">
      <c r="A818" s="26"/>
      <c r="B818" s="26"/>
      <c r="C818" s="26"/>
      <c r="D818" s="26"/>
      <c r="E818" s="26"/>
      <c r="F818" s="26"/>
      <c r="G818" s="26"/>
      <c r="H818" s="26"/>
      <c r="I818" s="26"/>
      <c r="J818" s="26"/>
      <c r="K818" s="26"/>
      <c r="L818" s="26"/>
      <c r="M818" s="26"/>
      <c r="N818" s="26"/>
      <c r="O818" s="26"/>
      <c r="P818" s="26"/>
      <c r="Q818" s="26"/>
      <c r="R818" s="26"/>
      <c r="S818" s="26"/>
    </row>
    <row r="819" spans="1:19" ht="15.75" customHeight="1" x14ac:dyDescent="0.25">
      <c r="A819" s="26"/>
      <c r="B819" s="26"/>
      <c r="C819" s="26"/>
      <c r="D819" s="26"/>
      <c r="E819" s="26"/>
      <c r="F819" s="26"/>
      <c r="G819" s="26"/>
      <c r="H819" s="26"/>
      <c r="I819" s="26"/>
      <c r="J819" s="26"/>
      <c r="K819" s="26"/>
      <c r="L819" s="26"/>
      <c r="M819" s="26"/>
      <c r="N819" s="26"/>
      <c r="O819" s="26"/>
      <c r="P819" s="26"/>
      <c r="Q819" s="26"/>
      <c r="R819" s="26"/>
      <c r="S819" s="26"/>
    </row>
    <row r="820" spans="1:19" ht="15.75" customHeight="1" x14ac:dyDescent="0.25">
      <c r="A820" s="26"/>
      <c r="B820" s="26"/>
      <c r="C820" s="26"/>
      <c r="D820" s="26"/>
      <c r="E820" s="26"/>
      <c r="F820" s="26"/>
      <c r="G820" s="26"/>
      <c r="H820" s="26"/>
      <c r="I820" s="26"/>
      <c r="J820" s="26"/>
      <c r="K820" s="26"/>
      <c r="L820" s="26"/>
      <c r="M820" s="26"/>
      <c r="N820" s="26"/>
      <c r="O820" s="26"/>
      <c r="P820" s="26"/>
      <c r="Q820" s="26"/>
      <c r="R820" s="26"/>
      <c r="S820" s="26"/>
    </row>
    <row r="821" spans="1:19" ht="15.75" customHeight="1" x14ac:dyDescent="0.25">
      <c r="A821" s="26"/>
      <c r="B821" s="26"/>
      <c r="C821" s="26"/>
      <c r="D821" s="26"/>
      <c r="E821" s="26"/>
      <c r="F821" s="26"/>
      <c r="G821" s="26"/>
      <c r="H821" s="26"/>
      <c r="I821" s="26"/>
      <c r="J821" s="26"/>
      <c r="K821" s="26"/>
      <c r="L821" s="26"/>
      <c r="M821" s="26"/>
      <c r="N821" s="26"/>
      <c r="O821" s="26"/>
      <c r="P821" s="26"/>
      <c r="Q821" s="26"/>
      <c r="R821" s="26"/>
      <c r="S821" s="26"/>
    </row>
    <row r="822" spans="1:19" ht="15.75" customHeight="1" x14ac:dyDescent="0.25">
      <c r="A822" s="26"/>
      <c r="B822" s="26"/>
      <c r="C822" s="26"/>
      <c r="D822" s="26"/>
      <c r="E822" s="26"/>
      <c r="F822" s="26"/>
      <c r="G822" s="26"/>
      <c r="H822" s="26"/>
      <c r="I822" s="26"/>
      <c r="J822" s="26"/>
      <c r="K822" s="26"/>
      <c r="L822" s="26"/>
      <c r="M822" s="26"/>
      <c r="N822" s="26"/>
      <c r="O822" s="26"/>
      <c r="P822" s="26"/>
      <c r="Q822" s="26"/>
      <c r="R822" s="26"/>
      <c r="S822" s="26"/>
    </row>
    <row r="823" spans="1:19" ht="15.75" customHeight="1" x14ac:dyDescent="0.25">
      <c r="A823" s="26"/>
      <c r="B823" s="26"/>
      <c r="C823" s="26"/>
      <c r="D823" s="26"/>
      <c r="E823" s="26"/>
      <c r="F823" s="26"/>
      <c r="G823" s="26"/>
      <c r="H823" s="26"/>
      <c r="I823" s="26"/>
      <c r="J823" s="26"/>
      <c r="K823" s="26"/>
      <c r="L823" s="26"/>
      <c r="M823" s="26"/>
      <c r="N823" s="26"/>
      <c r="O823" s="26"/>
      <c r="P823" s="26"/>
      <c r="Q823" s="26"/>
      <c r="R823" s="26"/>
      <c r="S823" s="26"/>
    </row>
    <row r="824" spans="1:19" ht="15.75" customHeight="1" x14ac:dyDescent="0.25">
      <c r="A824" s="26"/>
      <c r="B824" s="26"/>
      <c r="C824" s="26"/>
      <c r="D824" s="26"/>
      <c r="E824" s="26"/>
      <c r="F824" s="26"/>
      <c r="G824" s="26"/>
      <c r="H824" s="26"/>
      <c r="I824" s="26"/>
      <c r="J824" s="26"/>
      <c r="K824" s="26"/>
      <c r="L824" s="26"/>
      <c r="M824" s="26"/>
      <c r="N824" s="26"/>
      <c r="O824" s="26"/>
      <c r="P824" s="26"/>
      <c r="Q824" s="26"/>
      <c r="R824" s="26"/>
      <c r="S824" s="26"/>
    </row>
    <row r="825" spans="1:19" ht="15.75" customHeight="1" x14ac:dyDescent="0.25">
      <c r="A825" s="26"/>
      <c r="B825" s="26"/>
      <c r="C825" s="26"/>
      <c r="D825" s="26"/>
      <c r="E825" s="26"/>
      <c r="F825" s="26"/>
      <c r="G825" s="26"/>
      <c r="H825" s="26"/>
      <c r="I825" s="26"/>
      <c r="J825" s="26"/>
      <c r="K825" s="26"/>
      <c r="L825" s="26"/>
      <c r="M825" s="26"/>
      <c r="N825" s="26"/>
      <c r="O825" s="26"/>
      <c r="P825" s="26"/>
      <c r="Q825" s="26"/>
      <c r="R825" s="26"/>
      <c r="S825" s="26"/>
    </row>
    <row r="826" spans="1:19" ht="15.75" customHeight="1" x14ac:dyDescent="0.25">
      <c r="A826" s="26"/>
      <c r="B826" s="26"/>
      <c r="C826" s="26"/>
      <c r="D826" s="26"/>
      <c r="E826" s="26"/>
      <c r="F826" s="26"/>
      <c r="G826" s="26"/>
      <c r="H826" s="26"/>
      <c r="I826" s="26"/>
      <c r="J826" s="26"/>
      <c r="K826" s="26"/>
      <c r="L826" s="26"/>
      <c r="M826" s="26"/>
      <c r="N826" s="26"/>
      <c r="O826" s="26"/>
      <c r="P826" s="26"/>
      <c r="Q826" s="26"/>
      <c r="R826" s="26"/>
      <c r="S826" s="26"/>
    </row>
    <row r="827" spans="1:19" ht="15.75" customHeight="1" x14ac:dyDescent="0.25">
      <c r="A827" s="26"/>
      <c r="B827" s="26"/>
      <c r="C827" s="26"/>
      <c r="D827" s="26"/>
      <c r="E827" s="26"/>
      <c r="F827" s="26"/>
      <c r="G827" s="26"/>
      <c r="H827" s="26"/>
      <c r="I827" s="26"/>
      <c r="J827" s="26"/>
      <c r="K827" s="26"/>
      <c r="L827" s="26"/>
      <c r="M827" s="26"/>
      <c r="N827" s="26"/>
      <c r="O827" s="26"/>
      <c r="P827" s="26"/>
      <c r="Q827" s="26"/>
      <c r="R827" s="26"/>
      <c r="S827" s="26"/>
    </row>
    <row r="828" spans="1:19" ht="15.75" customHeight="1" x14ac:dyDescent="0.25">
      <c r="A828" s="26"/>
      <c r="B828" s="26"/>
      <c r="C828" s="26"/>
      <c r="D828" s="26"/>
      <c r="E828" s="26"/>
      <c r="F828" s="26"/>
      <c r="G828" s="26"/>
      <c r="H828" s="26"/>
      <c r="I828" s="26"/>
      <c r="J828" s="26"/>
      <c r="K828" s="26"/>
      <c r="L828" s="26"/>
      <c r="M828" s="26"/>
      <c r="N828" s="26"/>
      <c r="O828" s="26"/>
      <c r="P828" s="26"/>
      <c r="Q828" s="26"/>
      <c r="R828" s="26"/>
      <c r="S828" s="26"/>
    </row>
    <row r="829" spans="1:19" ht="15.75" customHeight="1" x14ac:dyDescent="0.25">
      <c r="A829" s="26"/>
      <c r="B829" s="26"/>
      <c r="C829" s="26"/>
      <c r="D829" s="26"/>
      <c r="E829" s="26"/>
      <c r="F829" s="26"/>
      <c r="G829" s="26"/>
      <c r="H829" s="26"/>
      <c r="I829" s="26"/>
      <c r="J829" s="26"/>
      <c r="K829" s="26"/>
      <c r="L829" s="26"/>
      <c r="M829" s="26"/>
      <c r="N829" s="26"/>
      <c r="O829" s="26"/>
      <c r="P829" s="26"/>
      <c r="Q829" s="26"/>
      <c r="R829" s="26"/>
      <c r="S829" s="26"/>
    </row>
    <row r="830" spans="1:19" ht="15.75" customHeight="1" x14ac:dyDescent="0.25">
      <c r="A830" s="26"/>
      <c r="B830" s="26"/>
      <c r="C830" s="26"/>
      <c r="D830" s="26"/>
      <c r="E830" s="26"/>
      <c r="F830" s="26"/>
      <c r="G830" s="26"/>
      <c r="H830" s="26"/>
      <c r="I830" s="26"/>
      <c r="J830" s="26"/>
      <c r="K830" s="26"/>
      <c r="L830" s="26"/>
      <c r="M830" s="26"/>
      <c r="N830" s="26"/>
      <c r="O830" s="26"/>
      <c r="P830" s="26"/>
      <c r="Q830" s="26"/>
      <c r="R830" s="26"/>
      <c r="S830" s="26"/>
    </row>
    <row r="831" spans="1:19" ht="15.75" customHeight="1" x14ac:dyDescent="0.25">
      <c r="A831" s="26"/>
      <c r="B831" s="26"/>
      <c r="C831" s="26"/>
      <c r="D831" s="26"/>
      <c r="E831" s="26"/>
      <c r="F831" s="26"/>
      <c r="G831" s="26"/>
      <c r="H831" s="26"/>
      <c r="I831" s="26"/>
      <c r="J831" s="26"/>
      <c r="K831" s="26"/>
      <c r="L831" s="26"/>
      <c r="M831" s="26"/>
      <c r="N831" s="26"/>
      <c r="O831" s="26"/>
      <c r="P831" s="26"/>
      <c r="Q831" s="26"/>
      <c r="R831" s="26"/>
      <c r="S831" s="26"/>
    </row>
    <row r="832" spans="1:19" ht="15.75" customHeight="1" x14ac:dyDescent="0.25">
      <c r="A832" s="26"/>
      <c r="B832" s="26"/>
      <c r="C832" s="26"/>
      <c r="D832" s="26"/>
      <c r="E832" s="26"/>
      <c r="F832" s="26"/>
      <c r="G832" s="26"/>
      <c r="H832" s="26"/>
      <c r="I832" s="26"/>
      <c r="J832" s="26"/>
      <c r="K832" s="26"/>
      <c r="L832" s="26"/>
      <c r="M832" s="26"/>
      <c r="N832" s="26"/>
      <c r="O832" s="26"/>
      <c r="P832" s="26"/>
      <c r="Q832" s="26"/>
      <c r="R832" s="26"/>
      <c r="S832" s="26"/>
    </row>
    <row r="833" spans="1:19" ht="15.75" customHeight="1" x14ac:dyDescent="0.25">
      <c r="A833" s="26"/>
      <c r="B833" s="26"/>
      <c r="C833" s="26"/>
      <c r="D833" s="26"/>
      <c r="E833" s="26"/>
      <c r="F833" s="26"/>
      <c r="G833" s="26"/>
      <c r="H833" s="26"/>
      <c r="I833" s="26"/>
      <c r="J833" s="26"/>
      <c r="K833" s="26"/>
      <c r="L833" s="26"/>
      <c r="M833" s="26"/>
      <c r="N833" s="26"/>
      <c r="O833" s="26"/>
      <c r="P833" s="26"/>
      <c r="Q833" s="26"/>
      <c r="R833" s="26"/>
      <c r="S833" s="26"/>
    </row>
    <row r="834" spans="1:19" ht="15.75" customHeight="1" x14ac:dyDescent="0.25">
      <c r="A834" s="26"/>
      <c r="B834" s="26"/>
      <c r="C834" s="26"/>
      <c r="D834" s="26"/>
      <c r="E834" s="26"/>
      <c r="F834" s="26"/>
      <c r="G834" s="26"/>
      <c r="H834" s="26"/>
      <c r="I834" s="26"/>
      <c r="J834" s="26"/>
      <c r="K834" s="26"/>
      <c r="L834" s="26"/>
      <c r="M834" s="26"/>
      <c r="N834" s="26"/>
      <c r="O834" s="26"/>
      <c r="P834" s="26"/>
      <c r="Q834" s="26"/>
      <c r="R834" s="26"/>
      <c r="S834" s="26"/>
    </row>
    <row r="835" spans="1:19" ht="15.75" customHeight="1" x14ac:dyDescent="0.25">
      <c r="A835" s="26"/>
      <c r="B835" s="26"/>
      <c r="C835" s="26"/>
      <c r="D835" s="26"/>
      <c r="E835" s="26"/>
      <c r="F835" s="26"/>
      <c r="G835" s="26"/>
      <c r="H835" s="26"/>
      <c r="I835" s="26"/>
      <c r="J835" s="26"/>
      <c r="K835" s="26"/>
      <c r="L835" s="26"/>
      <c r="M835" s="26"/>
      <c r="N835" s="26"/>
      <c r="O835" s="26"/>
      <c r="P835" s="26"/>
      <c r="Q835" s="26"/>
      <c r="R835" s="26"/>
      <c r="S835" s="26"/>
    </row>
    <row r="836" spans="1:19" ht="15.75" customHeight="1" x14ac:dyDescent="0.25">
      <c r="A836" s="26"/>
      <c r="B836" s="26"/>
      <c r="C836" s="26"/>
      <c r="D836" s="26"/>
      <c r="E836" s="26"/>
      <c r="F836" s="26"/>
      <c r="G836" s="26"/>
      <c r="H836" s="26"/>
      <c r="I836" s="26"/>
      <c r="J836" s="26"/>
      <c r="K836" s="26"/>
      <c r="L836" s="26"/>
      <c r="M836" s="26"/>
      <c r="N836" s="26"/>
      <c r="O836" s="26"/>
      <c r="P836" s="26"/>
      <c r="Q836" s="26"/>
      <c r="R836" s="26"/>
      <c r="S836" s="26"/>
    </row>
    <row r="837" spans="1:19" ht="15.75" customHeight="1" x14ac:dyDescent="0.25">
      <c r="A837" s="26"/>
      <c r="B837" s="26"/>
      <c r="C837" s="26"/>
      <c r="D837" s="26"/>
      <c r="E837" s="26"/>
      <c r="F837" s="26"/>
      <c r="G837" s="26"/>
      <c r="H837" s="26"/>
      <c r="I837" s="26"/>
      <c r="J837" s="26"/>
      <c r="K837" s="26"/>
      <c r="L837" s="26"/>
      <c r="M837" s="26"/>
      <c r="N837" s="26"/>
      <c r="O837" s="26"/>
      <c r="P837" s="26"/>
      <c r="Q837" s="26"/>
      <c r="R837" s="26"/>
      <c r="S837" s="26"/>
    </row>
    <row r="838" spans="1:19" ht="15.75" customHeight="1" x14ac:dyDescent="0.25">
      <c r="A838" s="26"/>
      <c r="B838" s="26"/>
      <c r="C838" s="26"/>
      <c r="D838" s="26"/>
      <c r="E838" s="26"/>
      <c r="F838" s="26"/>
      <c r="G838" s="26"/>
      <c r="H838" s="26"/>
      <c r="I838" s="26"/>
      <c r="J838" s="26"/>
      <c r="K838" s="26"/>
      <c r="L838" s="26"/>
      <c r="M838" s="26"/>
      <c r="N838" s="26"/>
      <c r="O838" s="26"/>
      <c r="P838" s="26"/>
      <c r="Q838" s="26"/>
      <c r="R838" s="26"/>
      <c r="S838" s="26"/>
    </row>
    <row r="839" spans="1:19" ht="15.75" customHeight="1" x14ac:dyDescent="0.25">
      <c r="A839" s="26"/>
      <c r="B839" s="26"/>
      <c r="C839" s="26"/>
      <c r="D839" s="26"/>
      <c r="E839" s="26"/>
      <c r="F839" s="26"/>
      <c r="G839" s="26"/>
      <c r="H839" s="26"/>
      <c r="I839" s="26"/>
      <c r="J839" s="26"/>
      <c r="K839" s="26"/>
      <c r="L839" s="26"/>
      <c r="M839" s="26"/>
      <c r="N839" s="26"/>
      <c r="O839" s="26"/>
      <c r="P839" s="26"/>
      <c r="Q839" s="26"/>
      <c r="R839" s="26"/>
      <c r="S839" s="26"/>
    </row>
    <row r="840" spans="1:19" ht="15.75" customHeight="1" x14ac:dyDescent="0.25">
      <c r="A840" s="26"/>
      <c r="B840" s="26"/>
      <c r="C840" s="26"/>
      <c r="D840" s="26"/>
      <c r="E840" s="26"/>
      <c r="F840" s="26"/>
      <c r="G840" s="26"/>
      <c r="H840" s="26"/>
      <c r="I840" s="26"/>
      <c r="J840" s="26"/>
      <c r="K840" s="26"/>
      <c r="L840" s="26"/>
      <c r="M840" s="26"/>
      <c r="N840" s="26"/>
      <c r="O840" s="26"/>
      <c r="P840" s="26"/>
      <c r="Q840" s="26"/>
      <c r="R840" s="26"/>
      <c r="S840" s="26"/>
    </row>
    <row r="841" spans="1:19" ht="15.75" customHeight="1" x14ac:dyDescent="0.25">
      <c r="A841" s="26"/>
      <c r="B841" s="26"/>
      <c r="C841" s="26"/>
      <c r="D841" s="26"/>
      <c r="E841" s="26"/>
      <c r="F841" s="26"/>
      <c r="G841" s="26"/>
      <c r="H841" s="26"/>
      <c r="I841" s="26"/>
      <c r="J841" s="26"/>
      <c r="K841" s="26"/>
      <c r="L841" s="26"/>
      <c r="M841" s="26"/>
      <c r="N841" s="26"/>
      <c r="O841" s="26"/>
      <c r="P841" s="26"/>
      <c r="Q841" s="26"/>
      <c r="R841" s="26"/>
      <c r="S841" s="26"/>
    </row>
    <row r="842" spans="1:19" ht="15.75" customHeight="1" x14ac:dyDescent="0.25">
      <c r="A842" s="26"/>
      <c r="B842" s="26"/>
      <c r="C842" s="26"/>
      <c r="D842" s="26"/>
      <c r="E842" s="26"/>
      <c r="F842" s="26"/>
      <c r="G842" s="26"/>
      <c r="H842" s="26"/>
      <c r="I842" s="26"/>
      <c r="J842" s="26"/>
      <c r="K842" s="26"/>
      <c r="L842" s="26"/>
      <c r="M842" s="26"/>
      <c r="N842" s="26"/>
      <c r="O842" s="26"/>
      <c r="P842" s="26"/>
      <c r="Q842" s="26"/>
      <c r="R842" s="26"/>
      <c r="S842" s="26"/>
    </row>
    <row r="843" spans="1:19" ht="15.75" customHeight="1" x14ac:dyDescent="0.25">
      <c r="A843" s="26"/>
      <c r="B843" s="26"/>
      <c r="C843" s="26"/>
      <c r="D843" s="26"/>
      <c r="E843" s="26"/>
      <c r="F843" s="26"/>
      <c r="G843" s="26"/>
      <c r="H843" s="26"/>
      <c r="I843" s="26"/>
      <c r="J843" s="26"/>
      <c r="K843" s="26"/>
      <c r="L843" s="26"/>
      <c r="M843" s="26"/>
      <c r="N843" s="26"/>
      <c r="O843" s="26"/>
      <c r="P843" s="26"/>
      <c r="Q843" s="26"/>
      <c r="R843" s="26"/>
      <c r="S843" s="26"/>
    </row>
    <row r="844" spans="1:19" ht="15.75" customHeight="1" x14ac:dyDescent="0.25">
      <c r="A844" s="26"/>
      <c r="B844" s="26"/>
      <c r="C844" s="26"/>
      <c r="D844" s="26"/>
      <c r="E844" s="26"/>
      <c r="F844" s="26"/>
      <c r="G844" s="26"/>
      <c r="H844" s="26"/>
      <c r="I844" s="26"/>
      <c r="J844" s="26"/>
      <c r="K844" s="26"/>
      <c r="L844" s="26"/>
      <c r="M844" s="26"/>
      <c r="N844" s="26"/>
      <c r="O844" s="26"/>
      <c r="P844" s="26"/>
      <c r="Q844" s="26"/>
      <c r="R844" s="26"/>
      <c r="S844" s="26"/>
    </row>
    <row r="845" spans="1:19" ht="15.75" customHeight="1" x14ac:dyDescent="0.25">
      <c r="A845" s="26"/>
      <c r="B845" s="26"/>
      <c r="C845" s="26"/>
      <c r="D845" s="26"/>
      <c r="E845" s="26"/>
      <c r="F845" s="26"/>
      <c r="G845" s="26"/>
      <c r="H845" s="26"/>
      <c r="I845" s="26"/>
      <c r="J845" s="26"/>
      <c r="K845" s="26"/>
      <c r="L845" s="26"/>
      <c r="M845" s="26"/>
      <c r="N845" s="26"/>
      <c r="O845" s="26"/>
      <c r="P845" s="26"/>
      <c r="Q845" s="26"/>
      <c r="R845" s="26"/>
      <c r="S845" s="26"/>
    </row>
    <row r="846" spans="1:19" ht="15.75" customHeight="1" x14ac:dyDescent="0.25">
      <c r="A846" s="26"/>
      <c r="B846" s="26"/>
      <c r="C846" s="26"/>
      <c r="D846" s="26"/>
      <c r="E846" s="26"/>
      <c r="F846" s="26"/>
      <c r="G846" s="26"/>
      <c r="H846" s="26"/>
      <c r="I846" s="26"/>
      <c r="J846" s="26"/>
      <c r="K846" s="26"/>
      <c r="L846" s="26"/>
      <c r="M846" s="26"/>
      <c r="N846" s="26"/>
      <c r="O846" s="26"/>
      <c r="P846" s="26"/>
      <c r="Q846" s="26"/>
      <c r="R846" s="26"/>
      <c r="S846" s="26"/>
    </row>
    <row r="847" spans="1:19" ht="15.75" customHeight="1" x14ac:dyDescent="0.25">
      <c r="A847" s="26"/>
      <c r="B847" s="26"/>
      <c r="C847" s="26"/>
      <c r="D847" s="26"/>
      <c r="E847" s="26"/>
      <c r="F847" s="26"/>
      <c r="G847" s="26"/>
      <c r="H847" s="26"/>
      <c r="I847" s="26"/>
      <c r="J847" s="26"/>
      <c r="K847" s="26"/>
      <c r="L847" s="26"/>
      <c r="M847" s="26"/>
      <c r="N847" s="26"/>
      <c r="O847" s="26"/>
      <c r="P847" s="26"/>
      <c r="Q847" s="26"/>
      <c r="R847" s="26"/>
      <c r="S847" s="26"/>
    </row>
    <row r="848" spans="1:19" ht="15.75" customHeight="1" x14ac:dyDescent="0.25">
      <c r="A848" s="26"/>
      <c r="B848" s="26"/>
      <c r="C848" s="26"/>
      <c r="D848" s="26"/>
      <c r="E848" s="26"/>
      <c r="F848" s="26"/>
      <c r="G848" s="26"/>
      <c r="H848" s="26"/>
      <c r="I848" s="26"/>
      <c r="J848" s="26"/>
      <c r="K848" s="26"/>
      <c r="L848" s="26"/>
      <c r="M848" s="26"/>
      <c r="N848" s="26"/>
      <c r="O848" s="26"/>
      <c r="P848" s="26"/>
      <c r="Q848" s="26"/>
      <c r="R848" s="26"/>
      <c r="S848" s="26"/>
    </row>
    <row r="849" spans="1:19" ht="15.75" customHeight="1" x14ac:dyDescent="0.25">
      <c r="A849" s="26"/>
      <c r="B849" s="26"/>
      <c r="C849" s="26"/>
      <c r="D849" s="26"/>
      <c r="E849" s="26"/>
      <c r="F849" s="26"/>
      <c r="G849" s="26"/>
      <c r="H849" s="26"/>
      <c r="I849" s="26"/>
      <c r="J849" s="26"/>
      <c r="K849" s="26"/>
      <c r="L849" s="26"/>
      <c r="M849" s="26"/>
      <c r="N849" s="26"/>
      <c r="O849" s="26"/>
      <c r="P849" s="26"/>
      <c r="Q849" s="26"/>
      <c r="R849" s="26"/>
      <c r="S849" s="26"/>
    </row>
    <row r="850" spans="1:19" ht="15.75" customHeight="1" x14ac:dyDescent="0.25">
      <c r="A850" s="26"/>
      <c r="B850" s="26"/>
      <c r="C850" s="26"/>
      <c r="D850" s="26"/>
      <c r="E850" s="26"/>
      <c r="F850" s="26"/>
      <c r="G850" s="26"/>
      <c r="H850" s="26"/>
      <c r="I850" s="26"/>
      <c r="J850" s="26"/>
      <c r="K850" s="26"/>
      <c r="L850" s="26"/>
      <c r="M850" s="26"/>
      <c r="N850" s="26"/>
      <c r="O850" s="26"/>
      <c r="P850" s="26"/>
      <c r="Q850" s="26"/>
      <c r="R850" s="26"/>
      <c r="S850" s="26"/>
    </row>
    <row r="851" spans="1:19" ht="15.75" customHeight="1" x14ac:dyDescent="0.25">
      <c r="A851" s="26"/>
      <c r="B851" s="26"/>
      <c r="C851" s="26"/>
      <c r="D851" s="26"/>
      <c r="E851" s="26"/>
      <c r="F851" s="26"/>
      <c r="G851" s="26"/>
      <c r="H851" s="26"/>
      <c r="I851" s="26"/>
      <c r="J851" s="26"/>
      <c r="K851" s="26"/>
      <c r="L851" s="26"/>
      <c r="M851" s="26"/>
      <c r="N851" s="26"/>
      <c r="O851" s="26"/>
      <c r="P851" s="26"/>
      <c r="Q851" s="26"/>
      <c r="R851" s="26"/>
      <c r="S851" s="26"/>
    </row>
    <row r="852" spans="1:19" ht="15.75" customHeight="1" x14ac:dyDescent="0.25">
      <c r="A852" s="26"/>
      <c r="B852" s="26"/>
      <c r="C852" s="26"/>
      <c r="D852" s="26"/>
      <c r="E852" s="26"/>
      <c r="F852" s="26"/>
      <c r="G852" s="26"/>
      <c r="H852" s="26"/>
      <c r="I852" s="26"/>
      <c r="J852" s="26"/>
      <c r="K852" s="26"/>
      <c r="L852" s="26"/>
      <c r="M852" s="26"/>
      <c r="N852" s="26"/>
      <c r="O852" s="26"/>
      <c r="P852" s="26"/>
      <c r="Q852" s="26"/>
      <c r="R852" s="26"/>
      <c r="S852" s="26"/>
    </row>
    <row r="853" spans="1:19" ht="15.75" customHeight="1" x14ac:dyDescent="0.25">
      <c r="A853" s="26"/>
      <c r="B853" s="26"/>
      <c r="C853" s="26"/>
      <c r="D853" s="26"/>
      <c r="E853" s="26"/>
      <c r="F853" s="26"/>
      <c r="G853" s="26"/>
      <c r="H853" s="26"/>
      <c r="I853" s="26"/>
      <c r="J853" s="26"/>
      <c r="K853" s="26"/>
      <c r="L853" s="26"/>
      <c r="M853" s="26"/>
      <c r="N853" s="26"/>
      <c r="O853" s="26"/>
      <c r="P853" s="26"/>
      <c r="Q853" s="26"/>
      <c r="R853" s="26"/>
      <c r="S853" s="26"/>
    </row>
    <row r="854" spans="1:19" ht="15.75" customHeight="1" x14ac:dyDescent="0.25">
      <c r="A854" s="26"/>
      <c r="B854" s="26"/>
      <c r="C854" s="26"/>
      <c r="D854" s="26"/>
      <c r="E854" s="26"/>
      <c r="F854" s="26"/>
      <c r="G854" s="26"/>
      <c r="H854" s="26"/>
      <c r="I854" s="26"/>
      <c r="J854" s="26"/>
      <c r="K854" s="26"/>
      <c r="L854" s="26"/>
      <c r="M854" s="26"/>
      <c r="N854" s="26"/>
      <c r="O854" s="26"/>
      <c r="P854" s="26"/>
      <c r="Q854" s="26"/>
      <c r="R854" s="26"/>
      <c r="S854" s="26"/>
    </row>
    <row r="855" spans="1:19" ht="15.75" customHeight="1" x14ac:dyDescent="0.25">
      <c r="A855" s="26"/>
      <c r="B855" s="26"/>
      <c r="C855" s="26"/>
      <c r="D855" s="26"/>
      <c r="E855" s="26"/>
      <c r="F855" s="26"/>
      <c r="G855" s="26"/>
      <c r="H855" s="26"/>
      <c r="I855" s="26"/>
      <c r="J855" s="26"/>
      <c r="K855" s="26"/>
      <c r="L855" s="26"/>
      <c r="M855" s="26"/>
      <c r="N855" s="26"/>
      <c r="O855" s="26"/>
      <c r="P855" s="26"/>
      <c r="Q855" s="26"/>
      <c r="R855" s="26"/>
      <c r="S855" s="26"/>
    </row>
    <row r="856" spans="1:19" ht="15.75" customHeight="1" x14ac:dyDescent="0.25">
      <c r="A856" s="26"/>
      <c r="B856" s="26"/>
      <c r="C856" s="26"/>
      <c r="D856" s="26"/>
      <c r="E856" s="26"/>
      <c r="F856" s="26"/>
      <c r="G856" s="26"/>
      <c r="H856" s="26"/>
      <c r="I856" s="26"/>
      <c r="J856" s="26"/>
      <c r="K856" s="26"/>
      <c r="L856" s="26"/>
      <c r="M856" s="26"/>
      <c r="N856" s="26"/>
      <c r="O856" s="26"/>
      <c r="P856" s="26"/>
      <c r="Q856" s="26"/>
      <c r="R856" s="26"/>
      <c r="S856" s="26"/>
    </row>
    <row r="857" spans="1:19" ht="15.75" customHeight="1" x14ac:dyDescent="0.25">
      <c r="A857" s="26"/>
      <c r="B857" s="26"/>
      <c r="C857" s="26"/>
      <c r="D857" s="26"/>
      <c r="E857" s="26"/>
      <c r="F857" s="26"/>
      <c r="G857" s="26"/>
      <c r="H857" s="26"/>
      <c r="I857" s="26"/>
      <c r="J857" s="26"/>
      <c r="K857" s="26"/>
      <c r="L857" s="26"/>
      <c r="M857" s="26"/>
      <c r="N857" s="26"/>
      <c r="O857" s="26"/>
      <c r="P857" s="26"/>
      <c r="Q857" s="26"/>
      <c r="R857" s="26"/>
      <c r="S857" s="26"/>
    </row>
    <row r="858" spans="1:19" ht="15.75" customHeight="1" x14ac:dyDescent="0.25">
      <c r="A858" s="26"/>
      <c r="B858" s="26"/>
      <c r="C858" s="26"/>
      <c r="D858" s="26"/>
      <c r="E858" s="26"/>
      <c r="F858" s="26"/>
      <c r="G858" s="26"/>
      <c r="H858" s="26"/>
      <c r="I858" s="26"/>
      <c r="J858" s="26"/>
      <c r="K858" s="26"/>
      <c r="L858" s="26"/>
      <c r="M858" s="26"/>
      <c r="N858" s="26"/>
      <c r="O858" s="26"/>
      <c r="P858" s="26"/>
      <c r="Q858" s="26"/>
      <c r="R858" s="26"/>
      <c r="S858" s="26"/>
    </row>
    <row r="859" spans="1:19" ht="15.75" customHeight="1" x14ac:dyDescent="0.25">
      <c r="A859" s="26"/>
      <c r="B859" s="26"/>
      <c r="C859" s="26"/>
      <c r="D859" s="26"/>
      <c r="E859" s="26"/>
      <c r="F859" s="26"/>
      <c r="G859" s="26"/>
      <c r="H859" s="26"/>
      <c r="I859" s="26"/>
      <c r="J859" s="26"/>
      <c r="K859" s="26"/>
      <c r="L859" s="26"/>
      <c r="M859" s="26"/>
      <c r="N859" s="26"/>
      <c r="O859" s="26"/>
      <c r="P859" s="26"/>
      <c r="Q859" s="26"/>
      <c r="R859" s="26"/>
      <c r="S859" s="26"/>
    </row>
    <row r="860" spans="1:19" ht="15.75" customHeight="1" x14ac:dyDescent="0.25">
      <c r="A860" s="26"/>
      <c r="B860" s="26"/>
      <c r="C860" s="26"/>
      <c r="D860" s="26"/>
      <c r="E860" s="26"/>
      <c r="F860" s="26"/>
      <c r="G860" s="26"/>
      <c r="H860" s="26"/>
      <c r="I860" s="26"/>
      <c r="J860" s="26"/>
      <c r="K860" s="26"/>
      <c r="L860" s="26"/>
      <c r="M860" s="26"/>
      <c r="N860" s="26"/>
      <c r="O860" s="26"/>
      <c r="P860" s="26"/>
      <c r="Q860" s="26"/>
      <c r="R860" s="26"/>
      <c r="S860" s="26"/>
    </row>
    <row r="861" spans="1:19" ht="15.75" customHeight="1" x14ac:dyDescent="0.25">
      <c r="A861" s="26"/>
      <c r="B861" s="26"/>
      <c r="C861" s="26"/>
      <c r="D861" s="26"/>
      <c r="E861" s="26"/>
      <c r="F861" s="26"/>
      <c r="G861" s="26"/>
      <c r="H861" s="26"/>
      <c r="I861" s="26"/>
      <c r="J861" s="26"/>
      <c r="K861" s="26"/>
      <c r="L861" s="26"/>
      <c r="M861" s="26"/>
      <c r="N861" s="26"/>
      <c r="O861" s="26"/>
      <c r="P861" s="26"/>
      <c r="Q861" s="26"/>
      <c r="R861" s="26"/>
      <c r="S861" s="26"/>
    </row>
    <row r="862" spans="1:19" ht="15.75" customHeight="1" x14ac:dyDescent="0.25">
      <c r="A862" s="26"/>
      <c r="B862" s="26"/>
      <c r="C862" s="26"/>
      <c r="D862" s="26"/>
      <c r="E862" s="26"/>
      <c r="F862" s="26"/>
      <c r="G862" s="26"/>
      <c r="H862" s="26"/>
      <c r="I862" s="26"/>
      <c r="J862" s="26"/>
      <c r="K862" s="26"/>
      <c r="L862" s="26"/>
      <c r="M862" s="26"/>
      <c r="N862" s="26"/>
      <c r="O862" s="26"/>
      <c r="P862" s="26"/>
      <c r="Q862" s="26"/>
      <c r="R862" s="26"/>
      <c r="S862" s="26"/>
    </row>
    <row r="863" spans="1:19" ht="15.75" customHeight="1" x14ac:dyDescent="0.25">
      <c r="A863" s="26"/>
      <c r="B863" s="26"/>
      <c r="C863" s="26"/>
      <c r="D863" s="26"/>
      <c r="E863" s="26"/>
      <c r="F863" s="26"/>
      <c r="G863" s="26"/>
      <c r="H863" s="26"/>
      <c r="I863" s="26"/>
      <c r="J863" s="26"/>
      <c r="K863" s="26"/>
      <c r="L863" s="26"/>
      <c r="M863" s="26"/>
      <c r="N863" s="26"/>
      <c r="O863" s="26"/>
      <c r="P863" s="26"/>
      <c r="Q863" s="26"/>
      <c r="R863" s="26"/>
      <c r="S863" s="26"/>
    </row>
    <row r="864" spans="1:19" ht="15.75" customHeight="1" x14ac:dyDescent="0.25">
      <c r="A864" s="26"/>
      <c r="B864" s="26"/>
      <c r="C864" s="26"/>
      <c r="D864" s="26"/>
      <c r="E864" s="26"/>
      <c r="F864" s="26"/>
      <c r="G864" s="26"/>
      <c r="H864" s="26"/>
      <c r="I864" s="26"/>
      <c r="J864" s="26"/>
      <c r="K864" s="26"/>
      <c r="L864" s="26"/>
      <c r="M864" s="26"/>
      <c r="N864" s="26"/>
      <c r="O864" s="26"/>
      <c r="P864" s="26"/>
      <c r="Q864" s="26"/>
      <c r="R864" s="26"/>
      <c r="S864" s="26"/>
    </row>
    <row r="865" spans="1:19" ht="15.75" customHeight="1" x14ac:dyDescent="0.25">
      <c r="A865" s="26"/>
      <c r="B865" s="26"/>
      <c r="C865" s="26"/>
      <c r="D865" s="26"/>
      <c r="E865" s="26"/>
      <c r="F865" s="26"/>
      <c r="G865" s="26"/>
      <c r="H865" s="26"/>
      <c r="I865" s="26"/>
      <c r="J865" s="26"/>
      <c r="K865" s="26"/>
      <c r="L865" s="26"/>
      <c r="M865" s="26"/>
      <c r="N865" s="26"/>
      <c r="O865" s="26"/>
      <c r="P865" s="26"/>
      <c r="Q865" s="26"/>
      <c r="R865" s="26"/>
      <c r="S865" s="26"/>
    </row>
    <row r="866" spans="1:19" ht="15.75" customHeight="1" x14ac:dyDescent="0.25">
      <c r="A866" s="26"/>
      <c r="B866" s="26"/>
      <c r="C866" s="26"/>
      <c r="D866" s="26"/>
      <c r="E866" s="26"/>
      <c r="F866" s="26"/>
      <c r="G866" s="26"/>
      <c r="H866" s="26"/>
      <c r="I866" s="26"/>
      <c r="J866" s="26"/>
      <c r="K866" s="26"/>
      <c r="L866" s="26"/>
      <c r="M866" s="26"/>
      <c r="N866" s="26"/>
      <c r="O866" s="26"/>
      <c r="P866" s="26"/>
      <c r="Q866" s="26"/>
      <c r="R866" s="26"/>
      <c r="S866" s="26"/>
    </row>
    <row r="867" spans="1:19" ht="15.75" customHeight="1" x14ac:dyDescent="0.25">
      <c r="A867" s="26"/>
      <c r="B867" s="26"/>
      <c r="C867" s="26"/>
      <c r="D867" s="26"/>
      <c r="E867" s="26"/>
      <c r="F867" s="26"/>
      <c r="G867" s="26"/>
      <c r="H867" s="26"/>
      <c r="I867" s="26"/>
      <c r="J867" s="26"/>
      <c r="K867" s="26"/>
      <c r="L867" s="26"/>
      <c r="M867" s="26"/>
      <c r="N867" s="26"/>
      <c r="O867" s="26"/>
      <c r="P867" s="26"/>
      <c r="Q867" s="26"/>
      <c r="R867" s="26"/>
      <c r="S867" s="26"/>
    </row>
    <row r="868" spans="1:19" ht="15.75" customHeight="1" x14ac:dyDescent="0.25">
      <c r="A868" s="26"/>
      <c r="B868" s="26"/>
      <c r="C868" s="26"/>
      <c r="D868" s="26"/>
      <c r="E868" s="26"/>
      <c r="F868" s="26"/>
      <c r="G868" s="26"/>
      <c r="H868" s="26"/>
      <c r="I868" s="26"/>
      <c r="J868" s="26"/>
      <c r="K868" s="26"/>
      <c r="L868" s="26"/>
      <c r="M868" s="26"/>
      <c r="N868" s="26"/>
      <c r="O868" s="26"/>
      <c r="P868" s="26"/>
      <c r="Q868" s="26"/>
      <c r="R868" s="26"/>
      <c r="S868" s="26"/>
    </row>
    <row r="869" spans="1:19" ht="15.75" customHeight="1" x14ac:dyDescent="0.25">
      <c r="A869" s="26"/>
      <c r="B869" s="26"/>
      <c r="C869" s="26"/>
      <c r="D869" s="26"/>
      <c r="E869" s="26"/>
      <c r="F869" s="26"/>
      <c r="G869" s="26"/>
      <c r="H869" s="26"/>
      <c r="I869" s="26"/>
      <c r="J869" s="26"/>
      <c r="K869" s="26"/>
      <c r="L869" s="26"/>
      <c r="M869" s="26"/>
      <c r="N869" s="26"/>
      <c r="O869" s="26"/>
      <c r="P869" s="26"/>
      <c r="Q869" s="26"/>
      <c r="R869" s="26"/>
      <c r="S869" s="26"/>
    </row>
    <row r="870" spans="1:19" ht="15.75" customHeight="1" x14ac:dyDescent="0.25">
      <c r="A870" s="26"/>
      <c r="B870" s="26"/>
      <c r="C870" s="26"/>
      <c r="D870" s="26"/>
      <c r="E870" s="26"/>
      <c r="F870" s="26"/>
      <c r="G870" s="26"/>
      <c r="H870" s="26"/>
      <c r="I870" s="26"/>
      <c r="J870" s="26"/>
      <c r="K870" s="26"/>
      <c r="L870" s="26"/>
      <c r="M870" s="26"/>
      <c r="N870" s="26"/>
      <c r="O870" s="26"/>
      <c r="P870" s="26"/>
      <c r="Q870" s="26"/>
      <c r="R870" s="26"/>
      <c r="S870" s="26"/>
    </row>
    <row r="871" spans="1:19" ht="15.75" customHeight="1" x14ac:dyDescent="0.25">
      <c r="A871" s="26"/>
      <c r="B871" s="26"/>
      <c r="C871" s="26"/>
      <c r="D871" s="26"/>
      <c r="E871" s="26"/>
      <c r="F871" s="26"/>
      <c r="G871" s="26"/>
      <c r="H871" s="26"/>
      <c r="I871" s="26"/>
      <c r="J871" s="26"/>
      <c r="K871" s="26"/>
      <c r="L871" s="26"/>
      <c r="M871" s="26"/>
      <c r="N871" s="26"/>
      <c r="O871" s="26"/>
      <c r="P871" s="26"/>
      <c r="Q871" s="26"/>
      <c r="R871" s="26"/>
      <c r="S871" s="26"/>
    </row>
    <row r="872" spans="1:19" ht="15.75" customHeight="1" x14ac:dyDescent="0.25">
      <c r="A872" s="26"/>
      <c r="B872" s="26"/>
      <c r="C872" s="26"/>
      <c r="D872" s="26"/>
      <c r="E872" s="26"/>
      <c r="F872" s="26"/>
      <c r="G872" s="26"/>
      <c r="H872" s="26"/>
      <c r="I872" s="26"/>
      <c r="J872" s="26"/>
      <c r="K872" s="26"/>
      <c r="L872" s="26"/>
      <c r="M872" s="26"/>
      <c r="N872" s="26"/>
      <c r="O872" s="26"/>
      <c r="P872" s="26"/>
      <c r="Q872" s="26"/>
      <c r="R872" s="26"/>
      <c r="S872" s="26"/>
    </row>
    <row r="873" spans="1:19" ht="15.75" customHeight="1" x14ac:dyDescent="0.25">
      <c r="A873" s="26"/>
      <c r="B873" s="26"/>
      <c r="C873" s="26"/>
      <c r="D873" s="26"/>
      <c r="E873" s="26"/>
      <c r="F873" s="26"/>
      <c r="G873" s="26"/>
      <c r="H873" s="26"/>
      <c r="I873" s="26"/>
      <c r="J873" s="26"/>
      <c r="K873" s="26"/>
      <c r="L873" s="26"/>
      <c r="M873" s="26"/>
      <c r="N873" s="26"/>
      <c r="O873" s="26"/>
      <c r="P873" s="26"/>
      <c r="Q873" s="26"/>
      <c r="R873" s="26"/>
      <c r="S873" s="26"/>
    </row>
    <row r="874" spans="1:19" ht="15.75" customHeight="1" x14ac:dyDescent="0.25">
      <c r="A874" s="26"/>
      <c r="B874" s="26"/>
      <c r="C874" s="26"/>
      <c r="D874" s="26"/>
      <c r="E874" s="26"/>
      <c r="F874" s="26"/>
      <c r="G874" s="26"/>
      <c r="H874" s="26"/>
      <c r="I874" s="26"/>
      <c r="J874" s="26"/>
      <c r="K874" s="26"/>
      <c r="L874" s="26"/>
      <c r="M874" s="26"/>
      <c r="N874" s="26"/>
      <c r="O874" s="26"/>
      <c r="P874" s="26"/>
      <c r="Q874" s="26"/>
      <c r="R874" s="26"/>
      <c r="S874" s="26"/>
    </row>
    <row r="875" spans="1:19" ht="15.75" customHeight="1" x14ac:dyDescent="0.25">
      <c r="A875" s="26"/>
      <c r="B875" s="26"/>
      <c r="C875" s="26"/>
      <c r="D875" s="26"/>
      <c r="E875" s="26"/>
      <c r="F875" s="26"/>
      <c r="G875" s="26"/>
      <c r="H875" s="26"/>
      <c r="I875" s="26"/>
      <c r="J875" s="26"/>
      <c r="K875" s="26"/>
      <c r="L875" s="26"/>
      <c r="M875" s="26"/>
      <c r="N875" s="26"/>
      <c r="O875" s="26"/>
      <c r="P875" s="26"/>
      <c r="Q875" s="26"/>
      <c r="R875" s="26"/>
      <c r="S875" s="26"/>
    </row>
    <row r="876" spans="1:19" ht="15.75" customHeight="1" x14ac:dyDescent="0.25">
      <c r="A876" s="26"/>
      <c r="B876" s="26"/>
      <c r="C876" s="26"/>
      <c r="D876" s="26"/>
      <c r="E876" s="26"/>
      <c r="F876" s="26"/>
      <c r="G876" s="26"/>
      <c r="H876" s="26"/>
      <c r="I876" s="26"/>
      <c r="J876" s="26"/>
      <c r="K876" s="26"/>
      <c r="L876" s="26"/>
      <c r="M876" s="26"/>
      <c r="N876" s="26"/>
      <c r="O876" s="26"/>
      <c r="P876" s="26"/>
      <c r="Q876" s="26"/>
      <c r="R876" s="26"/>
      <c r="S876" s="26"/>
    </row>
    <row r="877" spans="1:19" ht="15.75" customHeight="1" x14ac:dyDescent="0.25">
      <c r="A877" s="26"/>
      <c r="B877" s="26"/>
      <c r="C877" s="26"/>
      <c r="D877" s="26"/>
      <c r="E877" s="26"/>
      <c r="F877" s="26"/>
      <c r="G877" s="26"/>
      <c r="H877" s="26"/>
      <c r="I877" s="26"/>
      <c r="J877" s="26"/>
      <c r="K877" s="26"/>
      <c r="L877" s="26"/>
      <c r="M877" s="26"/>
      <c r="N877" s="26"/>
      <c r="O877" s="26"/>
      <c r="P877" s="26"/>
      <c r="Q877" s="26"/>
      <c r="R877" s="26"/>
      <c r="S877" s="26"/>
    </row>
    <row r="878" spans="1:19" ht="15.75" customHeight="1" x14ac:dyDescent="0.25">
      <c r="A878" s="26"/>
      <c r="B878" s="26"/>
      <c r="C878" s="26"/>
      <c r="D878" s="26"/>
      <c r="E878" s="26"/>
      <c r="F878" s="26"/>
      <c r="G878" s="26"/>
      <c r="H878" s="26"/>
      <c r="I878" s="26"/>
      <c r="J878" s="26"/>
      <c r="K878" s="26"/>
      <c r="L878" s="26"/>
      <c r="M878" s="26"/>
      <c r="N878" s="26"/>
      <c r="O878" s="26"/>
      <c r="P878" s="26"/>
      <c r="Q878" s="26"/>
      <c r="R878" s="26"/>
      <c r="S878" s="26"/>
    </row>
    <row r="879" spans="1:19" ht="15.75" customHeight="1" x14ac:dyDescent="0.25">
      <c r="A879" s="26"/>
      <c r="B879" s="26"/>
      <c r="C879" s="26"/>
      <c r="D879" s="26"/>
      <c r="E879" s="26"/>
      <c r="F879" s="26"/>
      <c r="G879" s="26"/>
      <c r="H879" s="26"/>
      <c r="I879" s="26"/>
      <c r="J879" s="26"/>
      <c r="K879" s="26"/>
      <c r="L879" s="26"/>
      <c r="M879" s="26"/>
      <c r="N879" s="26"/>
      <c r="O879" s="26"/>
      <c r="P879" s="26"/>
      <c r="Q879" s="26"/>
      <c r="R879" s="26"/>
      <c r="S879" s="26"/>
    </row>
    <row r="880" spans="1:19" ht="15.75" customHeight="1" x14ac:dyDescent="0.25">
      <c r="A880" s="26"/>
      <c r="B880" s="26"/>
      <c r="C880" s="26"/>
      <c r="D880" s="26"/>
      <c r="E880" s="26"/>
      <c r="F880" s="26"/>
      <c r="G880" s="26"/>
      <c r="H880" s="26"/>
      <c r="I880" s="26"/>
      <c r="J880" s="26"/>
      <c r="K880" s="26"/>
      <c r="L880" s="26"/>
      <c r="M880" s="26"/>
      <c r="N880" s="26"/>
      <c r="O880" s="26"/>
      <c r="P880" s="26"/>
      <c r="Q880" s="26"/>
      <c r="R880" s="26"/>
      <c r="S880" s="26"/>
    </row>
    <row r="881" spans="1:19" ht="15.75" customHeight="1" x14ac:dyDescent="0.25">
      <c r="A881" s="26"/>
      <c r="B881" s="26"/>
      <c r="C881" s="26"/>
      <c r="D881" s="26"/>
      <c r="E881" s="26"/>
      <c r="F881" s="26"/>
      <c r="G881" s="26"/>
      <c r="H881" s="26"/>
      <c r="I881" s="26"/>
      <c r="J881" s="26"/>
      <c r="K881" s="26"/>
      <c r="L881" s="26"/>
      <c r="M881" s="26"/>
      <c r="N881" s="26"/>
      <c r="O881" s="26"/>
      <c r="P881" s="26"/>
      <c r="Q881" s="26"/>
      <c r="R881" s="26"/>
      <c r="S881" s="26"/>
    </row>
    <row r="882" spans="1:19" ht="15.75" customHeight="1" x14ac:dyDescent="0.25">
      <c r="A882" s="26"/>
      <c r="B882" s="26"/>
      <c r="C882" s="26"/>
      <c r="D882" s="26"/>
      <c r="E882" s="26"/>
      <c r="F882" s="26"/>
      <c r="G882" s="26"/>
      <c r="H882" s="26"/>
      <c r="I882" s="26"/>
      <c r="J882" s="26"/>
      <c r="K882" s="26"/>
      <c r="L882" s="26"/>
      <c r="M882" s="26"/>
      <c r="N882" s="26"/>
      <c r="O882" s="26"/>
      <c r="P882" s="26"/>
      <c r="Q882" s="26"/>
      <c r="R882" s="26"/>
      <c r="S882" s="26"/>
    </row>
    <row r="883" spans="1:19" ht="15.75" customHeight="1" x14ac:dyDescent="0.25">
      <c r="A883" s="26"/>
      <c r="B883" s="26"/>
      <c r="C883" s="26"/>
      <c r="D883" s="26"/>
      <c r="E883" s="26"/>
      <c r="F883" s="26"/>
      <c r="G883" s="26"/>
      <c r="H883" s="26"/>
      <c r="I883" s="26"/>
      <c r="J883" s="26"/>
      <c r="K883" s="26"/>
      <c r="L883" s="26"/>
      <c r="M883" s="26"/>
      <c r="N883" s="26"/>
      <c r="O883" s="26"/>
      <c r="P883" s="26"/>
      <c r="Q883" s="26"/>
      <c r="R883" s="26"/>
      <c r="S883" s="26"/>
    </row>
    <row r="884" spans="1:19" ht="15.75" customHeight="1" x14ac:dyDescent="0.25">
      <c r="A884" s="26"/>
      <c r="B884" s="26"/>
      <c r="C884" s="26"/>
      <c r="D884" s="26"/>
      <c r="E884" s="26"/>
      <c r="F884" s="26"/>
      <c r="G884" s="26"/>
      <c r="H884" s="26"/>
      <c r="I884" s="26"/>
      <c r="J884" s="26"/>
      <c r="K884" s="26"/>
      <c r="L884" s="26"/>
      <c r="M884" s="26"/>
      <c r="N884" s="26"/>
      <c r="O884" s="26"/>
      <c r="P884" s="26"/>
      <c r="Q884" s="26"/>
      <c r="R884" s="26"/>
      <c r="S884" s="26"/>
    </row>
    <row r="885" spans="1:19" ht="15.75" customHeight="1" x14ac:dyDescent="0.25">
      <c r="A885" s="26"/>
      <c r="B885" s="26"/>
      <c r="C885" s="26"/>
      <c r="D885" s="26"/>
      <c r="E885" s="26"/>
      <c r="F885" s="26"/>
      <c r="G885" s="26"/>
      <c r="H885" s="26"/>
      <c r="I885" s="26"/>
      <c r="J885" s="26"/>
      <c r="K885" s="26"/>
      <c r="L885" s="26"/>
      <c r="M885" s="26"/>
      <c r="N885" s="26"/>
      <c r="O885" s="26"/>
      <c r="P885" s="26"/>
      <c r="Q885" s="26"/>
      <c r="R885" s="26"/>
      <c r="S885" s="26"/>
    </row>
    <row r="886" spans="1:19" ht="15.75" customHeight="1" x14ac:dyDescent="0.25">
      <c r="A886" s="26"/>
      <c r="B886" s="26"/>
      <c r="C886" s="26"/>
      <c r="D886" s="26"/>
      <c r="E886" s="26"/>
      <c r="F886" s="26"/>
      <c r="G886" s="26"/>
      <c r="H886" s="26"/>
      <c r="I886" s="26"/>
      <c r="J886" s="26"/>
      <c r="K886" s="26"/>
      <c r="L886" s="26"/>
      <c r="M886" s="26"/>
      <c r="N886" s="26"/>
      <c r="O886" s="26"/>
      <c r="P886" s="26"/>
      <c r="Q886" s="26"/>
      <c r="R886" s="26"/>
      <c r="S886" s="26"/>
    </row>
    <row r="887" spans="1:19" ht="15.75" customHeight="1" x14ac:dyDescent="0.25">
      <c r="A887" s="26"/>
      <c r="B887" s="26"/>
      <c r="C887" s="26"/>
      <c r="D887" s="26"/>
      <c r="E887" s="26"/>
      <c r="F887" s="26"/>
      <c r="G887" s="26"/>
      <c r="H887" s="26"/>
      <c r="I887" s="26"/>
      <c r="J887" s="26"/>
      <c r="K887" s="26"/>
      <c r="L887" s="26"/>
      <c r="M887" s="26"/>
      <c r="N887" s="26"/>
      <c r="O887" s="26"/>
      <c r="P887" s="26"/>
      <c r="Q887" s="26"/>
      <c r="R887" s="26"/>
      <c r="S887" s="26"/>
    </row>
    <row r="888" spans="1:19" ht="15.75" customHeight="1" x14ac:dyDescent="0.25">
      <c r="A888" s="26"/>
      <c r="B888" s="26"/>
      <c r="C888" s="26"/>
      <c r="D888" s="26"/>
      <c r="E888" s="26"/>
      <c r="F888" s="26"/>
      <c r="G888" s="26"/>
      <c r="H888" s="26"/>
      <c r="I888" s="26"/>
      <c r="J888" s="26"/>
      <c r="K888" s="26"/>
      <c r="L888" s="26"/>
      <c r="M888" s="26"/>
      <c r="N888" s="26"/>
      <c r="O888" s="26"/>
      <c r="P888" s="26"/>
      <c r="Q888" s="26"/>
      <c r="R888" s="26"/>
      <c r="S888" s="26"/>
    </row>
    <row r="889" spans="1:19" ht="15.75" customHeight="1" x14ac:dyDescent="0.25">
      <c r="A889" s="26"/>
      <c r="B889" s="26"/>
      <c r="C889" s="26"/>
      <c r="D889" s="26"/>
      <c r="E889" s="26"/>
      <c r="F889" s="26"/>
      <c r="G889" s="26"/>
      <c r="H889" s="26"/>
      <c r="I889" s="26"/>
      <c r="J889" s="26"/>
      <c r="K889" s="26"/>
      <c r="L889" s="26"/>
      <c r="M889" s="26"/>
      <c r="N889" s="26"/>
      <c r="O889" s="26"/>
      <c r="P889" s="26"/>
      <c r="Q889" s="26"/>
      <c r="R889" s="26"/>
      <c r="S889" s="26"/>
    </row>
    <row r="890" spans="1:19" ht="15.75" customHeight="1" x14ac:dyDescent="0.25">
      <c r="A890" s="26"/>
      <c r="B890" s="26"/>
      <c r="C890" s="26"/>
      <c r="D890" s="26"/>
      <c r="E890" s="26"/>
      <c r="F890" s="26"/>
      <c r="G890" s="26"/>
      <c r="H890" s="26"/>
      <c r="I890" s="26"/>
      <c r="J890" s="26"/>
      <c r="K890" s="26"/>
      <c r="L890" s="26"/>
      <c r="M890" s="26"/>
      <c r="N890" s="26"/>
      <c r="O890" s="26"/>
      <c r="P890" s="26"/>
      <c r="Q890" s="26"/>
      <c r="R890" s="26"/>
      <c r="S890" s="26"/>
    </row>
    <row r="891" spans="1:19" ht="15.75" customHeight="1" x14ac:dyDescent="0.25">
      <c r="A891" s="26"/>
      <c r="B891" s="26"/>
      <c r="C891" s="26"/>
      <c r="D891" s="26"/>
      <c r="E891" s="26"/>
      <c r="F891" s="26"/>
      <c r="G891" s="26"/>
      <c r="H891" s="26"/>
      <c r="I891" s="26"/>
      <c r="J891" s="26"/>
      <c r="K891" s="26"/>
      <c r="L891" s="26"/>
      <c r="M891" s="26"/>
      <c r="N891" s="26"/>
      <c r="O891" s="26"/>
      <c r="P891" s="26"/>
      <c r="Q891" s="26"/>
      <c r="R891" s="26"/>
      <c r="S891" s="26"/>
    </row>
    <row r="892" spans="1:19" ht="15.75" customHeight="1" x14ac:dyDescent="0.25">
      <c r="A892" s="26"/>
      <c r="B892" s="26"/>
      <c r="C892" s="26"/>
      <c r="D892" s="26"/>
      <c r="E892" s="26"/>
      <c r="F892" s="26"/>
      <c r="G892" s="26"/>
      <c r="H892" s="26"/>
      <c r="I892" s="26"/>
      <c r="J892" s="26"/>
      <c r="K892" s="26"/>
      <c r="L892" s="26"/>
      <c r="M892" s="26"/>
      <c r="N892" s="26"/>
      <c r="O892" s="26"/>
      <c r="P892" s="26"/>
      <c r="Q892" s="26"/>
      <c r="R892" s="26"/>
      <c r="S892" s="26"/>
    </row>
    <row r="893" spans="1:19" ht="15.75" customHeight="1" x14ac:dyDescent="0.25">
      <c r="A893" s="26"/>
      <c r="B893" s="26"/>
      <c r="C893" s="26"/>
      <c r="D893" s="26"/>
      <c r="E893" s="26"/>
      <c r="F893" s="26"/>
      <c r="G893" s="26"/>
      <c r="H893" s="26"/>
      <c r="I893" s="26"/>
      <c r="J893" s="26"/>
      <c r="K893" s="26"/>
      <c r="L893" s="26"/>
      <c r="M893" s="26"/>
      <c r="N893" s="26"/>
      <c r="O893" s="26"/>
      <c r="P893" s="26"/>
      <c r="Q893" s="26"/>
      <c r="R893" s="26"/>
      <c r="S893" s="26"/>
    </row>
    <row r="894" spans="1:19" ht="15.75" customHeight="1" x14ac:dyDescent="0.25">
      <c r="A894" s="26"/>
      <c r="B894" s="26"/>
      <c r="C894" s="26"/>
      <c r="D894" s="26"/>
      <c r="E894" s="26"/>
      <c r="F894" s="26"/>
      <c r="G894" s="26"/>
      <c r="H894" s="26"/>
      <c r="I894" s="26"/>
      <c r="J894" s="26"/>
      <c r="K894" s="26"/>
      <c r="L894" s="26"/>
      <c r="M894" s="26"/>
      <c r="N894" s="26"/>
      <c r="O894" s="26"/>
      <c r="P894" s="26"/>
      <c r="Q894" s="26"/>
      <c r="R894" s="26"/>
      <c r="S894" s="26"/>
    </row>
    <row r="895" spans="1:19" ht="15.75" customHeight="1" x14ac:dyDescent="0.25">
      <c r="A895" s="26"/>
      <c r="B895" s="26"/>
      <c r="C895" s="26"/>
      <c r="D895" s="26"/>
      <c r="E895" s="26"/>
      <c r="F895" s="26"/>
      <c r="G895" s="26"/>
      <c r="H895" s="26"/>
      <c r="I895" s="26"/>
      <c r="J895" s="26"/>
      <c r="K895" s="26"/>
      <c r="L895" s="26"/>
      <c r="M895" s="26"/>
      <c r="N895" s="26"/>
      <c r="O895" s="26"/>
      <c r="P895" s="26"/>
      <c r="Q895" s="26"/>
      <c r="R895" s="26"/>
      <c r="S895" s="26"/>
    </row>
    <row r="896" spans="1:19" ht="15.75" customHeight="1" x14ac:dyDescent="0.25">
      <c r="A896" s="26"/>
      <c r="B896" s="26"/>
      <c r="C896" s="26"/>
      <c r="D896" s="26"/>
      <c r="E896" s="26"/>
      <c r="F896" s="26"/>
      <c r="G896" s="26"/>
      <c r="H896" s="26"/>
      <c r="I896" s="26"/>
      <c r="J896" s="26"/>
      <c r="K896" s="26"/>
      <c r="L896" s="26"/>
      <c r="M896" s="26"/>
      <c r="N896" s="26"/>
      <c r="O896" s="26"/>
      <c r="P896" s="26"/>
      <c r="Q896" s="26"/>
      <c r="R896" s="26"/>
      <c r="S896" s="26"/>
    </row>
    <row r="897" spans="1:19" ht="15.75" customHeight="1" x14ac:dyDescent="0.25">
      <c r="A897" s="26"/>
      <c r="B897" s="26"/>
      <c r="C897" s="26"/>
      <c r="D897" s="26"/>
      <c r="E897" s="26"/>
      <c r="F897" s="26"/>
      <c r="G897" s="26"/>
      <c r="H897" s="26"/>
      <c r="I897" s="26"/>
      <c r="J897" s="26"/>
      <c r="K897" s="26"/>
      <c r="L897" s="26"/>
      <c r="M897" s="26"/>
      <c r="N897" s="26"/>
      <c r="O897" s="26"/>
      <c r="P897" s="26"/>
      <c r="Q897" s="26"/>
      <c r="R897" s="26"/>
      <c r="S897" s="26"/>
    </row>
    <row r="898" spans="1:19" ht="15.75" customHeight="1" x14ac:dyDescent="0.25">
      <c r="A898" s="26"/>
      <c r="B898" s="26"/>
      <c r="C898" s="26"/>
      <c r="D898" s="26"/>
      <c r="E898" s="26"/>
      <c r="F898" s="26"/>
      <c r="G898" s="26"/>
      <c r="H898" s="26"/>
      <c r="I898" s="26"/>
      <c r="J898" s="26"/>
      <c r="K898" s="26"/>
      <c r="L898" s="26"/>
      <c r="M898" s="26"/>
      <c r="N898" s="26"/>
      <c r="O898" s="26"/>
      <c r="P898" s="26"/>
      <c r="Q898" s="26"/>
      <c r="R898" s="26"/>
      <c r="S898" s="26"/>
    </row>
    <row r="899" spans="1:19" ht="15.75" customHeight="1" x14ac:dyDescent="0.25">
      <c r="A899" s="26"/>
      <c r="B899" s="26"/>
      <c r="C899" s="26"/>
      <c r="D899" s="26"/>
      <c r="E899" s="26"/>
      <c r="F899" s="26"/>
      <c r="G899" s="26"/>
      <c r="H899" s="26"/>
      <c r="I899" s="26"/>
      <c r="J899" s="26"/>
      <c r="K899" s="26"/>
      <c r="L899" s="26"/>
      <c r="M899" s="26"/>
      <c r="N899" s="26"/>
      <c r="O899" s="26"/>
      <c r="P899" s="26"/>
      <c r="Q899" s="26"/>
      <c r="R899" s="26"/>
      <c r="S899" s="26"/>
    </row>
    <row r="900" spans="1:19" ht="15.75" customHeight="1" x14ac:dyDescent="0.25">
      <c r="A900" s="26"/>
      <c r="B900" s="26"/>
      <c r="C900" s="26"/>
      <c r="D900" s="26"/>
      <c r="E900" s="26"/>
      <c r="F900" s="26"/>
      <c r="G900" s="26"/>
      <c r="H900" s="26"/>
      <c r="I900" s="26"/>
      <c r="J900" s="26"/>
      <c r="K900" s="26"/>
      <c r="L900" s="26"/>
      <c r="M900" s="26"/>
      <c r="N900" s="26"/>
      <c r="O900" s="26"/>
      <c r="P900" s="26"/>
      <c r="Q900" s="26"/>
      <c r="R900" s="26"/>
      <c r="S900" s="26"/>
    </row>
    <row r="901" spans="1:19" ht="15.75" customHeight="1" x14ac:dyDescent="0.25">
      <c r="A901" s="26"/>
      <c r="B901" s="26"/>
      <c r="C901" s="26"/>
      <c r="D901" s="26"/>
      <c r="E901" s="26"/>
      <c r="F901" s="26"/>
      <c r="G901" s="26"/>
      <c r="H901" s="26"/>
      <c r="I901" s="26"/>
      <c r="J901" s="26"/>
      <c r="K901" s="26"/>
      <c r="L901" s="26"/>
      <c r="M901" s="26"/>
      <c r="N901" s="26"/>
      <c r="O901" s="26"/>
      <c r="P901" s="26"/>
      <c r="Q901" s="26"/>
      <c r="R901" s="26"/>
      <c r="S901" s="26"/>
    </row>
    <row r="902" spans="1:19" ht="15.75" customHeight="1" x14ac:dyDescent="0.25">
      <c r="A902" s="26"/>
      <c r="B902" s="26"/>
      <c r="C902" s="26"/>
      <c r="D902" s="26"/>
      <c r="E902" s="26"/>
      <c r="F902" s="26"/>
      <c r="G902" s="26"/>
      <c r="H902" s="26"/>
      <c r="I902" s="26"/>
      <c r="J902" s="26"/>
      <c r="K902" s="26"/>
      <c r="L902" s="26"/>
      <c r="M902" s="26"/>
      <c r="N902" s="26"/>
      <c r="O902" s="26"/>
      <c r="P902" s="26"/>
      <c r="Q902" s="26"/>
      <c r="R902" s="26"/>
      <c r="S902" s="26"/>
    </row>
    <row r="903" spans="1:19" ht="15.75" customHeight="1" x14ac:dyDescent="0.25">
      <c r="A903" s="26"/>
      <c r="B903" s="26"/>
      <c r="C903" s="26"/>
      <c r="D903" s="26"/>
      <c r="E903" s="26"/>
      <c r="F903" s="26"/>
      <c r="G903" s="26"/>
      <c r="H903" s="26"/>
      <c r="I903" s="26"/>
      <c r="J903" s="26"/>
      <c r="K903" s="26"/>
      <c r="L903" s="26"/>
      <c r="M903" s="26"/>
      <c r="N903" s="26"/>
      <c r="O903" s="26"/>
      <c r="P903" s="26"/>
      <c r="Q903" s="26"/>
      <c r="R903" s="26"/>
      <c r="S903" s="26"/>
    </row>
    <row r="904" spans="1:19" ht="15.75" customHeight="1" x14ac:dyDescent="0.25">
      <c r="A904" s="26"/>
      <c r="B904" s="26"/>
      <c r="C904" s="26"/>
      <c r="D904" s="26"/>
      <c r="E904" s="26"/>
      <c r="F904" s="26"/>
      <c r="G904" s="26"/>
      <c r="H904" s="26"/>
      <c r="I904" s="26"/>
      <c r="J904" s="26"/>
      <c r="K904" s="26"/>
      <c r="L904" s="26"/>
      <c r="M904" s="26"/>
      <c r="N904" s="26"/>
      <c r="O904" s="26"/>
      <c r="P904" s="26"/>
      <c r="Q904" s="26"/>
      <c r="R904" s="26"/>
      <c r="S904" s="26"/>
    </row>
    <row r="905" spans="1:19" ht="15.75" customHeight="1" x14ac:dyDescent="0.25">
      <c r="A905" s="26"/>
      <c r="B905" s="26"/>
      <c r="C905" s="26"/>
      <c r="D905" s="26"/>
      <c r="E905" s="26"/>
      <c r="F905" s="26"/>
      <c r="G905" s="26"/>
      <c r="H905" s="26"/>
      <c r="I905" s="26"/>
      <c r="J905" s="26"/>
      <c r="K905" s="26"/>
      <c r="L905" s="26"/>
      <c r="M905" s="26"/>
      <c r="N905" s="26"/>
      <c r="O905" s="26"/>
      <c r="P905" s="26"/>
      <c r="Q905" s="26"/>
      <c r="R905" s="26"/>
      <c r="S905" s="26"/>
    </row>
    <row r="906" spans="1:19" ht="15.75" customHeight="1" x14ac:dyDescent="0.25">
      <c r="A906" s="26"/>
      <c r="B906" s="26"/>
      <c r="C906" s="26"/>
      <c r="D906" s="26"/>
      <c r="E906" s="26"/>
      <c r="F906" s="26"/>
      <c r="G906" s="26"/>
      <c r="H906" s="26"/>
      <c r="I906" s="26"/>
      <c r="J906" s="26"/>
      <c r="K906" s="26"/>
      <c r="L906" s="26"/>
      <c r="M906" s="26"/>
      <c r="N906" s="26"/>
      <c r="O906" s="26"/>
      <c r="P906" s="26"/>
      <c r="Q906" s="26"/>
      <c r="R906" s="26"/>
      <c r="S906" s="26"/>
    </row>
    <row r="907" spans="1:19" ht="15.75" customHeight="1" x14ac:dyDescent="0.25">
      <c r="A907" s="26"/>
      <c r="B907" s="26"/>
      <c r="C907" s="26"/>
      <c r="D907" s="26"/>
      <c r="E907" s="26"/>
      <c r="F907" s="26"/>
      <c r="G907" s="26"/>
      <c r="H907" s="26"/>
      <c r="I907" s="26"/>
      <c r="J907" s="26"/>
      <c r="K907" s="26"/>
      <c r="L907" s="26"/>
      <c r="M907" s="26"/>
      <c r="N907" s="26"/>
      <c r="O907" s="26"/>
      <c r="P907" s="26"/>
      <c r="Q907" s="26"/>
      <c r="R907" s="26"/>
      <c r="S907" s="26"/>
    </row>
    <row r="908" spans="1:19" ht="15.75" customHeight="1" x14ac:dyDescent="0.25">
      <c r="A908" s="26"/>
      <c r="B908" s="26"/>
      <c r="C908" s="26"/>
      <c r="D908" s="26"/>
      <c r="E908" s="26"/>
      <c r="F908" s="26"/>
      <c r="G908" s="26"/>
      <c r="H908" s="26"/>
      <c r="I908" s="26"/>
      <c r="J908" s="26"/>
      <c r="K908" s="26"/>
      <c r="L908" s="26"/>
      <c r="M908" s="26"/>
      <c r="N908" s="26"/>
      <c r="O908" s="26"/>
      <c r="P908" s="26"/>
      <c r="Q908" s="26"/>
      <c r="R908" s="26"/>
      <c r="S908" s="26"/>
    </row>
    <row r="909" spans="1:19" ht="15.75" customHeight="1" x14ac:dyDescent="0.25">
      <c r="A909" s="26"/>
      <c r="B909" s="26"/>
      <c r="C909" s="26"/>
      <c r="D909" s="26"/>
      <c r="E909" s="26"/>
      <c r="F909" s="26"/>
      <c r="G909" s="26"/>
      <c r="H909" s="26"/>
      <c r="I909" s="26"/>
      <c r="J909" s="26"/>
      <c r="K909" s="26"/>
      <c r="L909" s="26"/>
      <c r="M909" s="26"/>
      <c r="N909" s="26"/>
      <c r="O909" s="26"/>
      <c r="P909" s="26"/>
      <c r="Q909" s="26"/>
      <c r="R909" s="26"/>
      <c r="S909" s="26"/>
    </row>
    <row r="910" spans="1:19" ht="15.75" customHeight="1" x14ac:dyDescent="0.25">
      <c r="A910" s="26"/>
      <c r="B910" s="26"/>
      <c r="C910" s="26"/>
      <c r="D910" s="26"/>
      <c r="E910" s="26"/>
      <c r="F910" s="26"/>
      <c r="G910" s="26"/>
      <c r="H910" s="26"/>
      <c r="I910" s="26"/>
      <c r="J910" s="26"/>
      <c r="K910" s="26"/>
      <c r="L910" s="26"/>
      <c r="M910" s="26"/>
      <c r="N910" s="26"/>
      <c r="O910" s="26"/>
      <c r="P910" s="26"/>
      <c r="Q910" s="26"/>
      <c r="R910" s="26"/>
      <c r="S910" s="26"/>
    </row>
    <row r="911" spans="1:19" ht="15.75" customHeight="1" x14ac:dyDescent="0.25">
      <c r="A911" s="26"/>
      <c r="B911" s="26"/>
      <c r="C911" s="26"/>
      <c r="D911" s="26"/>
      <c r="E911" s="26"/>
      <c r="F911" s="26"/>
      <c r="G911" s="26"/>
      <c r="H911" s="26"/>
      <c r="I911" s="26"/>
      <c r="J911" s="26"/>
      <c r="K911" s="26"/>
      <c r="L911" s="26"/>
      <c r="M911" s="26"/>
      <c r="N911" s="26"/>
      <c r="O911" s="26"/>
      <c r="P911" s="26"/>
      <c r="Q911" s="26"/>
      <c r="R911" s="26"/>
      <c r="S911" s="26"/>
    </row>
    <row r="912" spans="1:19" ht="15.75" customHeight="1" x14ac:dyDescent="0.25">
      <c r="A912" s="26"/>
      <c r="B912" s="26"/>
      <c r="C912" s="26"/>
      <c r="D912" s="26"/>
      <c r="E912" s="26"/>
      <c r="F912" s="26"/>
      <c r="G912" s="26"/>
      <c r="H912" s="26"/>
      <c r="I912" s="26"/>
      <c r="J912" s="26"/>
      <c r="K912" s="26"/>
      <c r="L912" s="26"/>
      <c r="M912" s="26"/>
      <c r="N912" s="26"/>
      <c r="O912" s="26"/>
      <c r="P912" s="26"/>
      <c r="Q912" s="26"/>
      <c r="R912" s="26"/>
      <c r="S912" s="26"/>
    </row>
    <row r="913" spans="1:19" ht="15.75" customHeight="1" x14ac:dyDescent="0.25">
      <c r="A913" s="26"/>
      <c r="B913" s="26"/>
      <c r="C913" s="26"/>
      <c r="D913" s="26"/>
      <c r="E913" s="26"/>
      <c r="F913" s="26"/>
      <c r="G913" s="26"/>
      <c r="H913" s="26"/>
      <c r="I913" s="26"/>
      <c r="J913" s="26"/>
      <c r="K913" s="26"/>
      <c r="L913" s="26"/>
      <c r="M913" s="26"/>
      <c r="N913" s="26"/>
      <c r="O913" s="26"/>
      <c r="P913" s="26"/>
      <c r="Q913" s="26"/>
      <c r="R913" s="26"/>
      <c r="S913" s="26"/>
    </row>
    <row r="914" spans="1:19" ht="15.75" customHeight="1" x14ac:dyDescent="0.25">
      <c r="A914" s="26"/>
      <c r="B914" s="26"/>
      <c r="C914" s="26"/>
      <c r="D914" s="26"/>
      <c r="E914" s="26"/>
      <c r="F914" s="26"/>
      <c r="G914" s="26"/>
      <c r="H914" s="26"/>
      <c r="I914" s="26"/>
      <c r="J914" s="26"/>
      <c r="K914" s="26"/>
      <c r="L914" s="26"/>
      <c r="M914" s="26"/>
      <c r="N914" s="26"/>
      <c r="O914" s="26"/>
      <c r="P914" s="26"/>
      <c r="Q914" s="26"/>
      <c r="R914" s="26"/>
      <c r="S914" s="26"/>
    </row>
    <row r="915" spans="1:19" ht="15.75" customHeight="1" x14ac:dyDescent="0.25">
      <c r="A915" s="26"/>
      <c r="B915" s="26"/>
      <c r="C915" s="26"/>
      <c r="D915" s="26"/>
      <c r="E915" s="26"/>
      <c r="F915" s="26"/>
      <c r="G915" s="26"/>
      <c r="H915" s="26"/>
      <c r="I915" s="26"/>
      <c r="J915" s="26"/>
      <c r="K915" s="26"/>
      <c r="L915" s="26"/>
      <c r="M915" s="26"/>
      <c r="N915" s="26"/>
      <c r="O915" s="26"/>
      <c r="P915" s="26"/>
      <c r="Q915" s="26"/>
      <c r="R915" s="26"/>
      <c r="S915" s="26"/>
    </row>
    <row r="916" spans="1:19" ht="15.75" customHeight="1" x14ac:dyDescent="0.25">
      <c r="A916" s="26"/>
      <c r="B916" s="26"/>
      <c r="C916" s="26"/>
      <c r="D916" s="26"/>
      <c r="E916" s="26"/>
      <c r="F916" s="26"/>
      <c r="G916" s="26"/>
      <c r="H916" s="26"/>
      <c r="I916" s="26"/>
      <c r="J916" s="26"/>
      <c r="K916" s="26"/>
      <c r="L916" s="26"/>
      <c r="M916" s="26"/>
      <c r="N916" s="26"/>
      <c r="O916" s="26"/>
      <c r="P916" s="26"/>
      <c r="Q916" s="26"/>
      <c r="R916" s="26"/>
      <c r="S916" s="26"/>
    </row>
    <row r="917" spans="1:19" ht="15.75" customHeight="1" x14ac:dyDescent="0.25">
      <c r="A917" s="26"/>
      <c r="B917" s="26"/>
      <c r="C917" s="26"/>
      <c r="D917" s="26"/>
      <c r="E917" s="26"/>
      <c r="F917" s="26"/>
      <c r="G917" s="26"/>
      <c r="H917" s="26"/>
      <c r="I917" s="26"/>
      <c r="J917" s="26"/>
      <c r="K917" s="26"/>
      <c r="L917" s="26"/>
      <c r="M917" s="26"/>
      <c r="N917" s="26"/>
      <c r="O917" s="26"/>
      <c r="P917" s="26"/>
      <c r="Q917" s="26"/>
      <c r="R917" s="26"/>
      <c r="S917" s="26"/>
    </row>
    <row r="918" spans="1:19" ht="15.75" customHeight="1" x14ac:dyDescent="0.25">
      <c r="A918" s="26"/>
      <c r="B918" s="26"/>
      <c r="C918" s="26"/>
      <c r="D918" s="26"/>
      <c r="E918" s="26"/>
      <c r="F918" s="26"/>
      <c r="G918" s="26"/>
      <c r="H918" s="26"/>
      <c r="I918" s="26"/>
      <c r="J918" s="26"/>
      <c r="K918" s="26"/>
      <c r="L918" s="26"/>
      <c r="M918" s="26"/>
      <c r="N918" s="26"/>
      <c r="O918" s="26"/>
      <c r="P918" s="26"/>
      <c r="Q918" s="26"/>
      <c r="R918" s="26"/>
      <c r="S918" s="26"/>
    </row>
    <row r="919" spans="1:19" ht="15.75" customHeight="1" x14ac:dyDescent="0.25">
      <c r="A919" s="26"/>
      <c r="B919" s="26"/>
      <c r="C919" s="26"/>
      <c r="D919" s="26"/>
      <c r="E919" s="26"/>
      <c r="F919" s="26"/>
      <c r="G919" s="26"/>
      <c r="H919" s="26"/>
      <c r="I919" s="26"/>
      <c r="J919" s="26"/>
      <c r="K919" s="26"/>
      <c r="L919" s="26"/>
      <c r="M919" s="26"/>
      <c r="N919" s="26"/>
      <c r="O919" s="26"/>
      <c r="P919" s="26"/>
      <c r="Q919" s="26"/>
      <c r="R919" s="26"/>
      <c r="S919" s="26"/>
    </row>
    <row r="920" spans="1:19" ht="15.75" customHeight="1" x14ac:dyDescent="0.25">
      <c r="A920" s="26"/>
      <c r="B920" s="26"/>
      <c r="C920" s="26"/>
      <c r="D920" s="26"/>
      <c r="E920" s="26"/>
      <c r="F920" s="26"/>
      <c r="G920" s="26"/>
      <c r="H920" s="26"/>
      <c r="I920" s="26"/>
      <c r="J920" s="26"/>
      <c r="K920" s="26"/>
      <c r="L920" s="26"/>
      <c r="M920" s="26"/>
      <c r="N920" s="26"/>
      <c r="O920" s="26"/>
      <c r="P920" s="26"/>
      <c r="Q920" s="26"/>
      <c r="R920" s="26"/>
      <c r="S920" s="26"/>
    </row>
    <row r="921" spans="1:19" ht="15.75" customHeight="1" x14ac:dyDescent="0.25">
      <c r="A921" s="26"/>
      <c r="B921" s="26"/>
      <c r="C921" s="26"/>
      <c r="D921" s="26"/>
      <c r="E921" s="26"/>
      <c r="F921" s="26"/>
      <c r="G921" s="26"/>
      <c r="H921" s="26"/>
      <c r="I921" s="26"/>
      <c r="J921" s="26"/>
      <c r="K921" s="26"/>
      <c r="L921" s="26"/>
      <c r="M921" s="26"/>
      <c r="N921" s="26"/>
      <c r="O921" s="26"/>
      <c r="P921" s="26"/>
      <c r="Q921" s="26"/>
      <c r="R921" s="26"/>
      <c r="S921" s="26"/>
    </row>
    <row r="922" spans="1:19" ht="15.75" customHeight="1" x14ac:dyDescent="0.25">
      <c r="A922" s="26"/>
      <c r="B922" s="26"/>
      <c r="C922" s="26"/>
      <c r="D922" s="26"/>
      <c r="E922" s="26"/>
      <c r="F922" s="26"/>
      <c r="G922" s="26"/>
      <c r="H922" s="26"/>
      <c r="I922" s="26"/>
      <c r="J922" s="26"/>
      <c r="K922" s="26"/>
      <c r="L922" s="26"/>
      <c r="M922" s="26"/>
      <c r="N922" s="26"/>
      <c r="O922" s="26"/>
      <c r="P922" s="26"/>
      <c r="Q922" s="26"/>
      <c r="R922" s="26"/>
      <c r="S922" s="26"/>
    </row>
    <row r="923" spans="1:19" ht="15.75" customHeight="1" x14ac:dyDescent="0.25">
      <c r="A923" s="26"/>
      <c r="B923" s="26"/>
      <c r="C923" s="26"/>
      <c r="D923" s="26"/>
      <c r="E923" s="26"/>
      <c r="F923" s="26"/>
      <c r="G923" s="26"/>
      <c r="H923" s="26"/>
      <c r="I923" s="26"/>
      <c r="J923" s="26"/>
      <c r="K923" s="26"/>
      <c r="L923" s="26"/>
      <c r="M923" s="26"/>
      <c r="N923" s="26"/>
      <c r="O923" s="26"/>
      <c r="P923" s="26"/>
      <c r="Q923" s="26"/>
      <c r="R923" s="26"/>
      <c r="S923" s="26"/>
    </row>
    <row r="924" spans="1:19" ht="15.75" customHeight="1" x14ac:dyDescent="0.25">
      <c r="A924" s="26"/>
      <c r="B924" s="26"/>
      <c r="C924" s="26"/>
      <c r="D924" s="26"/>
      <c r="E924" s="26"/>
      <c r="F924" s="26"/>
      <c r="G924" s="26"/>
      <c r="H924" s="26"/>
      <c r="I924" s="26"/>
      <c r="J924" s="26"/>
      <c r="K924" s="26"/>
      <c r="L924" s="26"/>
      <c r="M924" s="26"/>
      <c r="N924" s="26"/>
      <c r="O924" s="26"/>
      <c r="P924" s="26"/>
      <c r="Q924" s="26"/>
      <c r="R924" s="26"/>
      <c r="S924" s="26"/>
    </row>
    <row r="925" spans="1:19" ht="15.75" customHeight="1" x14ac:dyDescent="0.25">
      <c r="A925" s="26"/>
      <c r="B925" s="26"/>
      <c r="C925" s="26"/>
      <c r="D925" s="26"/>
      <c r="E925" s="26"/>
      <c r="F925" s="26"/>
      <c r="G925" s="26"/>
      <c r="H925" s="26"/>
      <c r="I925" s="26"/>
      <c r="J925" s="26"/>
      <c r="K925" s="26"/>
      <c r="L925" s="26"/>
      <c r="M925" s="26"/>
      <c r="N925" s="26"/>
      <c r="O925" s="26"/>
      <c r="P925" s="26"/>
      <c r="Q925" s="26"/>
      <c r="R925" s="26"/>
      <c r="S925" s="26"/>
    </row>
    <row r="926" spans="1:19" ht="15.75" customHeight="1" x14ac:dyDescent="0.25">
      <c r="A926" s="26"/>
      <c r="B926" s="26"/>
      <c r="C926" s="26"/>
      <c r="D926" s="26"/>
      <c r="E926" s="26"/>
      <c r="F926" s="26"/>
      <c r="G926" s="26"/>
      <c r="H926" s="26"/>
      <c r="I926" s="26"/>
      <c r="J926" s="26"/>
      <c r="K926" s="26"/>
      <c r="L926" s="26"/>
      <c r="M926" s="26"/>
      <c r="N926" s="26"/>
      <c r="O926" s="26"/>
      <c r="P926" s="26"/>
      <c r="Q926" s="26"/>
      <c r="R926" s="26"/>
      <c r="S926" s="26"/>
    </row>
    <row r="927" spans="1:19" ht="15.75" customHeight="1" x14ac:dyDescent="0.25">
      <c r="A927" s="26"/>
      <c r="B927" s="26"/>
      <c r="C927" s="26"/>
      <c r="D927" s="26"/>
      <c r="E927" s="26"/>
      <c r="F927" s="26"/>
      <c r="G927" s="26"/>
      <c r="H927" s="26"/>
      <c r="I927" s="26"/>
      <c r="J927" s="26"/>
      <c r="K927" s="26"/>
      <c r="L927" s="26"/>
      <c r="M927" s="26"/>
      <c r="N927" s="26"/>
      <c r="O927" s="26"/>
      <c r="P927" s="26"/>
      <c r="Q927" s="26"/>
      <c r="R927" s="26"/>
      <c r="S927" s="26"/>
    </row>
    <row r="928" spans="1:19" ht="15.75" customHeight="1" x14ac:dyDescent="0.25">
      <c r="A928" s="26"/>
      <c r="B928" s="26"/>
      <c r="C928" s="26"/>
      <c r="D928" s="26"/>
      <c r="E928" s="26"/>
      <c r="F928" s="26"/>
      <c r="G928" s="26"/>
      <c r="H928" s="26"/>
      <c r="I928" s="26"/>
      <c r="J928" s="26"/>
      <c r="K928" s="26"/>
      <c r="L928" s="26"/>
      <c r="M928" s="26"/>
      <c r="N928" s="26"/>
      <c r="O928" s="26"/>
      <c r="P928" s="26"/>
      <c r="Q928" s="26"/>
      <c r="R928" s="26"/>
      <c r="S928" s="26"/>
    </row>
    <row r="929" spans="1:19" ht="15.75" customHeight="1" x14ac:dyDescent="0.25">
      <c r="A929" s="26"/>
      <c r="B929" s="26"/>
      <c r="C929" s="26"/>
      <c r="D929" s="26"/>
      <c r="E929" s="26"/>
      <c r="F929" s="26"/>
      <c r="G929" s="26"/>
      <c r="H929" s="26"/>
      <c r="I929" s="26"/>
      <c r="J929" s="26"/>
      <c r="K929" s="26"/>
      <c r="L929" s="26"/>
      <c r="M929" s="26"/>
      <c r="N929" s="26"/>
      <c r="O929" s="26"/>
      <c r="P929" s="26"/>
      <c r="Q929" s="26"/>
      <c r="R929" s="26"/>
      <c r="S929" s="26"/>
    </row>
    <row r="930" spans="1:19" ht="15.75" customHeight="1" x14ac:dyDescent="0.25">
      <c r="A930" s="26"/>
      <c r="B930" s="26"/>
      <c r="C930" s="26"/>
      <c r="D930" s="26"/>
      <c r="E930" s="26"/>
      <c r="F930" s="26"/>
      <c r="G930" s="26"/>
      <c r="H930" s="26"/>
      <c r="I930" s="26"/>
      <c r="J930" s="26"/>
      <c r="K930" s="26"/>
      <c r="L930" s="26"/>
      <c r="M930" s="26"/>
      <c r="N930" s="26"/>
      <c r="O930" s="26"/>
      <c r="P930" s="26"/>
      <c r="Q930" s="26"/>
      <c r="R930" s="26"/>
      <c r="S930" s="26"/>
    </row>
    <row r="931" spans="1:19" ht="15.75" customHeight="1" x14ac:dyDescent="0.25">
      <c r="A931" s="26"/>
      <c r="B931" s="26"/>
      <c r="C931" s="26"/>
      <c r="D931" s="26"/>
      <c r="E931" s="26"/>
      <c r="F931" s="26"/>
      <c r="G931" s="26"/>
      <c r="H931" s="26"/>
      <c r="I931" s="26"/>
      <c r="J931" s="26"/>
      <c r="K931" s="26"/>
      <c r="L931" s="26"/>
      <c r="M931" s="26"/>
      <c r="N931" s="26"/>
      <c r="O931" s="26"/>
      <c r="P931" s="26"/>
      <c r="Q931" s="26"/>
      <c r="R931" s="26"/>
      <c r="S931" s="26"/>
    </row>
    <row r="932" spans="1:19" ht="15.75" customHeight="1" x14ac:dyDescent="0.25">
      <c r="A932" s="26"/>
      <c r="B932" s="26"/>
      <c r="C932" s="26"/>
      <c r="D932" s="26"/>
      <c r="E932" s="26"/>
      <c r="F932" s="26"/>
      <c r="G932" s="26"/>
      <c r="H932" s="26"/>
      <c r="I932" s="26"/>
      <c r="J932" s="26"/>
      <c r="K932" s="26"/>
      <c r="L932" s="26"/>
      <c r="M932" s="26"/>
      <c r="N932" s="26"/>
      <c r="O932" s="26"/>
      <c r="P932" s="26"/>
      <c r="Q932" s="26"/>
      <c r="R932" s="26"/>
      <c r="S932" s="26"/>
    </row>
    <row r="933" spans="1:19" ht="15.75" customHeight="1" x14ac:dyDescent="0.25">
      <c r="A933" s="26"/>
      <c r="B933" s="26"/>
      <c r="C933" s="26"/>
      <c r="D933" s="26"/>
      <c r="E933" s="26"/>
      <c r="F933" s="26"/>
      <c r="G933" s="26"/>
      <c r="H933" s="26"/>
      <c r="I933" s="26"/>
      <c r="J933" s="26"/>
      <c r="K933" s="26"/>
      <c r="L933" s="26"/>
      <c r="M933" s="26"/>
      <c r="N933" s="26"/>
      <c r="O933" s="26"/>
      <c r="P933" s="26"/>
      <c r="Q933" s="26"/>
      <c r="R933" s="26"/>
      <c r="S933" s="26"/>
    </row>
    <row r="934" spans="1:19" ht="15.75" customHeight="1" x14ac:dyDescent="0.25">
      <c r="A934" s="26"/>
      <c r="B934" s="26"/>
      <c r="C934" s="26"/>
      <c r="D934" s="26"/>
      <c r="E934" s="26"/>
      <c r="F934" s="26"/>
      <c r="G934" s="26"/>
      <c r="H934" s="26"/>
      <c r="I934" s="26"/>
      <c r="J934" s="26"/>
      <c r="K934" s="26"/>
      <c r="L934" s="26"/>
      <c r="M934" s="26"/>
      <c r="N934" s="26"/>
      <c r="O934" s="26"/>
      <c r="P934" s="26"/>
      <c r="Q934" s="26"/>
      <c r="R934" s="26"/>
      <c r="S934" s="26"/>
    </row>
    <row r="935" spans="1:19" ht="15.75" customHeight="1" x14ac:dyDescent="0.25">
      <c r="A935" s="26"/>
      <c r="B935" s="26"/>
      <c r="C935" s="26"/>
      <c r="D935" s="26"/>
      <c r="E935" s="26"/>
      <c r="F935" s="26"/>
      <c r="G935" s="26"/>
      <c r="H935" s="26"/>
      <c r="I935" s="26"/>
      <c r="J935" s="26"/>
      <c r="K935" s="26"/>
      <c r="L935" s="26"/>
      <c r="M935" s="26"/>
      <c r="N935" s="26"/>
      <c r="O935" s="26"/>
      <c r="P935" s="26"/>
      <c r="Q935" s="26"/>
      <c r="R935" s="26"/>
      <c r="S935" s="26"/>
    </row>
    <row r="936" spans="1:19" ht="15.75" customHeight="1" x14ac:dyDescent="0.25">
      <c r="A936" s="26"/>
      <c r="B936" s="26"/>
      <c r="C936" s="26"/>
      <c r="D936" s="26"/>
      <c r="E936" s="26"/>
      <c r="F936" s="26"/>
      <c r="G936" s="26"/>
      <c r="H936" s="26"/>
      <c r="I936" s="26"/>
      <c r="J936" s="26"/>
      <c r="K936" s="26"/>
      <c r="L936" s="26"/>
      <c r="M936" s="26"/>
      <c r="N936" s="26"/>
      <c r="O936" s="26"/>
      <c r="P936" s="26"/>
      <c r="Q936" s="26"/>
      <c r="R936" s="26"/>
      <c r="S936" s="26"/>
    </row>
    <row r="937" spans="1:19" ht="15.75" customHeight="1" x14ac:dyDescent="0.25">
      <c r="A937" s="26"/>
      <c r="B937" s="26"/>
      <c r="C937" s="26"/>
      <c r="D937" s="26"/>
      <c r="E937" s="26"/>
      <c r="F937" s="26"/>
      <c r="G937" s="26"/>
      <c r="H937" s="26"/>
      <c r="I937" s="26"/>
      <c r="J937" s="26"/>
      <c r="K937" s="26"/>
      <c r="L937" s="26"/>
      <c r="M937" s="26"/>
      <c r="N937" s="26"/>
      <c r="O937" s="26"/>
      <c r="P937" s="26"/>
      <c r="Q937" s="26"/>
      <c r="R937" s="26"/>
      <c r="S937" s="26"/>
    </row>
    <row r="938" spans="1:19" ht="15.75" customHeight="1" x14ac:dyDescent="0.25">
      <c r="A938" s="26"/>
      <c r="B938" s="26"/>
      <c r="C938" s="26"/>
      <c r="D938" s="26"/>
      <c r="E938" s="26"/>
      <c r="F938" s="26"/>
      <c r="G938" s="26"/>
      <c r="H938" s="26"/>
      <c r="I938" s="26"/>
      <c r="J938" s="26"/>
      <c r="K938" s="26"/>
      <c r="L938" s="26"/>
      <c r="M938" s="26"/>
      <c r="N938" s="26"/>
      <c r="O938" s="26"/>
      <c r="P938" s="26"/>
      <c r="Q938" s="26"/>
      <c r="R938" s="26"/>
      <c r="S938" s="26"/>
    </row>
    <row r="939" spans="1:19" ht="15.75" customHeight="1" x14ac:dyDescent="0.25">
      <c r="A939" s="26"/>
      <c r="B939" s="26"/>
      <c r="C939" s="26"/>
      <c r="D939" s="26"/>
      <c r="E939" s="26"/>
      <c r="F939" s="26"/>
      <c r="G939" s="26"/>
      <c r="H939" s="26"/>
      <c r="I939" s="26"/>
      <c r="J939" s="26"/>
      <c r="K939" s="26"/>
      <c r="L939" s="26"/>
      <c r="M939" s="26"/>
      <c r="N939" s="26"/>
      <c r="O939" s="26"/>
      <c r="P939" s="26"/>
      <c r="Q939" s="26"/>
      <c r="R939" s="26"/>
      <c r="S939" s="26"/>
    </row>
    <row r="940" spans="1:19" ht="15.75" customHeight="1" x14ac:dyDescent="0.25">
      <c r="A940" s="26"/>
      <c r="B940" s="26"/>
      <c r="C940" s="26"/>
      <c r="D940" s="26"/>
      <c r="E940" s="26"/>
      <c r="F940" s="26"/>
      <c r="G940" s="26"/>
      <c r="H940" s="26"/>
      <c r="I940" s="26"/>
      <c r="J940" s="26"/>
      <c r="K940" s="26"/>
      <c r="L940" s="26"/>
      <c r="M940" s="26"/>
      <c r="N940" s="26"/>
      <c r="O940" s="26"/>
      <c r="P940" s="26"/>
      <c r="Q940" s="26"/>
      <c r="R940" s="26"/>
      <c r="S940" s="26"/>
    </row>
    <row r="941" spans="1:19" ht="15.75" customHeight="1" x14ac:dyDescent="0.25">
      <c r="A941" s="26"/>
      <c r="B941" s="26"/>
      <c r="C941" s="26"/>
      <c r="D941" s="26"/>
      <c r="E941" s="26"/>
      <c r="F941" s="26"/>
      <c r="G941" s="26"/>
      <c r="H941" s="26"/>
      <c r="I941" s="26"/>
      <c r="J941" s="26"/>
      <c r="K941" s="26"/>
      <c r="L941" s="26"/>
      <c r="M941" s="26"/>
      <c r="N941" s="26"/>
      <c r="O941" s="26"/>
      <c r="P941" s="26"/>
      <c r="Q941" s="26"/>
      <c r="R941" s="26"/>
      <c r="S941" s="26"/>
    </row>
    <row r="942" spans="1:19" ht="15.75" customHeight="1" x14ac:dyDescent="0.25">
      <c r="A942" s="26"/>
      <c r="B942" s="26"/>
      <c r="C942" s="26"/>
      <c r="D942" s="26"/>
      <c r="E942" s="26"/>
      <c r="F942" s="26"/>
      <c r="G942" s="26"/>
      <c r="H942" s="26"/>
      <c r="I942" s="26"/>
      <c r="J942" s="26"/>
      <c r="K942" s="26"/>
      <c r="L942" s="26"/>
      <c r="M942" s="26"/>
      <c r="N942" s="26"/>
      <c r="O942" s="26"/>
      <c r="P942" s="26"/>
      <c r="Q942" s="26"/>
      <c r="R942" s="26"/>
      <c r="S942" s="26"/>
    </row>
    <row r="943" spans="1:19" ht="15.75" customHeight="1" x14ac:dyDescent="0.25">
      <c r="A943" s="26"/>
      <c r="B943" s="26"/>
      <c r="C943" s="26"/>
      <c r="D943" s="26"/>
      <c r="E943" s="26"/>
      <c r="F943" s="26"/>
      <c r="G943" s="26"/>
      <c r="H943" s="26"/>
      <c r="I943" s="26"/>
      <c r="J943" s="26"/>
      <c r="K943" s="26"/>
      <c r="L943" s="26"/>
      <c r="M943" s="26"/>
      <c r="N943" s="26"/>
      <c r="O943" s="26"/>
      <c r="P943" s="26"/>
      <c r="Q943" s="26"/>
      <c r="R943" s="26"/>
      <c r="S943" s="26"/>
    </row>
    <row r="944" spans="1:19" ht="15.75" customHeight="1" x14ac:dyDescent="0.25">
      <c r="A944" s="26"/>
      <c r="B944" s="26"/>
      <c r="C944" s="26"/>
      <c r="D944" s="26"/>
      <c r="E944" s="26"/>
      <c r="F944" s="26"/>
      <c r="G944" s="26"/>
      <c r="H944" s="26"/>
      <c r="I944" s="26"/>
      <c r="J944" s="26"/>
      <c r="K944" s="26"/>
      <c r="L944" s="26"/>
      <c r="M944" s="26"/>
      <c r="N944" s="26"/>
      <c r="O944" s="26"/>
      <c r="P944" s="26"/>
      <c r="Q944" s="26"/>
      <c r="R944" s="26"/>
      <c r="S944" s="26"/>
    </row>
    <row r="945" spans="1:19" ht="15.75" customHeight="1" x14ac:dyDescent="0.25">
      <c r="A945" s="26"/>
      <c r="B945" s="26"/>
      <c r="C945" s="26"/>
      <c r="D945" s="26"/>
      <c r="E945" s="26"/>
      <c r="F945" s="26"/>
      <c r="G945" s="26"/>
      <c r="H945" s="26"/>
      <c r="I945" s="26"/>
      <c r="J945" s="26"/>
      <c r="K945" s="26"/>
      <c r="L945" s="26"/>
      <c r="M945" s="26"/>
      <c r="N945" s="26"/>
      <c r="O945" s="26"/>
      <c r="P945" s="26"/>
      <c r="Q945" s="26"/>
      <c r="R945" s="26"/>
      <c r="S945" s="26"/>
    </row>
    <row r="946" spans="1:19" ht="15.75" customHeight="1" x14ac:dyDescent="0.25">
      <c r="A946" s="26"/>
      <c r="B946" s="26"/>
      <c r="C946" s="26"/>
      <c r="D946" s="26"/>
      <c r="E946" s="26"/>
      <c r="F946" s="26"/>
      <c r="G946" s="26"/>
      <c r="H946" s="26"/>
      <c r="I946" s="26"/>
      <c r="J946" s="26"/>
      <c r="K946" s="26"/>
      <c r="L946" s="26"/>
      <c r="M946" s="26"/>
      <c r="N946" s="26"/>
      <c r="O946" s="26"/>
      <c r="P946" s="26"/>
      <c r="Q946" s="26"/>
      <c r="R946" s="26"/>
      <c r="S946" s="26"/>
    </row>
    <row r="947" spans="1:19" ht="15.75" customHeight="1" x14ac:dyDescent="0.25">
      <c r="A947" s="26"/>
      <c r="B947" s="26"/>
      <c r="C947" s="26"/>
      <c r="D947" s="26"/>
      <c r="E947" s="26"/>
      <c r="F947" s="26"/>
      <c r="G947" s="26"/>
      <c r="H947" s="26"/>
      <c r="I947" s="26"/>
      <c r="J947" s="26"/>
      <c r="K947" s="26"/>
      <c r="L947" s="26"/>
      <c r="M947" s="26"/>
      <c r="N947" s="26"/>
      <c r="O947" s="26"/>
      <c r="P947" s="26"/>
      <c r="Q947" s="26"/>
      <c r="R947" s="26"/>
      <c r="S947" s="26"/>
    </row>
    <row r="948" spans="1:19" ht="15.75" customHeight="1" x14ac:dyDescent="0.25">
      <c r="A948" s="26"/>
      <c r="B948" s="26"/>
      <c r="C948" s="26"/>
      <c r="D948" s="26"/>
      <c r="E948" s="26"/>
      <c r="F948" s="26"/>
      <c r="G948" s="26"/>
      <c r="H948" s="26"/>
      <c r="I948" s="26"/>
      <c r="J948" s="26"/>
      <c r="K948" s="26"/>
      <c r="L948" s="26"/>
      <c r="M948" s="26"/>
      <c r="N948" s="26"/>
      <c r="O948" s="26"/>
      <c r="P948" s="26"/>
      <c r="Q948" s="26"/>
      <c r="R948" s="26"/>
      <c r="S948" s="26"/>
    </row>
    <row r="949" spans="1:19" ht="15.75" customHeight="1" x14ac:dyDescent="0.25">
      <c r="A949" s="26"/>
      <c r="B949" s="26"/>
      <c r="C949" s="26"/>
      <c r="D949" s="26"/>
      <c r="E949" s="26"/>
      <c r="F949" s="26"/>
      <c r="G949" s="26"/>
      <c r="H949" s="26"/>
      <c r="I949" s="26"/>
      <c r="J949" s="26"/>
      <c r="K949" s="26"/>
      <c r="L949" s="26"/>
      <c r="M949" s="26"/>
      <c r="N949" s="26"/>
      <c r="O949" s="26"/>
      <c r="P949" s="26"/>
      <c r="Q949" s="26"/>
      <c r="R949" s="26"/>
      <c r="S949" s="26"/>
    </row>
    <row r="950" spans="1:19" ht="15.75" customHeight="1" x14ac:dyDescent="0.25">
      <c r="A950" s="26"/>
      <c r="B950" s="26"/>
      <c r="C950" s="26"/>
      <c r="D950" s="26"/>
      <c r="E950" s="26"/>
      <c r="F950" s="26"/>
      <c r="G950" s="26"/>
      <c r="H950" s="26"/>
      <c r="I950" s="26"/>
      <c r="J950" s="26"/>
      <c r="K950" s="26"/>
      <c r="L950" s="26"/>
      <c r="M950" s="26"/>
      <c r="N950" s="26"/>
      <c r="O950" s="26"/>
      <c r="P950" s="26"/>
      <c r="Q950" s="26"/>
      <c r="R950" s="26"/>
      <c r="S950" s="26"/>
    </row>
    <row r="951" spans="1:19" ht="15.75" customHeight="1" x14ac:dyDescent="0.25">
      <c r="A951" s="26"/>
      <c r="B951" s="26"/>
      <c r="C951" s="26"/>
      <c r="D951" s="26"/>
      <c r="E951" s="26"/>
      <c r="F951" s="26"/>
      <c r="G951" s="26"/>
      <c r="H951" s="26"/>
      <c r="I951" s="26"/>
      <c r="J951" s="26"/>
      <c r="K951" s="26"/>
      <c r="L951" s="26"/>
      <c r="M951" s="26"/>
      <c r="N951" s="26"/>
      <c r="O951" s="26"/>
      <c r="P951" s="26"/>
      <c r="Q951" s="26"/>
      <c r="R951" s="26"/>
      <c r="S951" s="26"/>
    </row>
    <row r="952" spans="1:19" ht="15.75" customHeight="1" x14ac:dyDescent="0.25">
      <c r="A952" s="26"/>
      <c r="B952" s="26"/>
      <c r="C952" s="26"/>
      <c r="D952" s="26"/>
      <c r="E952" s="26"/>
      <c r="F952" s="26"/>
      <c r="G952" s="26"/>
      <c r="H952" s="26"/>
      <c r="I952" s="26"/>
      <c r="J952" s="26"/>
      <c r="K952" s="26"/>
      <c r="L952" s="26"/>
      <c r="M952" s="26"/>
      <c r="N952" s="26"/>
      <c r="O952" s="26"/>
      <c r="P952" s="26"/>
      <c r="Q952" s="26"/>
      <c r="R952" s="26"/>
      <c r="S952" s="26"/>
    </row>
    <row r="953" spans="1:19" ht="15.75" customHeight="1" x14ac:dyDescent="0.25">
      <c r="A953" s="26"/>
      <c r="B953" s="26"/>
      <c r="C953" s="26"/>
      <c r="D953" s="26"/>
      <c r="E953" s="26"/>
      <c r="F953" s="26"/>
      <c r="G953" s="26"/>
      <c r="H953" s="26"/>
      <c r="I953" s="26"/>
      <c r="J953" s="26"/>
      <c r="K953" s="26"/>
      <c r="L953" s="26"/>
      <c r="M953" s="26"/>
      <c r="N953" s="26"/>
      <c r="O953" s="26"/>
      <c r="P953" s="26"/>
      <c r="Q953" s="26"/>
      <c r="R953" s="26"/>
      <c r="S953" s="26"/>
    </row>
    <row r="954" spans="1:19" ht="15.75" customHeight="1" x14ac:dyDescent="0.25">
      <c r="A954" s="26"/>
      <c r="B954" s="26"/>
      <c r="C954" s="26"/>
      <c r="D954" s="26"/>
      <c r="E954" s="26"/>
      <c r="F954" s="26"/>
      <c r="G954" s="26"/>
      <c r="H954" s="26"/>
      <c r="I954" s="26"/>
      <c r="J954" s="26"/>
      <c r="K954" s="26"/>
      <c r="L954" s="26"/>
      <c r="M954" s="26"/>
      <c r="N954" s="26"/>
      <c r="O954" s="26"/>
      <c r="P954" s="26"/>
      <c r="Q954" s="26"/>
      <c r="R954" s="26"/>
      <c r="S954" s="26"/>
    </row>
    <row r="955" spans="1:19" ht="15.75" customHeight="1" x14ac:dyDescent="0.25">
      <c r="A955" s="26"/>
      <c r="B955" s="26"/>
      <c r="C955" s="26"/>
      <c r="D955" s="26"/>
      <c r="E955" s="26"/>
      <c r="F955" s="26"/>
      <c r="G955" s="26"/>
      <c r="H955" s="26"/>
      <c r="I955" s="26"/>
      <c r="J955" s="26"/>
      <c r="K955" s="26"/>
      <c r="L955" s="26"/>
      <c r="M955" s="26"/>
      <c r="N955" s="26"/>
      <c r="O955" s="26"/>
      <c r="P955" s="26"/>
      <c r="Q955" s="26"/>
      <c r="R955" s="26"/>
      <c r="S955" s="26"/>
    </row>
    <row r="956" spans="1:19" ht="15.75" customHeight="1" x14ac:dyDescent="0.25">
      <c r="A956" s="26"/>
      <c r="B956" s="26"/>
      <c r="C956" s="26"/>
      <c r="D956" s="26"/>
      <c r="E956" s="26"/>
      <c r="F956" s="26"/>
      <c r="G956" s="26"/>
      <c r="H956" s="26"/>
      <c r="I956" s="26"/>
      <c r="J956" s="26"/>
      <c r="K956" s="26"/>
      <c r="L956" s="26"/>
      <c r="M956" s="26"/>
      <c r="N956" s="26"/>
      <c r="O956" s="26"/>
      <c r="P956" s="26"/>
      <c r="Q956" s="26"/>
      <c r="R956" s="26"/>
      <c r="S956" s="26"/>
    </row>
    <row r="957" spans="1:19" ht="15.75" customHeight="1" x14ac:dyDescent="0.25">
      <c r="A957" s="26"/>
      <c r="B957" s="26"/>
      <c r="C957" s="26"/>
      <c r="D957" s="26"/>
      <c r="E957" s="26"/>
      <c r="F957" s="26"/>
      <c r="G957" s="26"/>
      <c r="H957" s="26"/>
      <c r="I957" s="26"/>
      <c r="J957" s="26"/>
      <c r="K957" s="26"/>
      <c r="L957" s="26"/>
      <c r="M957" s="26"/>
      <c r="N957" s="26"/>
      <c r="O957" s="26"/>
      <c r="P957" s="26"/>
      <c r="Q957" s="26"/>
      <c r="R957" s="26"/>
      <c r="S957" s="26"/>
    </row>
    <row r="958" spans="1:19" ht="15.75" customHeight="1" x14ac:dyDescent="0.25">
      <c r="A958" s="26"/>
      <c r="B958" s="26"/>
      <c r="C958" s="26"/>
      <c r="D958" s="26"/>
      <c r="E958" s="26"/>
      <c r="F958" s="26"/>
      <c r="G958" s="26"/>
      <c r="H958" s="26"/>
      <c r="I958" s="26"/>
      <c r="J958" s="26"/>
      <c r="K958" s="26"/>
      <c r="L958" s="26"/>
      <c r="M958" s="26"/>
      <c r="N958" s="26"/>
      <c r="O958" s="26"/>
      <c r="P958" s="26"/>
      <c r="Q958" s="26"/>
      <c r="R958" s="26"/>
      <c r="S958" s="26"/>
    </row>
    <row r="959" spans="1:19" ht="15.75" customHeight="1" x14ac:dyDescent="0.25">
      <c r="A959" s="26"/>
      <c r="B959" s="26"/>
      <c r="C959" s="26"/>
      <c r="D959" s="26"/>
      <c r="E959" s="26"/>
      <c r="F959" s="26"/>
      <c r="G959" s="26"/>
      <c r="H959" s="26"/>
      <c r="I959" s="26"/>
      <c r="J959" s="26"/>
      <c r="K959" s="26"/>
      <c r="L959" s="26"/>
      <c r="M959" s="26"/>
      <c r="N959" s="26"/>
      <c r="O959" s="26"/>
      <c r="P959" s="26"/>
      <c r="Q959" s="26"/>
      <c r="R959" s="26"/>
      <c r="S959" s="26"/>
    </row>
    <row r="960" spans="1:19" ht="15.75" customHeight="1" x14ac:dyDescent="0.25">
      <c r="A960" s="26"/>
      <c r="B960" s="26"/>
      <c r="C960" s="26"/>
      <c r="D960" s="26"/>
      <c r="E960" s="26"/>
      <c r="F960" s="26"/>
      <c r="G960" s="26"/>
      <c r="H960" s="26"/>
      <c r="I960" s="26"/>
      <c r="J960" s="26"/>
      <c r="K960" s="26"/>
      <c r="L960" s="26"/>
      <c r="M960" s="26"/>
      <c r="N960" s="26"/>
      <c r="O960" s="26"/>
      <c r="P960" s="26"/>
      <c r="Q960" s="26"/>
      <c r="R960" s="26"/>
      <c r="S960" s="26"/>
    </row>
    <row r="961" spans="1:19" ht="15.75" customHeight="1" x14ac:dyDescent="0.25">
      <c r="A961" s="26"/>
      <c r="B961" s="26"/>
      <c r="C961" s="26"/>
      <c r="D961" s="26"/>
      <c r="E961" s="26"/>
      <c r="F961" s="26"/>
      <c r="G961" s="26"/>
      <c r="H961" s="26"/>
      <c r="I961" s="26"/>
      <c r="J961" s="26"/>
      <c r="K961" s="26"/>
      <c r="L961" s="26"/>
      <c r="M961" s="26"/>
      <c r="N961" s="26"/>
      <c r="O961" s="26"/>
      <c r="P961" s="26"/>
      <c r="Q961" s="26"/>
      <c r="R961" s="26"/>
      <c r="S961" s="26"/>
    </row>
    <row r="962" spans="1:19" ht="15.75" customHeight="1" x14ac:dyDescent="0.25">
      <c r="A962" s="26"/>
      <c r="B962" s="26"/>
      <c r="C962" s="26"/>
      <c r="D962" s="26"/>
      <c r="E962" s="26"/>
      <c r="F962" s="26"/>
      <c r="G962" s="26"/>
      <c r="H962" s="26"/>
      <c r="I962" s="26"/>
      <c r="J962" s="26"/>
      <c r="K962" s="26"/>
      <c r="L962" s="26"/>
      <c r="M962" s="26"/>
      <c r="N962" s="26"/>
      <c r="O962" s="26"/>
      <c r="P962" s="26"/>
      <c r="Q962" s="26"/>
      <c r="R962" s="26"/>
      <c r="S962" s="26"/>
    </row>
    <row r="963" spans="1:19" ht="15.75" customHeight="1" x14ac:dyDescent="0.25">
      <c r="A963" s="26"/>
      <c r="B963" s="26"/>
      <c r="C963" s="26"/>
      <c r="D963" s="26"/>
      <c r="E963" s="26"/>
      <c r="F963" s="26"/>
      <c r="G963" s="26"/>
      <c r="H963" s="26"/>
      <c r="I963" s="26"/>
      <c r="J963" s="26"/>
      <c r="K963" s="26"/>
      <c r="L963" s="26"/>
      <c r="M963" s="26"/>
      <c r="N963" s="26"/>
      <c r="O963" s="26"/>
      <c r="P963" s="26"/>
      <c r="Q963" s="26"/>
      <c r="R963" s="26"/>
      <c r="S963" s="26"/>
    </row>
    <row r="964" spans="1:19" ht="15.75" customHeight="1" x14ac:dyDescent="0.25">
      <c r="A964" s="26"/>
      <c r="B964" s="26"/>
      <c r="C964" s="26"/>
      <c r="D964" s="26"/>
      <c r="E964" s="26"/>
      <c r="F964" s="26"/>
      <c r="G964" s="26"/>
      <c r="H964" s="26"/>
      <c r="I964" s="26"/>
      <c r="J964" s="26"/>
      <c r="K964" s="26"/>
      <c r="L964" s="26"/>
      <c r="M964" s="26"/>
      <c r="N964" s="26"/>
      <c r="O964" s="26"/>
      <c r="P964" s="26"/>
      <c r="Q964" s="26"/>
      <c r="R964" s="26"/>
      <c r="S964" s="26"/>
    </row>
    <row r="965" spans="1:19" ht="15.75" customHeight="1" x14ac:dyDescent="0.25">
      <c r="A965" s="26"/>
      <c r="B965" s="26"/>
      <c r="C965" s="26"/>
      <c r="D965" s="26"/>
      <c r="E965" s="26"/>
      <c r="F965" s="26"/>
      <c r="G965" s="26"/>
      <c r="H965" s="26"/>
      <c r="I965" s="26"/>
      <c r="J965" s="26"/>
      <c r="K965" s="26"/>
      <c r="L965" s="26"/>
      <c r="M965" s="26"/>
      <c r="N965" s="26"/>
      <c r="O965" s="26"/>
      <c r="P965" s="26"/>
      <c r="Q965" s="26"/>
      <c r="R965" s="26"/>
      <c r="S965" s="26"/>
    </row>
    <row r="966" spans="1:19" ht="15.75" customHeight="1" x14ac:dyDescent="0.25">
      <c r="A966" s="26"/>
      <c r="B966" s="26"/>
      <c r="C966" s="26"/>
      <c r="D966" s="26"/>
      <c r="E966" s="26"/>
      <c r="F966" s="26"/>
      <c r="G966" s="26"/>
      <c r="H966" s="26"/>
      <c r="I966" s="26"/>
      <c r="J966" s="26"/>
      <c r="K966" s="26"/>
      <c r="L966" s="26"/>
      <c r="M966" s="26"/>
      <c r="N966" s="26"/>
      <c r="O966" s="26"/>
      <c r="P966" s="26"/>
      <c r="Q966" s="26"/>
      <c r="R966" s="26"/>
      <c r="S966" s="26"/>
    </row>
    <row r="967" spans="1:19" ht="15.75" customHeight="1" x14ac:dyDescent="0.25">
      <c r="A967" s="26"/>
      <c r="B967" s="26"/>
      <c r="C967" s="26"/>
      <c r="D967" s="26"/>
      <c r="E967" s="26"/>
      <c r="F967" s="26"/>
      <c r="G967" s="26"/>
      <c r="H967" s="26"/>
      <c r="I967" s="26"/>
      <c r="J967" s="26"/>
      <c r="K967" s="26"/>
      <c r="L967" s="26"/>
      <c r="M967" s="26"/>
      <c r="N967" s="26"/>
      <c r="O967" s="26"/>
      <c r="P967" s="26"/>
      <c r="Q967" s="26"/>
      <c r="R967" s="26"/>
      <c r="S967" s="26"/>
    </row>
    <row r="968" spans="1:19" ht="15.75" customHeight="1" x14ac:dyDescent="0.25">
      <c r="A968" s="26"/>
      <c r="B968" s="26"/>
      <c r="C968" s="26"/>
      <c r="D968" s="26"/>
      <c r="E968" s="26"/>
      <c r="F968" s="26"/>
      <c r="G968" s="26"/>
      <c r="H968" s="26"/>
      <c r="I968" s="26"/>
      <c r="J968" s="26"/>
      <c r="K968" s="26"/>
      <c r="L968" s="26"/>
      <c r="M968" s="26"/>
      <c r="N968" s="26"/>
      <c r="O968" s="26"/>
      <c r="P968" s="26"/>
      <c r="Q968" s="26"/>
      <c r="R968" s="26"/>
      <c r="S968" s="26"/>
    </row>
    <row r="969" spans="1:19" ht="15.75" customHeight="1" x14ac:dyDescent="0.25">
      <c r="A969" s="26"/>
      <c r="B969" s="26"/>
      <c r="C969" s="26"/>
      <c r="D969" s="26"/>
      <c r="E969" s="26"/>
      <c r="F969" s="26"/>
      <c r="G969" s="26"/>
      <c r="H969" s="26"/>
      <c r="I969" s="26"/>
      <c r="J969" s="26"/>
      <c r="K969" s="26"/>
      <c r="L969" s="26"/>
      <c r="M969" s="26"/>
      <c r="N969" s="26"/>
      <c r="O969" s="26"/>
      <c r="P969" s="26"/>
      <c r="Q969" s="26"/>
      <c r="R969" s="26"/>
      <c r="S969" s="26"/>
    </row>
    <row r="970" spans="1:19" ht="15.75" customHeight="1" x14ac:dyDescent="0.25">
      <c r="A970" s="26"/>
      <c r="B970" s="26"/>
      <c r="C970" s="26"/>
      <c r="D970" s="26"/>
      <c r="E970" s="26"/>
      <c r="F970" s="26"/>
      <c r="G970" s="26"/>
      <c r="H970" s="26"/>
      <c r="I970" s="26"/>
      <c r="J970" s="26"/>
      <c r="K970" s="26"/>
      <c r="L970" s="26"/>
      <c r="M970" s="26"/>
      <c r="N970" s="26"/>
      <c r="O970" s="26"/>
      <c r="P970" s="26"/>
      <c r="Q970" s="26"/>
      <c r="R970" s="26"/>
      <c r="S970" s="26"/>
    </row>
    <row r="971" spans="1:19" ht="15.75" customHeight="1" x14ac:dyDescent="0.25">
      <c r="A971" s="26"/>
      <c r="B971" s="26"/>
      <c r="C971" s="26"/>
      <c r="D971" s="26"/>
      <c r="E971" s="26"/>
      <c r="F971" s="26"/>
      <c r="G971" s="26"/>
      <c r="H971" s="26"/>
      <c r="I971" s="26"/>
      <c r="J971" s="26"/>
      <c r="K971" s="26"/>
      <c r="L971" s="26"/>
      <c r="M971" s="26"/>
      <c r="N971" s="26"/>
      <c r="O971" s="26"/>
      <c r="P971" s="26"/>
      <c r="Q971" s="26"/>
      <c r="R971" s="26"/>
      <c r="S971" s="26"/>
    </row>
    <row r="972" spans="1:19" ht="15.75" customHeight="1" x14ac:dyDescent="0.25">
      <c r="A972" s="26"/>
      <c r="B972" s="26"/>
      <c r="C972" s="26"/>
      <c r="D972" s="26"/>
      <c r="E972" s="26"/>
      <c r="F972" s="26"/>
      <c r="G972" s="26"/>
      <c r="H972" s="26"/>
      <c r="I972" s="26"/>
      <c r="J972" s="26"/>
      <c r="K972" s="26"/>
      <c r="L972" s="26"/>
      <c r="M972" s="26"/>
      <c r="N972" s="26"/>
      <c r="O972" s="26"/>
      <c r="P972" s="26"/>
      <c r="Q972" s="26"/>
      <c r="R972" s="26"/>
      <c r="S972" s="26"/>
    </row>
    <row r="973" spans="1:19" ht="15.75" customHeight="1" x14ac:dyDescent="0.25">
      <c r="A973" s="26"/>
      <c r="B973" s="26"/>
      <c r="C973" s="26"/>
      <c r="D973" s="26"/>
      <c r="E973" s="26"/>
      <c r="F973" s="26"/>
      <c r="G973" s="26"/>
      <c r="H973" s="26"/>
      <c r="I973" s="26"/>
      <c r="J973" s="26"/>
      <c r="K973" s="26"/>
      <c r="L973" s="26"/>
      <c r="M973" s="26"/>
      <c r="N973" s="26"/>
      <c r="O973" s="26"/>
      <c r="P973" s="26"/>
      <c r="Q973" s="26"/>
      <c r="R973" s="26"/>
      <c r="S973" s="26"/>
    </row>
    <row r="974" spans="1:19" ht="15.75" customHeight="1" x14ac:dyDescent="0.25">
      <c r="A974" s="26"/>
      <c r="B974" s="26"/>
      <c r="C974" s="26"/>
      <c r="D974" s="26"/>
      <c r="E974" s="26"/>
      <c r="F974" s="26"/>
      <c r="G974" s="26"/>
      <c r="H974" s="26"/>
      <c r="I974" s="26"/>
      <c r="J974" s="26"/>
      <c r="K974" s="26"/>
      <c r="L974" s="26"/>
      <c r="M974" s="26"/>
      <c r="N974" s="26"/>
      <c r="O974" s="26"/>
      <c r="P974" s="26"/>
      <c r="Q974" s="26"/>
      <c r="R974" s="26"/>
      <c r="S974" s="26"/>
    </row>
    <row r="975" spans="1:19" ht="15.75" customHeight="1" x14ac:dyDescent="0.25">
      <c r="A975" s="26"/>
      <c r="B975" s="26"/>
      <c r="C975" s="26"/>
      <c r="D975" s="26"/>
      <c r="E975" s="26"/>
      <c r="F975" s="26"/>
      <c r="G975" s="26"/>
      <c r="H975" s="26"/>
      <c r="I975" s="26"/>
      <c r="J975" s="26"/>
      <c r="K975" s="26"/>
      <c r="L975" s="26"/>
      <c r="M975" s="26"/>
      <c r="N975" s="26"/>
      <c r="O975" s="26"/>
      <c r="P975" s="26"/>
      <c r="Q975" s="26"/>
      <c r="R975" s="26"/>
      <c r="S975" s="26"/>
    </row>
    <row r="976" spans="1:19" ht="15.75" customHeight="1" x14ac:dyDescent="0.25">
      <c r="A976" s="26"/>
      <c r="B976" s="26"/>
      <c r="C976" s="26"/>
      <c r="D976" s="26"/>
      <c r="E976" s="26"/>
      <c r="F976" s="26"/>
      <c r="G976" s="26"/>
      <c r="H976" s="26"/>
      <c r="I976" s="26"/>
      <c r="J976" s="26"/>
      <c r="K976" s="26"/>
      <c r="L976" s="26"/>
      <c r="M976" s="26"/>
      <c r="N976" s="26"/>
      <c r="O976" s="26"/>
      <c r="P976" s="26"/>
      <c r="Q976" s="26"/>
      <c r="R976" s="26"/>
      <c r="S976" s="26"/>
    </row>
    <row r="977" spans="1:19" ht="15.75" customHeight="1" x14ac:dyDescent="0.25">
      <c r="A977" s="26"/>
      <c r="B977" s="26"/>
      <c r="C977" s="26"/>
      <c r="D977" s="26"/>
      <c r="E977" s="26"/>
      <c r="F977" s="26"/>
      <c r="G977" s="26"/>
      <c r="H977" s="26"/>
      <c r="I977" s="26"/>
      <c r="J977" s="26"/>
      <c r="K977" s="26"/>
      <c r="L977" s="26"/>
      <c r="M977" s="26"/>
      <c r="N977" s="26"/>
      <c r="O977" s="26"/>
      <c r="P977" s="26"/>
      <c r="Q977" s="26"/>
      <c r="R977" s="26"/>
      <c r="S977" s="26"/>
    </row>
    <row r="978" spans="1:19" ht="15.75" customHeight="1" x14ac:dyDescent="0.25">
      <c r="A978" s="26"/>
      <c r="B978" s="26"/>
      <c r="C978" s="26"/>
      <c r="D978" s="26"/>
      <c r="E978" s="26"/>
      <c r="F978" s="26"/>
      <c r="G978" s="26"/>
      <c r="H978" s="26"/>
      <c r="I978" s="26"/>
      <c r="J978" s="26"/>
      <c r="K978" s="26"/>
      <c r="L978" s="26"/>
      <c r="M978" s="26"/>
      <c r="N978" s="26"/>
      <c r="O978" s="26"/>
      <c r="P978" s="26"/>
      <c r="Q978" s="26"/>
      <c r="R978" s="26"/>
      <c r="S978" s="26"/>
    </row>
    <row r="979" spans="1:19" ht="15.75" customHeight="1" x14ac:dyDescent="0.25">
      <c r="A979" s="26"/>
      <c r="B979" s="26"/>
      <c r="C979" s="26"/>
      <c r="D979" s="26"/>
      <c r="E979" s="26"/>
      <c r="F979" s="26"/>
      <c r="G979" s="26"/>
      <c r="H979" s="26"/>
      <c r="I979" s="26"/>
      <c r="J979" s="26"/>
      <c r="K979" s="26"/>
      <c r="L979" s="26"/>
      <c r="M979" s="26"/>
      <c r="N979" s="26"/>
      <c r="O979" s="26"/>
      <c r="P979" s="26"/>
      <c r="Q979" s="26"/>
      <c r="R979" s="26"/>
      <c r="S979" s="26"/>
    </row>
    <row r="980" spans="1:19" ht="15.75" customHeight="1" x14ac:dyDescent="0.25">
      <c r="A980" s="26"/>
      <c r="B980" s="26"/>
      <c r="C980" s="26"/>
      <c r="D980" s="26"/>
      <c r="E980" s="26"/>
      <c r="F980" s="26"/>
      <c r="G980" s="26"/>
      <c r="H980" s="26"/>
      <c r="I980" s="26"/>
      <c r="J980" s="26"/>
      <c r="K980" s="26"/>
      <c r="L980" s="26"/>
      <c r="M980" s="26"/>
      <c r="N980" s="26"/>
      <c r="O980" s="26"/>
      <c r="P980" s="26"/>
      <c r="Q980" s="26"/>
      <c r="R980" s="26"/>
      <c r="S980" s="26"/>
    </row>
    <row r="981" spans="1:19" ht="15.75" customHeight="1" x14ac:dyDescent="0.25">
      <c r="A981" s="26"/>
      <c r="B981" s="26"/>
      <c r="C981" s="26"/>
      <c r="D981" s="26"/>
      <c r="E981" s="26"/>
      <c r="F981" s="26"/>
      <c r="G981" s="26"/>
      <c r="H981" s="26"/>
      <c r="I981" s="26"/>
      <c r="J981" s="26"/>
      <c r="K981" s="26"/>
      <c r="L981" s="26"/>
      <c r="M981" s="26"/>
      <c r="N981" s="26"/>
      <c r="O981" s="26"/>
      <c r="P981" s="26"/>
      <c r="Q981" s="26"/>
      <c r="R981" s="26"/>
      <c r="S981" s="26"/>
    </row>
    <row r="982" spans="1:19" ht="15.75" customHeight="1" x14ac:dyDescent="0.25">
      <c r="A982" s="26"/>
      <c r="B982" s="26"/>
      <c r="C982" s="26"/>
      <c r="D982" s="26"/>
      <c r="E982" s="26"/>
      <c r="F982" s="26"/>
      <c r="G982" s="26"/>
      <c r="H982" s="26"/>
      <c r="I982" s="26"/>
      <c r="J982" s="26"/>
      <c r="K982" s="26"/>
      <c r="L982" s="26"/>
      <c r="M982" s="26"/>
      <c r="N982" s="26"/>
      <c r="O982" s="26"/>
      <c r="P982" s="26"/>
      <c r="Q982" s="26"/>
      <c r="R982" s="26"/>
      <c r="S982" s="26"/>
    </row>
    <row r="983" spans="1:19" ht="15.75" customHeight="1" x14ac:dyDescent="0.25">
      <c r="A983" s="26"/>
      <c r="B983" s="26"/>
      <c r="C983" s="26"/>
      <c r="D983" s="26"/>
      <c r="E983" s="26"/>
      <c r="F983" s="26"/>
      <c r="G983" s="26"/>
      <c r="H983" s="26"/>
      <c r="I983" s="26"/>
      <c r="J983" s="26"/>
      <c r="K983" s="26"/>
      <c r="L983" s="26"/>
      <c r="M983" s="26"/>
      <c r="N983" s="26"/>
      <c r="O983" s="26"/>
      <c r="P983" s="26"/>
      <c r="Q983" s="26"/>
      <c r="R983" s="26"/>
      <c r="S983" s="26"/>
    </row>
    <row r="984" spans="1:19" ht="15.75" customHeight="1" x14ac:dyDescent="0.25">
      <c r="A984" s="26"/>
      <c r="B984" s="26"/>
      <c r="C984" s="26"/>
      <c r="D984" s="26"/>
      <c r="E984" s="26"/>
      <c r="F984" s="26"/>
      <c r="G984" s="26"/>
      <c r="H984" s="26"/>
      <c r="I984" s="26"/>
      <c r="J984" s="26"/>
      <c r="K984" s="26"/>
      <c r="L984" s="26"/>
      <c r="M984" s="26"/>
      <c r="N984" s="26"/>
      <c r="O984" s="26"/>
      <c r="P984" s="26"/>
      <c r="Q984" s="26"/>
      <c r="R984" s="26"/>
      <c r="S984" s="26"/>
    </row>
    <row r="985" spans="1:19" ht="15.75" customHeight="1" x14ac:dyDescent="0.25">
      <c r="A985" s="26"/>
      <c r="B985" s="26"/>
      <c r="C985" s="26"/>
      <c r="D985" s="26"/>
      <c r="E985" s="26"/>
      <c r="F985" s="26"/>
      <c r="G985" s="26"/>
      <c r="H985" s="26"/>
      <c r="I985" s="26"/>
      <c r="J985" s="26"/>
      <c r="K985" s="26"/>
      <c r="L985" s="26"/>
      <c r="M985" s="26"/>
      <c r="N985" s="26"/>
      <c r="O985" s="26"/>
      <c r="P985" s="26"/>
      <c r="Q985" s="26"/>
      <c r="R985" s="26"/>
      <c r="S985" s="26"/>
    </row>
    <row r="986" spans="1:19" ht="15.75" customHeight="1" x14ac:dyDescent="0.25">
      <c r="A986" s="26"/>
      <c r="B986" s="26"/>
      <c r="C986" s="26"/>
      <c r="D986" s="26"/>
      <c r="E986" s="26"/>
      <c r="F986" s="26"/>
      <c r="G986" s="26"/>
      <c r="H986" s="26"/>
      <c r="I986" s="26"/>
      <c r="J986" s="26"/>
      <c r="K986" s="26"/>
      <c r="L986" s="26"/>
      <c r="M986" s="26"/>
      <c r="N986" s="26"/>
      <c r="O986" s="26"/>
      <c r="P986" s="26"/>
      <c r="Q986" s="26"/>
      <c r="R986" s="26"/>
      <c r="S986" s="26"/>
    </row>
    <row r="987" spans="1:19" ht="15.75" customHeight="1" x14ac:dyDescent="0.25">
      <c r="A987" s="26"/>
      <c r="B987" s="26"/>
      <c r="C987" s="26"/>
      <c r="D987" s="26"/>
      <c r="E987" s="26"/>
      <c r="F987" s="26"/>
      <c r="G987" s="26"/>
      <c r="H987" s="26"/>
      <c r="I987" s="26"/>
      <c r="J987" s="26"/>
      <c r="K987" s="26"/>
      <c r="L987" s="26"/>
      <c r="M987" s="26"/>
      <c r="N987" s="26"/>
      <c r="O987" s="26"/>
      <c r="P987" s="26"/>
      <c r="Q987" s="26"/>
      <c r="R987" s="26"/>
      <c r="S987" s="26"/>
    </row>
    <row r="988" spans="1:19" ht="15.75" customHeight="1" x14ac:dyDescent="0.25">
      <c r="A988" s="26"/>
      <c r="B988" s="26"/>
      <c r="C988" s="26"/>
      <c r="D988" s="26"/>
      <c r="E988" s="26"/>
      <c r="F988" s="26"/>
      <c r="G988" s="26"/>
      <c r="H988" s="26"/>
      <c r="I988" s="26"/>
      <c r="J988" s="26"/>
      <c r="K988" s="26"/>
      <c r="L988" s="26"/>
      <c r="M988" s="26"/>
      <c r="N988" s="26"/>
      <c r="O988" s="26"/>
      <c r="P988" s="26"/>
      <c r="Q988" s="26"/>
      <c r="R988" s="26"/>
      <c r="S988" s="26"/>
    </row>
    <row r="989" spans="1:19" ht="15.75" customHeight="1" x14ac:dyDescent="0.25">
      <c r="A989" s="26"/>
      <c r="B989" s="26"/>
      <c r="C989" s="26"/>
      <c r="D989" s="26"/>
      <c r="E989" s="26"/>
      <c r="F989" s="26"/>
      <c r="G989" s="26"/>
      <c r="H989" s="26"/>
      <c r="I989" s="26"/>
      <c r="J989" s="26"/>
      <c r="K989" s="26"/>
      <c r="L989" s="26"/>
      <c r="M989" s="26"/>
      <c r="N989" s="26"/>
      <c r="O989" s="26"/>
      <c r="P989" s="26"/>
      <c r="Q989" s="26"/>
      <c r="R989" s="26"/>
      <c r="S989" s="26"/>
    </row>
    <row r="990" spans="1:19" ht="15.75" customHeight="1" x14ac:dyDescent="0.25">
      <c r="A990" s="26"/>
      <c r="B990" s="26"/>
      <c r="C990" s="26"/>
      <c r="D990" s="26"/>
      <c r="E990" s="26"/>
      <c r="F990" s="26"/>
      <c r="G990" s="26"/>
      <c r="H990" s="26"/>
      <c r="I990" s="26"/>
      <c r="J990" s="26"/>
      <c r="K990" s="26"/>
      <c r="L990" s="26"/>
      <c r="M990" s="26"/>
      <c r="N990" s="26"/>
      <c r="O990" s="26"/>
      <c r="P990" s="26"/>
      <c r="Q990" s="26"/>
      <c r="R990" s="26"/>
      <c r="S990" s="26"/>
    </row>
    <row r="991" spans="1:19" ht="15.75" customHeight="1" x14ac:dyDescent="0.25">
      <c r="A991" s="26"/>
      <c r="B991" s="26"/>
      <c r="C991" s="26"/>
      <c r="D991" s="26"/>
      <c r="E991" s="26"/>
      <c r="F991" s="26"/>
      <c r="G991" s="26"/>
      <c r="H991" s="26"/>
      <c r="I991" s="26"/>
      <c r="J991" s="26"/>
      <c r="K991" s="26"/>
      <c r="L991" s="26"/>
      <c r="M991" s="26"/>
      <c r="N991" s="26"/>
      <c r="O991" s="26"/>
      <c r="P991" s="26"/>
      <c r="Q991" s="26"/>
      <c r="R991" s="26"/>
      <c r="S991" s="26"/>
    </row>
    <row r="992" spans="1:19" ht="15.75" customHeight="1" x14ac:dyDescent="0.25">
      <c r="A992" s="26"/>
      <c r="B992" s="26"/>
      <c r="C992" s="26"/>
      <c r="D992" s="26"/>
      <c r="E992" s="26"/>
      <c r="F992" s="26"/>
      <c r="G992" s="26"/>
      <c r="H992" s="26"/>
      <c r="I992" s="26"/>
      <c r="J992" s="26"/>
      <c r="K992" s="26"/>
      <c r="L992" s="26"/>
      <c r="M992" s="26"/>
      <c r="N992" s="26"/>
      <c r="O992" s="26"/>
      <c r="P992" s="26"/>
      <c r="Q992" s="26"/>
      <c r="R992" s="26"/>
      <c r="S992" s="26"/>
    </row>
    <row r="993" spans="1:19" ht="15.75" customHeight="1" x14ac:dyDescent="0.25">
      <c r="A993" s="26"/>
      <c r="B993" s="26"/>
      <c r="C993" s="26"/>
      <c r="D993" s="26"/>
      <c r="E993" s="26"/>
      <c r="F993" s="26"/>
      <c r="G993" s="26"/>
      <c r="H993" s="26"/>
      <c r="I993" s="26"/>
      <c r="J993" s="26"/>
      <c r="K993" s="26"/>
      <c r="L993" s="26"/>
      <c r="M993" s="26"/>
      <c r="N993" s="26"/>
      <c r="O993" s="26"/>
      <c r="P993" s="26"/>
      <c r="Q993" s="26"/>
      <c r="R993" s="26"/>
      <c r="S993" s="26"/>
    </row>
    <row r="994" spans="1:19" ht="15.75" customHeight="1" x14ac:dyDescent="0.25">
      <c r="A994" s="26"/>
      <c r="B994" s="26"/>
      <c r="C994" s="26"/>
      <c r="D994" s="26"/>
      <c r="E994" s="26"/>
      <c r="F994" s="26"/>
      <c r="G994" s="26"/>
      <c r="H994" s="26"/>
      <c r="I994" s="26"/>
      <c r="J994" s="26"/>
      <c r="K994" s="26"/>
      <c r="L994" s="26"/>
      <c r="M994" s="26"/>
      <c r="N994" s="26"/>
      <c r="O994" s="26"/>
      <c r="P994" s="26"/>
      <c r="Q994" s="26"/>
      <c r="R994" s="26"/>
      <c r="S994" s="26"/>
    </row>
    <row r="995" spans="1:19" ht="15.75" customHeight="1" x14ac:dyDescent="0.25">
      <c r="A995" s="26"/>
      <c r="B995" s="26"/>
      <c r="C995" s="26"/>
      <c r="D995" s="26"/>
      <c r="E995" s="26"/>
      <c r="F995" s="26"/>
      <c r="G995" s="26"/>
      <c r="H995" s="26"/>
      <c r="I995" s="26"/>
      <c r="J995" s="26"/>
      <c r="K995" s="26"/>
      <c r="L995" s="26"/>
      <c r="M995" s="26"/>
      <c r="N995" s="26"/>
      <c r="O995" s="26"/>
      <c r="P995" s="26"/>
      <c r="Q995" s="26"/>
      <c r="R995" s="26"/>
      <c r="S995" s="26"/>
    </row>
    <row r="996" spans="1:19" ht="15.75" customHeight="1" x14ac:dyDescent="0.25">
      <c r="A996" s="26"/>
      <c r="B996" s="26"/>
      <c r="C996" s="26"/>
      <c r="D996" s="26"/>
      <c r="E996" s="26"/>
      <c r="F996" s="26"/>
      <c r="G996" s="26"/>
      <c r="H996" s="26"/>
      <c r="I996" s="26"/>
      <c r="J996" s="26"/>
      <c r="K996" s="26"/>
      <c r="L996" s="26"/>
      <c r="M996" s="26"/>
      <c r="N996" s="26"/>
      <c r="O996" s="26"/>
      <c r="P996" s="26"/>
      <c r="Q996" s="26"/>
      <c r="R996" s="26"/>
      <c r="S996" s="26"/>
    </row>
    <row r="997" spans="1:19" ht="15.75" customHeight="1" x14ac:dyDescent="0.25">
      <c r="A997" s="26"/>
      <c r="B997" s="26"/>
      <c r="C997" s="26"/>
      <c r="D997" s="26"/>
      <c r="E997" s="26"/>
      <c r="F997" s="26"/>
      <c r="G997" s="26"/>
      <c r="H997" s="26"/>
      <c r="I997" s="26"/>
      <c r="J997" s="26"/>
      <c r="K997" s="26"/>
      <c r="L997" s="26"/>
      <c r="M997" s="26"/>
      <c r="N997" s="26"/>
      <c r="O997" s="26"/>
      <c r="P997" s="26"/>
      <c r="Q997" s="26"/>
      <c r="R997" s="26"/>
      <c r="S997" s="26"/>
    </row>
    <row r="998" spans="1:19" ht="15.75" customHeight="1" x14ac:dyDescent="0.25">
      <c r="A998" s="26"/>
      <c r="B998" s="26"/>
      <c r="C998" s="26"/>
      <c r="D998" s="26"/>
      <c r="E998" s="26"/>
      <c r="F998" s="26"/>
      <c r="G998" s="26"/>
      <c r="H998" s="26"/>
      <c r="I998" s="26"/>
      <c r="J998" s="26"/>
      <c r="K998" s="26"/>
      <c r="L998" s="26"/>
      <c r="M998" s="26"/>
      <c r="N998" s="26"/>
      <c r="O998" s="26"/>
      <c r="P998" s="26"/>
      <c r="Q998" s="26"/>
      <c r="R998" s="26"/>
      <c r="S998" s="26"/>
    </row>
    <row r="999" spans="1:19" ht="15.75" customHeight="1" x14ac:dyDescent="0.25">
      <c r="A999" s="26"/>
      <c r="B999" s="26"/>
      <c r="C999" s="26"/>
      <c r="D999" s="26"/>
      <c r="E999" s="26"/>
      <c r="F999" s="26"/>
      <c r="G999" s="26"/>
      <c r="H999" s="26"/>
      <c r="I999" s="26"/>
      <c r="J999" s="26"/>
      <c r="K999" s="26"/>
      <c r="L999" s="26"/>
      <c r="M999" s="26"/>
      <c r="N999" s="26"/>
      <c r="O999" s="26"/>
      <c r="P999" s="26"/>
      <c r="Q999" s="26"/>
      <c r="R999" s="26"/>
      <c r="S999" s="26"/>
    </row>
    <row r="1000" spans="1:19" ht="15.75" customHeight="1" x14ac:dyDescent="0.25">
      <c r="A1000" s="26"/>
      <c r="B1000" s="26"/>
      <c r="C1000" s="26"/>
      <c r="D1000" s="26"/>
      <c r="E1000" s="26"/>
      <c r="F1000" s="26"/>
      <c r="G1000" s="26"/>
      <c r="H1000" s="26"/>
      <c r="I1000" s="26"/>
      <c r="J1000" s="26"/>
      <c r="K1000" s="26"/>
      <c r="L1000" s="26"/>
      <c r="M1000" s="26"/>
      <c r="N1000" s="26"/>
      <c r="O1000" s="26"/>
      <c r="P1000" s="26"/>
      <c r="Q1000" s="26"/>
      <c r="R1000" s="26"/>
      <c r="S1000" s="26"/>
    </row>
  </sheetData>
  <mergeCells count="9">
    <mergeCell ref="R2:S2"/>
    <mergeCell ref="R3:S3"/>
    <mergeCell ref="D2:K3"/>
    <mergeCell ref="L2:M2"/>
    <mergeCell ref="N2:O2"/>
    <mergeCell ref="P2:Q2"/>
    <mergeCell ref="L3:M3"/>
    <mergeCell ref="N3:O3"/>
    <mergeCell ref="P3:Q3"/>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Piviot 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MIAN MUSE</cp:lastModifiedBy>
  <cp:lastPrinted>2026-03-19T18:30:27Z</cp:lastPrinted>
  <dcterms:created xsi:type="dcterms:W3CDTF">2022-04-21T14:05:43Z</dcterms:created>
  <dcterms:modified xsi:type="dcterms:W3CDTF">2026-03-19T18:36:38Z</dcterms:modified>
</cp:coreProperties>
</file>